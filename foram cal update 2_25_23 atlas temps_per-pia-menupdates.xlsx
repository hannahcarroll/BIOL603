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profile temps" sheetId="2" state="visible" r:id="rId3"/>
    <sheet name="benthics only" sheetId="3" state="visible" r:id="rId4"/>
    <sheet name="atlas temps" sheetId="4" state="visible" r:id="rId5"/>
    <sheet name="Sheet2" sheetId="5" state="visible" r:id="rId6"/>
    <sheet name="carbsat" sheetId="6" state="visible" r:id="rId7"/>
    <sheet name="bystuff" sheetId="7" state="visible" r:id="rId8"/>
  </sheets>
  <externalReferences>
    <externalReference r:id="rId9"/>
    <externalReference r:id="rId10"/>
    <externalReference r:id="rId11"/>
    <externalReference r:id="rId12"/>
  </externalReferences>
  <definedNames>
    <definedName function="false" hidden="false" name="atlas" vbProcedure="false">'atlas temps'!$A:$C</definedName>
    <definedName function="false" hidden="false" name="bayfoxr_temp" vbProcedure="false">Sheet2!$B:$Z</definedName>
    <definedName function="false" hidden="false" name="bayfoxr_temp_new" vbProcedure="false">Sheet2!$B:$Z</definedName>
    <definedName function="false" hidden="false" name="d18Onew" vbProcedure="false">[1]Sheet4!$A$1:$G$1048576</definedName>
    <definedName function="false" hidden="false" name="proft" vbProcedure="false">'profile temps'!$B:$D</definedName>
    <definedName function="false" hidden="false" name="ptemp" vbProcedure="false">'[2]WOA13 V2 Data'!$C$1:$R$1048576</definedName>
    <definedName function="false" hidden="false" name="study" vbProcedure="false">'[3]Vlookup tables'!$D$1:$F$1048576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<sst xmlns="http://schemas.openxmlformats.org/spreadsheetml/2006/main" count="9452" uniqueCount="824">
  <si>
    <t xml:space="preserve">Species Full details</t>
  </si>
  <si>
    <t xml:space="preserve">Easotope name</t>
  </si>
  <si>
    <t xml:space="preserve">Dataset</t>
  </si>
  <si>
    <t xml:space="preserve">Sample Name </t>
  </si>
  <si>
    <t xml:space="preserve">site</t>
  </si>
  <si>
    <t xml:space="preserve">Lat</t>
  </si>
  <si>
    <t xml:space="preserve">Lon</t>
  </si>
  <si>
    <t xml:space="preserve">Ocean</t>
  </si>
  <si>
    <t xml:space="preserve">Region</t>
  </si>
  <si>
    <t xml:space="preserve">Depth</t>
  </si>
  <si>
    <t xml:space="preserve">Taxon</t>
  </si>
  <si>
    <t xml:space="preserve">Genus</t>
  </si>
  <si>
    <t xml:space="preserve">Species</t>
  </si>
  <si>
    <t xml:space="preserve">ACD</t>
  </si>
  <si>
    <t xml:space="preserve">Habitat</t>
  </si>
  <si>
    <t xml:space="preserve">SimpleHabitat</t>
  </si>
  <si>
    <t xml:space="preserve">Habitat Order</t>
  </si>
  <si>
    <t xml:space="preserve">Symbionts</t>
  </si>
  <si>
    <t xml:space="preserve">Salinity</t>
  </si>
  <si>
    <t xml:space="preserve">carbsat</t>
  </si>
  <si>
    <t xml:space="preserve">No. of Replicates run</t>
  </si>
  <si>
    <t xml:space="preserve">δ13C PDB avg</t>
  </si>
  <si>
    <t xml:space="preserve">1 s.d.</t>
  </si>
  <si>
    <t xml:space="preserve">1 s.e.</t>
  </si>
  <si>
    <t xml:space="preserve">δ18O PDB avg</t>
  </si>
  <si>
    <t xml:space="preserve">d18osw</t>
  </si>
  <si>
    <t xml:space="preserve">sd + 0.2 error </t>
  </si>
  <si>
    <t xml:space="preserve">se + 0.2 error </t>
  </si>
  <si>
    <t xml:space="preserve">D47ICDES</t>
  </si>
  <si>
    <t xml:space="preserve">D47ICDES.SE</t>
  </si>
  <si>
    <t xml:space="preserve">Atlas temps</t>
  </si>
  <si>
    <t xml:space="preserve">error</t>
  </si>
  <si>
    <t xml:space="preserve">Profile temps</t>
  </si>
  <si>
    <t xml:space="preserve">bayfoxr_category</t>
  </si>
  <si>
    <t xml:space="preserve">Marchitto benthic temp (ecology specific)</t>
  </si>
  <si>
    <t xml:space="preserve">step 1</t>
  </si>
  <si>
    <t xml:space="preserve">step 2</t>
  </si>
  <si>
    <t xml:space="preserve">step 3</t>
  </si>
  <si>
    <t xml:space="preserve">step 4</t>
  </si>
  <si>
    <t xml:space="preserve">step 5</t>
  </si>
  <si>
    <t xml:space="preserve">step 6</t>
  </si>
  <si>
    <t xml:space="preserve">SD (external SD of averaged samples taken for Piasecki mixed benthics)</t>
  </si>
  <si>
    <t xml:space="preserve">SE (external SE of averaged samples taken for Piasecki mixed benthics)</t>
  </si>
  <si>
    <t xml:space="preserve">bayfoxr mean</t>
  </si>
  <si>
    <t xml:space="preserve">SD</t>
  </si>
  <si>
    <t xml:space="preserve">SE</t>
  </si>
  <si>
    <t xml:space="preserve">Bayfox and Marchitto absolute temperatures</t>
  </si>
  <si>
    <t xml:space="preserve">calcTiso</t>
  </si>
  <si>
    <t xml:space="preserve">calcTiso.SE</t>
  </si>
  <si>
    <t xml:space="preserve">Final Temp atlas 10^6/TK^2</t>
  </si>
  <si>
    <t xml:space="preserve">Final Temp profile 10^6/TK^2</t>
  </si>
  <si>
    <t xml:space="preserve">Globorotalia menardii</t>
  </si>
  <si>
    <t xml:space="preserve">A14_10</t>
  </si>
  <si>
    <t xml:space="preserve">UCLA</t>
  </si>
  <si>
    <t xml:space="preserve">Globorotalia menardii A14</t>
  </si>
  <si>
    <t xml:space="preserve">A14</t>
  </si>
  <si>
    <t xml:space="preserve">Pacific Ocean</t>
  </si>
  <si>
    <t xml:space="preserve">Pacific Ocean (Western equitorial)</t>
  </si>
  <si>
    <t xml:space="preserve">Globorotalia</t>
  </si>
  <si>
    <t xml:space="preserve">menardii</t>
  </si>
  <si>
    <t xml:space="preserve">20-100</t>
  </si>
  <si>
    <t xml:space="preserve">Thermocline</t>
  </si>
  <si>
    <t xml:space="preserve">Photosymbionts</t>
  </si>
  <si>
    <t xml:space="preserve">na</t>
  </si>
  <si>
    <t xml:space="preserve">Trilobatus sacculifer (Sac)</t>
  </si>
  <si>
    <t xml:space="preserve">A14_11</t>
  </si>
  <si>
    <t xml:space="preserve">Globigerinoides sacculifer A14</t>
  </si>
  <si>
    <t xml:space="preserve">Trilobatus sacculifer</t>
  </si>
  <si>
    <t xml:space="preserve">Trilobatus</t>
  </si>
  <si>
    <t xml:space="preserve">sacculifer</t>
  </si>
  <si>
    <t xml:space="preserve">50-100</t>
  </si>
  <si>
    <t xml:space="preserve">Mixed-layer</t>
  </si>
  <si>
    <t xml:space="preserve">sac</t>
  </si>
  <si>
    <t xml:space="preserve">A14_9</t>
  </si>
  <si>
    <t xml:space="preserve">Neogloboquadrina pachyderma</t>
  </si>
  <si>
    <t xml:space="preserve">FC27F_calcite</t>
  </si>
  <si>
    <t xml:space="preserve">Neogloboquadrina pachyderma CD107 A MC 3A</t>
  </si>
  <si>
    <t xml:space="preserve">CD107 A MC 3A</t>
  </si>
  <si>
    <t xml:space="preserve">Atlantic Ocean</t>
  </si>
  <si>
    <t xml:space="preserve">Atlantic Ocean (Northeastern temperate)</t>
  </si>
  <si>
    <t xml:space="preserve">Neogloboquadrina</t>
  </si>
  <si>
    <t xml:space="preserve">pachyderma</t>
  </si>
  <si>
    <t xml:space="preserve">0-200</t>
  </si>
  <si>
    <t xml:space="preserve">No Photosymbionts</t>
  </si>
  <si>
    <t xml:space="preserve">pac</t>
  </si>
  <si>
    <t xml:space="preserve">Orbulina universa</t>
  </si>
  <si>
    <t xml:space="preserve">FC20A_calcite</t>
  </si>
  <si>
    <t xml:space="preserve">Orbulina universa CD107 A ML 5A</t>
  </si>
  <si>
    <t xml:space="preserve">CD107 A ML 5A</t>
  </si>
  <si>
    <t xml:space="preserve">Orbulina</t>
  </si>
  <si>
    <t xml:space="preserve">universa</t>
  </si>
  <si>
    <t xml:space="preserve">20-150</t>
  </si>
  <si>
    <t xml:space="preserve">Mixed-layer to thermocline</t>
  </si>
  <si>
    <t xml:space="preserve">Globoconella inflata</t>
  </si>
  <si>
    <t xml:space="preserve">FC20F</t>
  </si>
  <si>
    <t xml:space="preserve">Globoconella inflata CD107 A ML 5A</t>
  </si>
  <si>
    <t xml:space="preserve">Globoconella</t>
  </si>
  <si>
    <t xml:space="preserve">inflata</t>
  </si>
  <si>
    <t xml:space="preserve">0-500</t>
  </si>
  <si>
    <t xml:space="preserve">FC20G_calcite</t>
  </si>
  <si>
    <t xml:space="preserve">Globigerina bulloides</t>
  </si>
  <si>
    <t xml:space="preserve">FC29_calcite</t>
  </si>
  <si>
    <t xml:space="preserve">Globigerina bulloides CD107 B MC F10NA??</t>
  </si>
  <si>
    <t xml:space="preserve">CD107 B MC F10NA??</t>
  </si>
  <si>
    <t xml:space="preserve">Globigerina</t>
  </si>
  <si>
    <t xml:space="preserve">bulloides</t>
  </si>
  <si>
    <t xml:space="preserve">0-100</t>
  </si>
  <si>
    <t xml:space="preserve">bul</t>
  </si>
  <si>
    <t xml:space="preserve">FC30_calcite</t>
  </si>
  <si>
    <t xml:space="preserve">Globigerina bulloides CD107 C 2C</t>
  </si>
  <si>
    <t xml:space="preserve">CD107 C 2C</t>
  </si>
  <si>
    <t xml:space="preserve">FC23_calcite</t>
  </si>
  <si>
    <t xml:space="preserve">Globigerina bulloides CD107 C MC 1C</t>
  </si>
  <si>
    <t xml:space="preserve">CD107 C MC 1C</t>
  </si>
  <si>
    <t xml:space="preserve">FC21_calcite</t>
  </si>
  <si>
    <t xml:space="preserve">Globigerina bulloides CD107 C MC 3C</t>
  </si>
  <si>
    <t xml:space="preserve">CD107 C MC 3C</t>
  </si>
  <si>
    <t xml:space="preserve">FC13A_calcite</t>
  </si>
  <si>
    <t xml:space="preserve">Globorotalia menardii CD145 A3200</t>
  </si>
  <si>
    <t xml:space="preserve">CD145 A3200</t>
  </si>
  <si>
    <t xml:space="preserve">Indian Ocean </t>
  </si>
  <si>
    <t xml:space="preserve">Indian Ocean (Northern equitorial)</t>
  </si>
  <si>
    <t xml:space="preserve">FC12A_calcite</t>
  </si>
  <si>
    <t xml:space="preserve">Orbulina universa CD145 Al50</t>
  </si>
  <si>
    <t xml:space="preserve">CD145 Al50</t>
  </si>
  <si>
    <t xml:space="preserve">Indian Ocean</t>
  </si>
  <si>
    <t xml:space="preserve">FC12D</t>
  </si>
  <si>
    <t xml:space="preserve">Globigerinoides sacculifer CD145 Al50</t>
  </si>
  <si>
    <t xml:space="preserve">FC12E</t>
  </si>
  <si>
    <t xml:space="preserve">FC12_calcite</t>
  </si>
  <si>
    <t xml:space="preserve">Neogloboquadrina dutertrei</t>
  </si>
  <si>
    <t xml:space="preserve">FC12F_calcite</t>
  </si>
  <si>
    <t xml:space="preserve">Neogloboquadrina dutertrei CD145 Al50 </t>
  </si>
  <si>
    <t xml:space="preserve">CD145 Al50 </t>
  </si>
  <si>
    <t xml:space="preserve">dutertrei</t>
  </si>
  <si>
    <t xml:space="preserve">25-125</t>
  </si>
  <si>
    <t xml:space="preserve">FC06</t>
  </si>
  <si>
    <t xml:space="preserve">Globigerina bulloides CD94 6B (OMEX)</t>
  </si>
  <si>
    <t xml:space="preserve">CD94 6B (OMEX)</t>
  </si>
  <si>
    <t xml:space="preserve">Pulleniatina obliquiloculata</t>
  </si>
  <si>
    <t xml:space="preserve">E035_8</t>
  </si>
  <si>
    <t xml:space="preserve">Pulleniatina obliquiloculata E035</t>
  </si>
  <si>
    <t xml:space="preserve">E035</t>
  </si>
  <si>
    <t xml:space="preserve">Pacific Ocean (Northwestern subtropical)</t>
  </si>
  <si>
    <t xml:space="preserve">Pulleniatina</t>
  </si>
  <si>
    <t xml:space="preserve">obliquiloculata</t>
  </si>
  <si>
    <t xml:space="preserve">100-125</t>
  </si>
  <si>
    <t xml:space="preserve">JL30</t>
  </si>
  <si>
    <t xml:space="preserve">Globigerina bulloides ELT47-017-PC</t>
  </si>
  <si>
    <t xml:space="preserve">ELT47-017-PC</t>
  </si>
  <si>
    <t xml:space="preserve">Indian Ocean (Southwestern temperate)</t>
  </si>
  <si>
    <t xml:space="preserve">100-150</t>
  </si>
  <si>
    <t xml:space="preserve">JL31</t>
  </si>
  <si>
    <t xml:space="preserve">Neogloboquadrina pachyderma ELT47-017-PC</t>
  </si>
  <si>
    <t xml:space="preserve">Globigerinoides ruber</t>
  </si>
  <si>
    <t xml:space="preserve">JL28</t>
  </si>
  <si>
    <t xml:space="preserve">Globigerinoides ruber KNR 166-2-26JPC</t>
  </si>
  <si>
    <t xml:space="preserve">KNR 166-2-26JPC</t>
  </si>
  <si>
    <t xml:space="preserve">Gulf of Mexico</t>
  </si>
  <si>
    <t xml:space="preserve">Gulf of Mexico (Tropical)</t>
  </si>
  <si>
    <t xml:space="preserve">Globigerinoides</t>
  </si>
  <si>
    <t xml:space="preserve">ruber</t>
  </si>
  <si>
    <t xml:space="preserve">0-50</t>
  </si>
  <si>
    <t xml:space="preserve">rub</t>
  </si>
  <si>
    <t xml:space="preserve">JL29</t>
  </si>
  <si>
    <t xml:space="preserve">Globigerinoides sacculifer KNR 166-2-26JPC</t>
  </si>
  <si>
    <t xml:space="preserve">Cibicidoides</t>
  </si>
  <si>
    <t xml:space="preserve">B1</t>
  </si>
  <si>
    <t xml:space="preserve">Cibicidoides KNR166-2-110MC</t>
  </si>
  <si>
    <t xml:space="preserve">KNR166-2-110MC </t>
  </si>
  <si>
    <t xml:space="preserve">Atlantic Ocean (Southwestern tropical)</t>
  </si>
  <si>
    <t xml:space="preserve">Cibicidoides spp</t>
  </si>
  <si>
    <t xml:space="preserve">Benthic, epifaunal</t>
  </si>
  <si>
    <t xml:space="preserve">Hoeglundina elegans</t>
  </si>
  <si>
    <t xml:space="preserve">B2</t>
  </si>
  <si>
    <t xml:space="preserve">Hoeglundina elegans KNR166-2-110MC</t>
  </si>
  <si>
    <t xml:space="preserve">Hoeglundina</t>
  </si>
  <si>
    <t xml:space="preserve">elegans</t>
  </si>
  <si>
    <t xml:space="preserve">Benthic, infaunal</t>
  </si>
  <si>
    <t xml:space="preserve">Planulina ariminensis</t>
  </si>
  <si>
    <t xml:space="preserve">B3</t>
  </si>
  <si>
    <t xml:space="preserve">Planulina ariminensis KNR166-2-110MC</t>
  </si>
  <si>
    <t xml:space="preserve">Planulina</t>
  </si>
  <si>
    <t xml:space="preserve">ariminensis</t>
  </si>
  <si>
    <t xml:space="preserve">Uvigerina</t>
  </si>
  <si>
    <t xml:space="preserve">B4</t>
  </si>
  <si>
    <t xml:space="preserve">Uvigerina KNR166-2-110MC</t>
  </si>
  <si>
    <t xml:space="preserve">Uvigerina spp</t>
  </si>
  <si>
    <t xml:space="preserve">B5</t>
  </si>
  <si>
    <t xml:space="preserve">Cibicidoides KNR166-2-11MC</t>
  </si>
  <si>
    <t xml:space="preserve">KNR166-2-11MC </t>
  </si>
  <si>
    <t xml:space="preserve">Gulf of Mexico (tropical)</t>
  </si>
  <si>
    <t xml:space="preserve">B6</t>
  </si>
  <si>
    <t xml:space="preserve">Hoeglundina elegans KNR166-2-11MC</t>
  </si>
  <si>
    <t xml:space="preserve">B7</t>
  </si>
  <si>
    <t xml:space="preserve">Uvigerina KNR166-2-11MC</t>
  </si>
  <si>
    <t xml:space="preserve">B8</t>
  </si>
  <si>
    <t xml:space="preserve">Cibicidoides spp KNR166-2-28MC</t>
  </si>
  <si>
    <t xml:space="preserve">KNR166-2-28MC</t>
  </si>
  <si>
    <t xml:space="preserve">B10</t>
  </si>
  <si>
    <t xml:space="preserve">Hoeglundina elegans KNR166-2-28MC</t>
  </si>
  <si>
    <t xml:space="preserve">KNR166-2-28MC </t>
  </si>
  <si>
    <t xml:space="preserve">B11</t>
  </si>
  <si>
    <t xml:space="preserve">Uvigerina KNR166-2-28MC</t>
  </si>
  <si>
    <t xml:space="preserve">B9</t>
  </si>
  <si>
    <t xml:space="preserve">JL20</t>
  </si>
  <si>
    <t xml:space="preserve">Globigerinoides ruber ML1208-13BB</t>
  </si>
  <si>
    <t xml:space="preserve">ML1208-13BB</t>
  </si>
  <si>
    <t xml:space="preserve">Pacific Ocean (Central equitorial)</t>
  </si>
  <si>
    <t xml:space="preserve">JL21</t>
  </si>
  <si>
    <t xml:space="preserve">JL22</t>
  </si>
  <si>
    <t xml:space="preserve">Globigerinoides sacculifer ML1208-13BB</t>
  </si>
  <si>
    <t xml:space="preserve">JL23</t>
  </si>
  <si>
    <t xml:space="preserve">JL24</t>
  </si>
  <si>
    <t xml:space="preserve">Globigerinoides ruber ML1208-36BB</t>
  </si>
  <si>
    <t xml:space="preserve">ML1208-36BB</t>
  </si>
  <si>
    <t xml:space="preserve">JL25</t>
  </si>
  <si>
    <t xml:space="preserve">JL26</t>
  </si>
  <si>
    <t xml:space="preserve">Globigerinoides sacculifer ML1208-36BB</t>
  </si>
  <si>
    <t xml:space="preserve">JL27</t>
  </si>
  <si>
    <t xml:space="preserve">FC41A_calcite</t>
  </si>
  <si>
    <t xml:space="preserve">Globigerinoides sacculifer OJP1614 MW0691 1BC7</t>
  </si>
  <si>
    <t xml:space="preserve">OJP1614 MW0691 1BC7</t>
  </si>
  <si>
    <t xml:space="preserve">Globigerinella siphonifera</t>
  </si>
  <si>
    <t xml:space="preserve">G siphonifera 1614m</t>
  </si>
  <si>
    <t xml:space="preserve">Globigerinella siphonifera OJP1614 MW0691 1BC7</t>
  </si>
  <si>
    <t xml:space="preserve">Globigerinella</t>
  </si>
  <si>
    <t xml:space="preserve">siphonifera</t>
  </si>
  <si>
    <t xml:space="preserve">0-150</t>
  </si>
  <si>
    <t xml:space="preserve">Globorotalia tumida</t>
  </si>
  <si>
    <t xml:space="preserve">G tumida 1614m</t>
  </si>
  <si>
    <t xml:space="preserve">Globorotalia tumida OJP1614 MW0691 1BC7</t>
  </si>
  <si>
    <t xml:space="preserve">tumida</t>
  </si>
  <si>
    <t xml:space="preserve">125-300</t>
  </si>
  <si>
    <t xml:space="preserve"> No Photosymbionts</t>
  </si>
  <si>
    <t xml:space="preserve">N dutertrei 1614m</t>
  </si>
  <si>
    <t xml:space="preserve">Neogloboquadrina dutertrei OJP1614 MW0691 1BC7</t>
  </si>
  <si>
    <t xml:space="preserve">P obli 1614m</t>
  </si>
  <si>
    <t xml:space="preserve">Pulleniatina obliquiloculata OJP1614 MW0691 1BC7</t>
  </si>
  <si>
    <t xml:space="preserve">G sacculifer 1616m</t>
  </si>
  <si>
    <t xml:space="preserve">Globigerinoides sacculifer OJP1616 MW0691 1BC3</t>
  </si>
  <si>
    <t xml:space="preserve">OJP1616 MW0691 1BC3</t>
  </si>
  <si>
    <t xml:space="preserve">G siphonifera 1616m</t>
  </si>
  <si>
    <t xml:space="preserve">Globigerinella siphonifera OJP1616 MW0691 1BC3</t>
  </si>
  <si>
    <t xml:space="preserve">P obli 1616m</t>
  </si>
  <si>
    <t xml:space="preserve">Pulleniatina obliquiloculata OJP1616 MW0691 1BC3</t>
  </si>
  <si>
    <t xml:space="preserve">G sacculifer 2015m</t>
  </si>
  <si>
    <t xml:space="preserve">Globigerinoides sacculifer OJP2015 MW0691 1.5BC33</t>
  </si>
  <si>
    <t xml:space="preserve">OJP2015 MW0691 1.5BC33</t>
  </si>
  <si>
    <t xml:space="preserve">G siphonifera 2015m</t>
  </si>
  <si>
    <t xml:space="preserve">Globigerinella siphonifera OJP2015 MW0691 1.5BC33</t>
  </si>
  <si>
    <t xml:space="preserve">G tumida 2015m</t>
  </si>
  <si>
    <t xml:space="preserve">Globorotalia tumida OJP2015 MW0691 1.5BC33</t>
  </si>
  <si>
    <t xml:space="preserve">P obli 2015m</t>
  </si>
  <si>
    <t xml:space="preserve">Pulleniatina obliquiloculata OJP2015 MW0691 1.5BC33</t>
  </si>
  <si>
    <t xml:space="preserve">FC51A_calcite</t>
  </si>
  <si>
    <t xml:space="preserve">Globigerinoides sacculifer OJP2016 MW0691 1.5BC11</t>
  </si>
  <si>
    <t xml:space="preserve">OJP2016 MW0691 1.5BC11</t>
  </si>
  <si>
    <t xml:space="preserve">N dutertrei 2016m</t>
  </si>
  <si>
    <t xml:space="preserve">Neogloboquadrina dutertrei OJP2016 MW0691 1.5BC11</t>
  </si>
  <si>
    <t xml:space="preserve">P obli 2016m</t>
  </si>
  <si>
    <t xml:space="preserve">Pulleniatina obliquiloculata OJP2016 MW0691 1.5BC11</t>
  </si>
  <si>
    <t xml:space="preserve">G sacculifer 2445m</t>
  </si>
  <si>
    <t xml:space="preserve">Globigerinoides sacculifer OJP2445 MW0691 2.5BC37</t>
  </si>
  <si>
    <t xml:space="preserve">OJP2445 MW0691 2.5BC37</t>
  </si>
  <si>
    <t xml:space="preserve">G tumida 2445m</t>
  </si>
  <si>
    <t xml:space="preserve">Globorotalia tumida OJP2445 MW0691 2.5BC37</t>
  </si>
  <si>
    <t xml:space="preserve">P obli 2445m</t>
  </si>
  <si>
    <t xml:space="preserve">Pulleniatina obliquiloculata OJP2445 MW0691 2.5BC37</t>
  </si>
  <si>
    <t xml:space="preserve">G tumida 2954m</t>
  </si>
  <si>
    <t xml:space="preserve">Globorotalia tumida OJP2959 MW0691 3BC16</t>
  </si>
  <si>
    <t xml:space="preserve">OJP2959 MW0691 3BC16</t>
  </si>
  <si>
    <t xml:space="preserve">P obli 2954m</t>
  </si>
  <si>
    <t xml:space="preserve">Pulleniatina obliquiloculata OJP2959 MW0691 3BC16</t>
  </si>
  <si>
    <t xml:space="preserve">G sacculifer 2965m</t>
  </si>
  <si>
    <t xml:space="preserve">Globigerinoides sacculifer OJP2965 MW0691 3BC24</t>
  </si>
  <si>
    <t xml:space="preserve">OJP2965 MW0691 3BC24</t>
  </si>
  <si>
    <t xml:space="preserve">G tumida 2965m</t>
  </si>
  <si>
    <t xml:space="preserve">Globorotalia tumida OJP2965 MW0691 3BC24</t>
  </si>
  <si>
    <t xml:space="preserve">N dutertrei 2965m</t>
  </si>
  <si>
    <t xml:space="preserve">Neogloboquadrina dutertrei OJP2965 MW0691 3BC24</t>
  </si>
  <si>
    <t xml:space="preserve">P obli 2965m</t>
  </si>
  <si>
    <t xml:space="preserve">Pulleniatina obliquiloculata OJP2965 MW0691 3BC24</t>
  </si>
  <si>
    <t xml:space="preserve">G sacculifer 3160m</t>
  </si>
  <si>
    <t xml:space="preserve">Globigerinoides sacculifer OJP3160 MW91-9 GAC44</t>
  </si>
  <si>
    <t xml:space="preserve">OJP3160 MW91-9 GAC44</t>
  </si>
  <si>
    <t xml:space="preserve">G tumida 3160m</t>
  </si>
  <si>
    <t xml:space="preserve">Globorotalia tumida OJP3160 MW91-9 GAC44</t>
  </si>
  <si>
    <t xml:space="preserve">P obli 3160m</t>
  </si>
  <si>
    <t xml:space="preserve">Pulleniatina obliquiloculata OJP3160 MW91-9 GAC44</t>
  </si>
  <si>
    <t xml:space="preserve">FC39C_calcite</t>
  </si>
  <si>
    <t xml:space="preserve">Pulleniatina obliquiloculata OJP3411 MW0691 4BC51</t>
  </si>
  <si>
    <t xml:space="preserve">OJP3411 MW0691 4BC51</t>
  </si>
  <si>
    <t xml:space="preserve">FC50A_calcite</t>
  </si>
  <si>
    <t xml:space="preserve">Pulleniatina obliquiloculata OJP3420 MW91-9 BC51</t>
  </si>
  <si>
    <t xml:space="preserve">OJP3420 MW91-9 BC51</t>
  </si>
  <si>
    <t xml:space="preserve">G siphonifera 3711m</t>
  </si>
  <si>
    <t xml:space="preserve">Globigerinella siphonifera OJP3711 MW0691 4.5BC53</t>
  </si>
  <si>
    <t xml:space="preserve">OJP3711 MW0691 4.5BC53</t>
  </si>
  <si>
    <t xml:space="preserve">G tumida 3711m</t>
  </si>
  <si>
    <t xml:space="preserve">Globorotalia tumida OJP3711 MW0691 4.5BC53</t>
  </si>
  <si>
    <t xml:space="preserve">P obli 3711m</t>
  </si>
  <si>
    <t xml:space="preserve">Pulleniatina obliquiloculata OJP3711 MW0691 4.5BC53</t>
  </si>
  <si>
    <t xml:space="preserve">FC53A_calcite</t>
  </si>
  <si>
    <t xml:space="preserve">Pulleniatina obliquiloculata OJP4025 MW0691 5BC54</t>
  </si>
  <si>
    <t xml:space="preserve">OJP4025 MW0691 5BC54</t>
  </si>
  <si>
    <t xml:space="preserve">FC48C_calcite</t>
  </si>
  <si>
    <t xml:space="preserve">Pulleniatina obliquiloculata OJP4341 MW0691 5.5BC58</t>
  </si>
  <si>
    <t xml:space="preserve">OJP4341 MW0691 5.5BC58</t>
  </si>
  <si>
    <t xml:space="preserve">G tumida 4341m</t>
  </si>
  <si>
    <t xml:space="preserve">Globorotalia tumida OJP4341 MW0691 5.5BC58</t>
  </si>
  <si>
    <t xml:space="preserve">FC54A_calcite</t>
  </si>
  <si>
    <t xml:space="preserve">Pulleniatina obliquiloculata OJP4438 MW0691 6BC74</t>
  </si>
  <si>
    <t xml:space="preserve">OJP4438 MW0691 6BC74</t>
  </si>
  <si>
    <t xml:space="preserve">G tumida 4438m</t>
  </si>
  <si>
    <t xml:space="preserve">Globorotalia tumida OJP4438 MW0691 6BC74</t>
  </si>
  <si>
    <t xml:space="preserve">JL6</t>
  </si>
  <si>
    <t xml:space="preserve">Globoconella inflata VM18-222</t>
  </si>
  <si>
    <t xml:space="preserve">VM18-222</t>
  </si>
  <si>
    <t xml:space="preserve">Indian Ocean (Southeastern temperate)</t>
  </si>
  <si>
    <t xml:space="preserve">JL11</t>
  </si>
  <si>
    <t xml:space="preserve">Neogloboquadrina dutertrei VM20-133</t>
  </si>
  <si>
    <t xml:space="preserve">VM20-133</t>
  </si>
  <si>
    <t xml:space="preserve">80-150</t>
  </si>
  <si>
    <t xml:space="preserve">JL12</t>
  </si>
  <si>
    <t xml:space="preserve">Globigerina bulloides VM21-1</t>
  </si>
  <si>
    <t xml:space="preserve">VM21-1</t>
  </si>
  <si>
    <t xml:space="preserve">Atlantic Ocean (Northwestern temperate)</t>
  </si>
  <si>
    <t xml:space="preserve">JL13</t>
  </si>
  <si>
    <t xml:space="preserve">Neogloboquadrina dutertrei VM21-1</t>
  </si>
  <si>
    <t xml:space="preserve">JL15</t>
  </si>
  <si>
    <t xml:space="preserve">Globigerinoides ruber VM28-230</t>
  </si>
  <si>
    <t xml:space="preserve">VM28-230</t>
  </si>
  <si>
    <t xml:space="preserve">JL16</t>
  </si>
  <si>
    <t xml:space="preserve">Globigerinoides sacculifer VM28-230</t>
  </si>
  <si>
    <t xml:space="preserve">JL17</t>
  </si>
  <si>
    <t xml:space="preserve">JL19</t>
  </si>
  <si>
    <t xml:space="preserve">Globigerinoides sacculifer VM34-157</t>
  </si>
  <si>
    <t xml:space="preserve">VM34-157</t>
  </si>
  <si>
    <t xml:space="preserve">FC02A_calcite</t>
  </si>
  <si>
    <t xml:space="preserve">Globigerinoides sacculifer WIND 10B</t>
  </si>
  <si>
    <t xml:space="preserve">WIND 10B</t>
  </si>
  <si>
    <t xml:space="preserve">Indian Ocean (Southwestern subtropical)</t>
  </si>
  <si>
    <t xml:space="preserve">FC01C3_calcite</t>
  </si>
  <si>
    <t xml:space="preserve">Globigerinoides sacculifer WIND 33B</t>
  </si>
  <si>
    <t xml:space="preserve">WIND 33B</t>
  </si>
  <si>
    <t xml:space="preserve">Indian Ocean (Southwestern tropical)</t>
  </si>
  <si>
    <t xml:space="preserve">WP7_17</t>
  </si>
  <si>
    <t xml:space="preserve">Globorotalia menardii WP7_01</t>
  </si>
  <si>
    <t xml:space="preserve">WP7_01</t>
  </si>
  <si>
    <t xml:space="preserve">WP7_21</t>
  </si>
  <si>
    <t xml:space="preserve">Globorotalia tumida WP7_01</t>
  </si>
  <si>
    <t xml:space="preserve">WP7_22</t>
  </si>
  <si>
    <t xml:space="preserve">Neogloboquadrina dutertrei WP7_01</t>
  </si>
  <si>
    <t xml:space="preserve">WP7_24</t>
  </si>
  <si>
    <t xml:space="preserve">Pulleniatina obliquiloculata WP7_01</t>
  </si>
  <si>
    <t xml:space="preserve">CT-01-CB</t>
  </si>
  <si>
    <t xml:space="preserve">Cibicidoides EN066 GGC 10</t>
  </si>
  <si>
    <t xml:space="preserve">EN066 GGC 10</t>
  </si>
  <si>
    <t xml:space="preserve">Atlantic Ocean (Eastern equitorial)</t>
  </si>
  <si>
    <t xml:space="preserve">CT-02-CB</t>
  </si>
  <si>
    <t xml:space="preserve">Cibicidoides EN066 GGC 16</t>
  </si>
  <si>
    <t xml:space="preserve">EN066 GGC 16</t>
  </si>
  <si>
    <t xml:space="preserve">CT-03-CB</t>
  </si>
  <si>
    <t xml:space="preserve">Cibicidoides EN066 GGC 21</t>
  </si>
  <si>
    <t xml:space="preserve">EN066 GGC 21</t>
  </si>
  <si>
    <t xml:space="preserve">CT-05-CB</t>
  </si>
  <si>
    <t xml:space="preserve">Cibicidoides EN066 GGC 38</t>
  </si>
  <si>
    <t xml:space="preserve">EN066 GGC 38</t>
  </si>
  <si>
    <t xml:space="preserve">CT-06-CB</t>
  </si>
  <si>
    <t xml:space="preserve">Cibicidoides EN066 GGC 51</t>
  </si>
  <si>
    <t xml:space="preserve">EN066 GGC 51</t>
  </si>
  <si>
    <t xml:space="preserve">Mixed benthic species</t>
  </si>
  <si>
    <t xml:space="preserve">CT-07-MB</t>
  </si>
  <si>
    <t xml:space="preserve">Mixed benthic species EN066 GGC 10</t>
  </si>
  <si>
    <t xml:space="preserve">Benthic</t>
  </si>
  <si>
    <t xml:space="preserve">CT-08-MB</t>
  </si>
  <si>
    <t xml:space="preserve">Mixed benthic species EN066 GGC 16</t>
  </si>
  <si>
    <t xml:space="preserve">CT-11-MB</t>
  </si>
  <si>
    <t xml:space="preserve">Mixed benthic species EN066 GGC 38</t>
  </si>
  <si>
    <t xml:space="preserve">CT-13-HE</t>
  </si>
  <si>
    <t xml:space="preserve">Hoeglundina elegans EN066 GGC 10</t>
  </si>
  <si>
    <t xml:space="preserve">CT-14-HE</t>
  </si>
  <si>
    <t xml:space="preserve">Hoeglundina elegans EN066 GGC 16</t>
  </si>
  <si>
    <t xml:space="preserve">CT-15-HE</t>
  </si>
  <si>
    <t xml:space="preserve">Hoeglundina elegans EN066 GGC 21</t>
  </si>
  <si>
    <t xml:space="preserve">CT-17-HE</t>
  </si>
  <si>
    <t xml:space="preserve">Hoeglundina elegans EN066 GGC 51</t>
  </si>
  <si>
    <t xml:space="preserve">CT-23-CB</t>
  </si>
  <si>
    <t xml:space="preserve">Cibicidoides OCE 205-2 GGC 43</t>
  </si>
  <si>
    <t xml:space="preserve">OCE 205-2 GGC 43</t>
  </si>
  <si>
    <t xml:space="preserve">Atlantic Ocean (Western tropical)</t>
  </si>
  <si>
    <t xml:space="preserve">CT-24-MB</t>
  </si>
  <si>
    <t xml:space="preserve">Mixed benthic species OCE 205-2 GGC 43</t>
  </si>
  <si>
    <t xml:space="preserve">CT-25-CB</t>
  </si>
  <si>
    <t xml:space="preserve">Cibicidoides OCE 205-2 BC 51</t>
  </si>
  <si>
    <t xml:space="preserve">OCE 205-2 BC 51</t>
  </si>
  <si>
    <t xml:space="preserve">CT-26-MB</t>
  </si>
  <si>
    <t xml:space="preserve">Mixed benthic species OCE 205-2 BC 51</t>
  </si>
  <si>
    <t xml:space="preserve">CT-28-MB</t>
  </si>
  <si>
    <t xml:space="preserve">Mixed benthic species OCE 205-2 BC 53</t>
  </si>
  <si>
    <t xml:space="preserve">OCE 205-2 BC 53</t>
  </si>
  <si>
    <t xml:space="preserve">CT-29-HE</t>
  </si>
  <si>
    <t xml:space="preserve">Hoeglundina elegans OCE 205-2 BC 53</t>
  </si>
  <si>
    <t xml:space="preserve">CT-31-MB</t>
  </si>
  <si>
    <t xml:space="preserve">Mixed benthic species OCE 205-2 BC 55</t>
  </si>
  <si>
    <t xml:space="preserve">OCE 205-2 BC 55</t>
  </si>
  <si>
    <t xml:space="preserve">CT-32-HE</t>
  </si>
  <si>
    <t xml:space="preserve">Hoeglundina elegans OCE 205-2 BC 55</t>
  </si>
  <si>
    <t xml:space="preserve">CT-36-CB</t>
  </si>
  <si>
    <t xml:space="preserve">Cibicidoides WIND 10B</t>
  </si>
  <si>
    <t xml:space="preserve">CT-39-UV</t>
  </si>
  <si>
    <t xml:space="preserve">Uvigerina CD145 A150</t>
  </si>
  <si>
    <t xml:space="preserve">CD145 A150</t>
  </si>
  <si>
    <t xml:space="preserve">Cassidulina</t>
  </si>
  <si>
    <t xml:space="preserve">CT-40-CC</t>
  </si>
  <si>
    <t xml:space="preserve">Cassidulina CD145 A150</t>
  </si>
  <si>
    <t xml:space="preserve">CT-41-MB</t>
  </si>
  <si>
    <t xml:space="preserve">Mixed benthic species CD145 A150</t>
  </si>
  <si>
    <t xml:space="preserve">CT-42-MB</t>
  </si>
  <si>
    <t xml:space="preserve">Mixed benthic species CD 145 A3200</t>
  </si>
  <si>
    <t xml:space="preserve">CD 145 A3200</t>
  </si>
  <si>
    <t xml:space="preserve">CT-51-MB</t>
  </si>
  <si>
    <t xml:space="preserve">Mixed benthic species OJP3411 MW0691 4BC51</t>
  </si>
  <si>
    <t xml:space="preserve">CT-52-MB</t>
  </si>
  <si>
    <t xml:space="preserve">Mixed benthic species OJP2445 MW0691 2.5BC37</t>
  </si>
  <si>
    <t xml:space="preserve">CT-54-MB</t>
  </si>
  <si>
    <t xml:space="preserve">Mixed benthic species OJP1614 MW0691 1BC7</t>
  </si>
  <si>
    <t xml:space="preserve">CT-58-MB</t>
  </si>
  <si>
    <t xml:space="preserve">Mixed benthic species MC-28G</t>
  </si>
  <si>
    <t xml:space="preserve">MW97 MC-28G</t>
  </si>
  <si>
    <t xml:space="preserve">CT-68-MB</t>
  </si>
  <si>
    <t xml:space="preserve">Mixed benthic species MW-91-9 GGC15</t>
  </si>
  <si>
    <t xml:space="preserve">MW-91-9 GGC15</t>
  </si>
  <si>
    <t xml:space="preserve">CT-69-MB</t>
  </si>
  <si>
    <t xml:space="preserve">Mixed benthic speciesMW97 MC-45A</t>
  </si>
  <si>
    <t xml:space="preserve">MW97 MC-45A</t>
  </si>
  <si>
    <t xml:space="preserve">2_5BC37 G tumida</t>
  </si>
  <si>
    <t xml:space="preserve">Tripati</t>
  </si>
  <si>
    <t xml:space="preserve">Globorotalia tumida 2.5BC37 </t>
  </si>
  <si>
    <t xml:space="preserve">2.5BC37 </t>
  </si>
  <si>
    <t xml:space="preserve">2BC13 sacculifer</t>
  </si>
  <si>
    <t xml:space="preserve">Trilobatus sacculifer 2BC13</t>
  </si>
  <si>
    <t xml:space="preserve">2BC13</t>
  </si>
  <si>
    <t xml:space="preserve">3BC16 G tumida</t>
  </si>
  <si>
    <t xml:space="preserve">Globorotalia tumida 3BC16 </t>
  </si>
  <si>
    <t xml:space="preserve">3BC16 </t>
  </si>
  <si>
    <t xml:space="preserve">4BC51 G tumida</t>
  </si>
  <si>
    <t xml:space="preserve">Globorotalia tumida 4BC51 </t>
  </si>
  <si>
    <t xml:space="preserve">4BC51 </t>
  </si>
  <si>
    <t xml:space="preserve">5_5BC58 G tumida</t>
  </si>
  <si>
    <t xml:space="preserve">Globorotalia tumida 5_5BC58 </t>
  </si>
  <si>
    <t xml:space="preserve">5_5BC58 </t>
  </si>
  <si>
    <t xml:space="preserve">5BC54 g tumida AT-136</t>
  </si>
  <si>
    <t xml:space="preserve">Globorotalia tumida 5BC54</t>
  </si>
  <si>
    <t xml:space="preserve">5BC54</t>
  </si>
  <si>
    <t xml:space="preserve">806A 1-1_9-11 G ruber</t>
  </si>
  <si>
    <t xml:space="preserve">Globigerinoides ruber 806A 1-1</t>
  </si>
  <si>
    <t xml:space="preserve">806A 1-1</t>
  </si>
  <si>
    <t xml:space="preserve">806A 1-1_9-11 G sacculifer</t>
  </si>
  <si>
    <t xml:space="preserve">Trilobatus sacculifer 806A 1-1</t>
  </si>
  <si>
    <t xml:space="preserve">Bulk</t>
  </si>
  <si>
    <t xml:space="preserve">BOFS 6K</t>
  </si>
  <si>
    <t xml:space="preserve">Bulk BOFS 6K</t>
  </si>
  <si>
    <t xml:space="preserve">Cibicidoides mundulus</t>
  </si>
  <si>
    <t xml:space="preserve">CD113 site A C MUNDULUS</t>
  </si>
  <si>
    <t xml:space="preserve">Cibicidoides mundulus CD113 site A</t>
  </si>
  <si>
    <t xml:space="preserve">CD113 site A</t>
  </si>
  <si>
    <t xml:space="preserve">mundulus</t>
  </si>
  <si>
    <t xml:space="preserve">Cibicidoides wuellerstorfi</t>
  </si>
  <si>
    <t xml:space="preserve">CD113 site A C WUELLERSTORFI</t>
  </si>
  <si>
    <t xml:space="preserve">Cibicidoides wuellerstorfi CD113 site A </t>
  </si>
  <si>
    <t xml:space="preserve">CD113 site A </t>
  </si>
  <si>
    <t xml:space="preserve">wuellerstorfi</t>
  </si>
  <si>
    <t xml:space="preserve">Oridorsalis umbonatus</t>
  </si>
  <si>
    <t xml:space="preserve">CD113 site A O UMBONATUS</t>
  </si>
  <si>
    <t xml:space="preserve">Oridorsalis umbonatus CD113 site A </t>
  </si>
  <si>
    <t xml:space="preserve">Oridorsalis</t>
  </si>
  <si>
    <t xml:space="preserve">umbonatus</t>
  </si>
  <si>
    <t xml:space="preserve">Globorotalia hirsuta </t>
  </si>
  <si>
    <t xml:space="preserve">CD145 A150 G HIRSUTA CLEANED OXID</t>
  </si>
  <si>
    <t xml:space="preserve">Globorotalia hirsuta  CD145 A150 </t>
  </si>
  <si>
    <t xml:space="preserve">CD145 A150 </t>
  </si>
  <si>
    <t xml:space="preserve">hirsuta</t>
  </si>
  <si>
    <t xml:space="preserve">500-700</t>
  </si>
  <si>
    <t xml:space="preserve">Subsurface</t>
  </si>
  <si>
    <t xml:space="preserve">No Photosymbionts </t>
  </si>
  <si>
    <t xml:space="preserve">CD145 A150 g ruber</t>
  </si>
  <si>
    <t xml:space="preserve">Globigerinoides ruber CD145 A150 </t>
  </si>
  <si>
    <t xml:space="preserve">Uvigerina semiornata</t>
  </si>
  <si>
    <t xml:space="preserve">CD145 A150 UVIGERINA</t>
  </si>
  <si>
    <t xml:space="preserve">Uvigerina semiornata CD145 A150 </t>
  </si>
  <si>
    <t xml:space="preserve">semiornata</t>
  </si>
  <si>
    <t xml:space="preserve">CD145 A300 0-1 CM G RUBER PLANKTIC FORAM</t>
  </si>
  <si>
    <t xml:space="preserve">Globigerinoides ruber CD145 A300</t>
  </si>
  <si>
    <t xml:space="preserve">CD145 A300</t>
  </si>
  <si>
    <t xml:space="preserve">CD145 A300 0-2 UVIGERINA</t>
  </si>
  <si>
    <t xml:space="preserve">Uvigerina semiornata CD145 A300 </t>
  </si>
  <si>
    <t xml:space="preserve">CD145 A300 </t>
  </si>
  <si>
    <t xml:space="preserve">CD145 A500 0-1 CM G RUBER PLANKTIC FORAM</t>
  </si>
  <si>
    <t xml:space="preserve">Globigerinoides ruber CD145 A500 </t>
  </si>
  <si>
    <t xml:space="preserve">CD145 A500 </t>
  </si>
  <si>
    <t xml:space="preserve">CD145 A500 P OBLIQUILOCULATA</t>
  </si>
  <si>
    <t xml:space="preserve">Pulleniatina obliquiloculata CD145 A500 </t>
  </si>
  <si>
    <t xml:space="preserve">CD145 A500 UVIGERINA</t>
  </si>
  <si>
    <t xml:space="preserve">Uvigerina semiornata CD145 A500 </t>
  </si>
  <si>
    <t xml:space="preserve">CH115-80P G SACC</t>
  </si>
  <si>
    <t xml:space="preserve">Trilobatus sacculifer CH115-80P G SACC</t>
  </si>
  <si>
    <t xml:space="preserve">CH75-18-16 G Sacc</t>
  </si>
  <si>
    <t xml:space="preserve">Trilobatus sacculifer CH75-18-16 </t>
  </si>
  <si>
    <t xml:space="preserve">CH75-18-16 </t>
  </si>
  <si>
    <t xml:space="preserve">KNR-110-43PC G MENARDII</t>
  </si>
  <si>
    <t xml:space="preserve">Globorotalia menardii KNR-110-43PC </t>
  </si>
  <si>
    <t xml:space="preserve">KNR-110-43PC </t>
  </si>
  <si>
    <t xml:space="preserve">KNR110-43-PC G SACC</t>
  </si>
  <si>
    <t xml:space="preserve">Trilobatus sacculifer KNR-110-43PC </t>
  </si>
  <si>
    <t xml:space="preserve">MD97-2138 0-5 bulk</t>
  </si>
  <si>
    <t xml:space="preserve">Bulk car 38 md97-2138</t>
  </si>
  <si>
    <t xml:space="preserve">car 38 md97-2138</t>
  </si>
  <si>
    <t xml:space="preserve">MD97-2138 g ruber 0-5 cm</t>
  </si>
  <si>
    <t xml:space="preserve">Globigerinoides ruber MD97-2138 </t>
  </si>
  <si>
    <t xml:space="preserve">MD97-2138 </t>
  </si>
  <si>
    <t xml:space="preserve">NEAP 19 HOEGLUNDINA ELEGANS</t>
  </si>
  <si>
    <t xml:space="preserve">Hoeglundina elegans NEAP 19 </t>
  </si>
  <si>
    <t xml:space="preserve">NEAP 19 </t>
  </si>
  <si>
    <t xml:space="preserve">NEAP 3B G bulloides</t>
  </si>
  <si>
    <t xml:space="preserve">Globigerina bulloides NEAP 3B G </t>
  </si>
  <si>
    <t xml:space="preserve">NEAP 3B G </t>
  </si>
  <si>
    <t xml:space="preserve">NEAP 5B</t>
  </si>
  <si>
    <t xml:space="preserve">Bulk NEAP 5B</t>
  </si>
  <si>
    <t xml:space="preserve">OJP 5BC 54  MIXED BENTHIC SPECIES</t>
  </si>
  <si>
    <t xml:space="preserve">Mixed benthic species OJP 5BC 54  </t>
  </si>
  <si>
    <t xml:space="preserve">OJP 5BC 54  </t>
  </si>
  <si>
    <t xml:space="preserve">PS1243 O umbonatus</t>
  </si>
  <si>
    <t xml:space="preserve">Oridorsalis umbonatus PS1243</t>
  </si>
  <si>
    <t xml:space="preserve">PS1243</t>
  </si>
  <si>
    <t xml:space="preserve">PS1243 wuellerstorfi</t>
  </si>
  <si>
    <t xml:space="preserve">Cibicidoides wuellerstorfi PS1243</t>
  </si>
  <si>
    <t xml:space="preserve">Planulina wuellerstorfi</t>
  </si>
  <si>
    <t xml:space="preserve">T90 10B G BULLOIDES</t>
  </si>
  <si>
    <t xml:space="preserve">Globigerina bulloides T90 10B </t>
  </si>
  <si>
    <t xml:space="preserve">T90 10B </t>
  </si>
  <si>
    <t xml:space="preserve">Globorotalia truncatulinoides</t>
  </si>
  <si>
    <t xml:space="preserve">T90 10B G truncatulinoides</t>
  </si>
  <si>
    <t xml:space="preserve">Globorotalia truncatulinoides T90 10B</t>
  </si>
  <si>
    <t xml:space="preserve">T90 10B</t>
  </si>
  <si>
    <t xml:space="preserve">truncatulinoides</t>
  </si>
  <si>
    <t xml:space="preserve">200-500</t>
  </si>
  <si>
    <t xml:space="preserve">T90 g hirsuta</t>
  </si>
  <si>
    <t xml:space="preserve">Globorotalia hirsuta  T90 </t>
  </si>
  <si>
    <t xml:space="preserve">T90 </t>
  </si>
  <si>
    <t xml:space="preserve">V24-109 G ruber</t>
  </si>
  <si>
    <t xml:space="preserve">Globigerinoides ruber V24-109 </t>
  </si>
  <si>
    <t xml:space="preserve">V24-109 </t>
  </si>
  <si>
    <t xml:space="preserve">V24-109 G sacc without sac</t>
  </si>
  <si>
    <t xml:space="preserve">Trilobatus sacculifer V24-109 </t>
  </si>
  <si>
    <t xml:space="preserve">Globigerina bulloides T88-07B 1</t>
  </si>
  <si>
    <t xml:space="preserve">Breitenbach 2018</t>
  </si>
  <si>
    <t xml:space="preserve">T88-07B</t>
  </si>
  <si>
    <t xml:space="preserve">Globigerina bulloides T88-07B 2</t>
  </si>
  <si>
    <t xml:space="preserve">Globigerina bulloides T90-01B</t>
  </si>
  <si>
    <t xml:space="preserve">T90-01B</t>
  </si>
  <si>
    <t xml:space="preserve">Globigerinoides sacculifer MD77191</t>
  </si>
  <si>
    <t xml:space="preserve">MD77191</t>
  </si>
  <si>
    <t xml:space="preserve">Globigerinoides sacculifer SHAK7-6ME</t>
  </si>
  <si>
    <t xml:space="preserve">SHAK7-6ME</t>
  </si>
  <si>
    <t xml:space="preserve">Atlantic Ocean (Northeastern subtropical)</t>
  </si>
  <si>
    <t xml:space="preserve">Globigerinoides sacculifer T86-10B</t>
  </si>
  <si>
    <t xml:space="preserve">T86-10B</t>
  </si>
  <si>
    <t xml:space="preserve">Neogloboquadrina pachyderma LOMROG 2009 PC-09</t>
  </si>
  <si>
    <t xml:space="preserve">LOMROG 2009 PC-09</t>
  </si>
  <si>
    <t xml:space="preserve">Arctic Ocean</t>
  </si>
  <si>
    <t xml:space="preserve">Arctic Ocean (Polar)</t>
  </si>
  <si>
    <t xml:space="preserve">Neogloboquadrina pachyderma MD012414</t>
  </si>
  <si>
    <t xml:space="preserve">MD012414</t>
  </si>
  <si>
    <t xml:space="preserve">Pacific Ocean (Northwestern temperate)</t>
  </si>
  <si>
    <t xml:space="preserve">Globoconella inflata T86-08B</t>
  </si>
  <si>
    <t xml:space="preserve">T86-08B</t>
  </si>
  <si>
    <t xml:space="preserve">Globoconella inflata T90-04B</t>
  </si>
  <si>
    <t xml:space="preserve">T90-04B</t>
  </si>
  <si>
    <t xml:space="preserve">Neogloboquadrina dutertrei BOFS30K</t>
  </si>
  <si>
    <t xml:space="preserve">BOFS30K</t>
  </si>
  <si>
    <t xml:space="preserve">Atlantic Ocean (Northeastern tropical)</t>
  </si>
  <si>
    <t xml:space="preserve">20-125</t>
  </si>
  <si>
    <t xml:space="preserve">Orbulina universa BOFS30K</t>
  </si>
  <si>
    <t xml:space="preserve">Orbulina universa SHAK4-3MA</t>
  </si>
  <si>
    <t xml:space="preserve">SHAK4-3MA</t>
  </si>
  <si>
    <t xml:space="preserve">Orbulina universa T90-03B</t>
  </si>
  <si>
    <t xml:space="preserve">T90-03B</t>
  </si>
  <si>
    <t xml:space="preserve">Orbulina universa WIND 10B</t>
  </si>
  <si>
    <t xml:space="preserve">Globorotalia hirsuta T90-03B</t>
  </si>
  <si>
    <t xml:space="preserve">Globorotalia hirsuta T90-08B</t>
  </si>
  <si>
    <t xml:space="preserve">T90-08B</t>
  </si>
  <si>
    <t xml:space="preserve">Globorotalia hirsuta</t>
  </si>
  <si>
    <t xml:space="preserve">Globorotalia menardii BOFS30K</t>
  </si>
  <si>
    <t xml:space="preserve">Globorotalia menardii MD77191</t>
  </si>
  <si>
    <t xml:space="preserve">Globigerina bulloides CD107-A-ML-5A</t>
  </si>
  <si>
    <t xml:space="preserve">Meinicke 2019</t>
  </si>
  <si>
    <t xml:space="preserve">Globigerina bulloides CD107 A ML 5A</t>
  </si>
  <si>
    <t xml:space="preserve">Globigerina bulloides CD94-17B-OMEX</t>
  </si>
  <si>
    <t xml:space="preserve">CD94 17B</t>
  </si>
  <si>
    <t xml:space="preserve">Globigerina bulloides GS06-144-19MC</t>
  </si>
  <si>
    <t xml:space="preserve">GS06-144-19MC</t>
  </si>
  <si>
    <t xml:space="preserve">Globigerina bulloides KL88</t>
  </si>
  <si>
    <t xml:space="preserve">KL88</t>
  </si>
  <si>
    <t xml:space="preserve">Atlantic Ocean (Northern subtropical)</t>
  </si>
  <si>
    <t xml:space="preserve">Globigerina bulloides SO213-84-2</t>
  </si>
  <si>
    <t xml:space="preserve">SO213-84-2</t>
  </si>
  <si>
    <t xml:space="preserve">Pacific Ocean (Southwestern temperate)</t>
  </si>
  <si>
    <t xml:space="preserve">Globigerinoides conglobatus</t>
  </si>
  <si>
    <t xml:space="preserve">Globigerinoides conglobatus SO164-25-3</t>
  </si>
  <si>
    <t xml:space="preserve">SO164-25-3</t>
  </si>
  <si>
    <t xml:space="preserve">Atlantic Ocean (Southwestern equitorial)</t>
  </si>
  <si>
    <t xml:space="preserve">conglobatus</t>
  </si>
  <si>
    <t xml:space="preserve">75-125</t>
  </si>
  <si>
    <t xml:space="preserve">Globigerinoides conglobatus SO225-53-1</t>
  </si>
  <si>
    <t xml:space="preserve">SO225-53-1</t>
  </si>
  <si>
    <t xml:space="preserve">Pacific Ocean (Western tropical)</t>
  </si>
  <si>
    <t xml:space="preserve">100-200</t>
  </si>
  <si>
    <t xml:space="preserve">Globigerinoides ruber KL88</t>
  </si>
  <si>
    <t xml:space="preserve">30-50</t>
  </si>
  <si>
    <t xml:space="preserve">Globigerinoides ruber pink SO164-25-3</t>
  </si>
  <si>
    <t xml:space="preserve">Globigerinoides ruber white sl SO164-25-3</t>
  </si>
  <si>
    <t xml:space="preserve">Globigerinoides ruber white ss SO164-25-3</t>
  </si>
  <si>
    <t xml:space="preserve">0-30</t>
  </si>
  <si>
    <t xml:space="preserve">Globigerinoides ruber SO225-53-1</t>
  </si>
  <si>
    <t xml:space="preserve">50-150</t>
  </si>
  <si>
    <t xml:space="preserve">Globigerinoides ruber white s.s.</t>
  </si>
  <si>
    <t xml:space="preserve">Globigerinoides ruber WIND-33B</t>
  </si>
  <si>
    <t xml:space="preserve">Neogloboquadrina  pachyderma </t>
  </si>
  <si>
    <t xml:space="preserve">Neogloboquadrina pachyderma GS15-198-63MC</t>
  </si>
  <si>
    <t xml:space="preserve">GS15-198-63MC</t>
  </si>
  <si>
    <t xml:space="preserve">Arctic Ocean (Subpolar)</t>
  </si>
  <si>
    <t xml:space="preserve">Neogloboquadrina pachyderma </t>
  </si>
  <si>
    <t xml:space="preserve">Neogloboquadrina pachyderma GS15-198-38MC</t>
  </si>
  <si>
    <t xml:space="preserve">GS15-198-38MC</t>
  </si>
  <si>
    <t xml:space="preserve">Neogloboquadrina pachyderma GS15-198-62MC</t>
  </si>
  <si>
    <t xml:space="preserve">GS15-198-62MC</t>
  </si>
  <si>
    <t xml:space="preserve">Pulleniatina obliquiloculata SO164-25-3</t>
  </si>
  <si>
    <t xml:space="preserve">Pulleniatina obliquiloculata SO225-53-1</t>
  </si>
  <si>
    <t xml:space="preserve">150-200</t>
  </si>
  <si>
    <t xml:space="preserve">Pulleniatina obliquiloculata WIND-33B</t>
  </si>
  <si>
    <t xml:space="preserve">Trilobatus sacculifer SO225-53-1</t>
  </si>
  <si>
    <t xml:space="preserve">75-150</t>
  </si>
  <si>
    <t xml:space="preserve">Trilobatus sacculifer WIND-33B</t>
  </si>
  <si>
    <t xml:space="preserve">Trilobatus trilobus</t>
  </si>
  <si>
    <t xml:space="preserve">Trilobatus trilobus OJP2016-MW0691-1-5BC11</t>
  </si>
  <si>
    <t xml:space="preserve">trilobus</t>
  </si>
  <si>
    <t xml:space="preserve">Trilobatus trilobus SO164-25-3</t>
  </si>
  <si>
    <t xml:space="preserve">Trilobatus trilobus SO225-53-1</t>
  </si>
  <si>
    <t xml:space="preserve">Trilobatus trilobus WIND-33B</t>
  </si>
  <si>
    <t xml:space="preserve">Globoconella inflata CD94-17B-OMEX</t>
  </si>
  <si>
    <t xml:space="preserve">Globoconella inflata GS06-144-19MC</t>
  </si>
  <si>
    <t xml:space="preserve">Globoconella inflata KL88</t>
  </si>
  <si>
    <t xml:space="preserve">Globoconella inflata SO213-84-2</t>
  </si>
  <si>
    <t xml:space="preserve">Neogloboquadrina dutertrei CD145-A150</t>
  </si>
  <si>
    <t xml:space="preserve">Neogloboquadrina dutertrei WIND-33B</t>
  </si>
  <si>
    <t xml:space="preserve">Orbulina universa CD107-A-ML-5A</t>
  </si>
  <si>
    <t xml:space="preserve">Orbulina universa CD94-17B-OMEX</t>
  </si>
  <si>
    <t xml:space="preserve">Orbulina universa SO225-53-1</t>
  </si>
  <si>
    <t xml:space="preserve">50-200</t>
  </si>
  <si>
    <t xml:space="preserve">Orbulina universa WIND-33B</t>
  </si>
  <si>
    <t xml:space="preserve">Globorotalia hirsuta CD107-A-ML-5A</t>
  </si>
  <si>
    <t xml:space="preserve">Globorotalia menardii WIND-33B</t>
  </si>
  <si>
    <t xml:space="preserve">Globorotalia truncatulinoides CD107-A-ML-5A</t>
  </si>
  <si>
    <t xml:space="preserve">Globorotalia truncatulinoides CD94-17B-OMEX</t>
  </si>
  <si>
    <t xml:space="preserve">Globorotalia truncatulinoides KL88</t>
  </si>
  <si>
    <t xml:space="preserve">Globorotalia truncatulinoides SO213-84-2</t>
  </si>
  <si>
    <t xml:space="preserve">Globorotalia tumida SO225-53-1</t>
  </si>
  <si>
    <t xml:space="preserve">Globorotalia tumida WIND-33B</t>
  </si>
  <si>
    <t xml:space="preserve">Cibicides wuellerstorfi MOCOSEDst1</t>
  </si>
  <si>
    <t xml:space="preserve">Peral 2018</t>
  </si>
  <si>
    <t xml:space="preserve">MOCOSEDst1</t>
  </si>
  <si>
    <t xml:space="preserve">Uvigerina mediterranea 2FPA1</t>
  </si>
  <si>
    <t xml:space="preserve">2FPA1</t>
  </si>
  <si>
    <t xml:space="preserve">Uvigerina mediterranea</t>
  </si>
  <si>
    <t xml:space="preserve">mediterranea</t>
  </si>
  <si>
    <t xml:space="preserve">Globigerina bulloides MD08-3182</t>
  </si>
  <si>
    <t xml:space="preserve">MD08-3182</t>
  </si>
  <si>
    <t xml:space="preserve">Globigerina bulloides MD12-3401</t>
  </si>
  <si>
    <t xml:space="preserve">MD12-3401</t>
  </si>
  <si>
    <t xml:space="preserve">Globigerina bulloides MD95-2014</t>
  </si>
  <si>
    <t xml:space="preserve">MD95-2014</t>
  </si>
  <si>
    <t xml:space="preserve">Globigerina bulloides SU90-03</t>
  </si>
  <si>
    <t xml:space="preserve">SU90-03</t>
  </si>
  <si>
    <t xml:space="preserve">Globigerinoides ruber MD00-2360</t>
  </si>
  <si>
    <t xml:space="preserve">MD00-2360</t>
  </si>
  <si>
    <t xml:space="preserve">Indian Ocean (Southeastern subtropical)</t>
  </si>
  <si>
    <t xml:space="preserve">Globigerinoides ruber MD02-2577</t>
  </si>
  <si>
    <t xml:space="preserve">MD02-2577</t>
  </si>
  <si>
    <t xml:space="preserve">Globigerinoides ruber MD08-3179</t>
  </si>
  <si>
    <t xml:space="preserve">MD08-3179</t>
  </si>
  <si>
    <t xml:space="preserve">Neogloboquadrina pachyderma MD03-2680</t>
  </si>
  <si>
    <t xml:space="preserve">MD03-2680</t>
  </si>
  <si>
    <t xml:space="preserve">Neogloboquadrina pachyderma MD04-2720</t>
  </si>
  <si>
    <t xml:space="preserve">MD04-2720</t>
  </si>
  <si>
    <t xml:space="preserve">Neogloboquadrina pachyderma MD08-3182</t>
  </si>
  <si>
    <t xml:space="preserve">Neogloboquadrina pachyderma MOCOSEDst1</t>
  </si>
  <si>
    <t xml:space="preserve">Globoconella inflata 200-250 MD08-3179</t>
  </si>
  <si>
    <t xml:space="preserve">Globoconella inflata 250-315 MD08-3179</t>
  </si>
  <si>
    <t xml:space="preserve">Globoconella inflata 315-355 MD08-3179</t>
  </si>
  <si>
    <t xml:space="preserve">Globoconella inflata 355-400 MD08-3179</t>
  </si>
  <si>
    <t xml:space="preserve">Globoconella inflata 400-450 MD08-3179</t>
  </si>
  <si>
    <t xml:space="preserve">Globoconella inflata 450-500 MD08-3179</t>
  </si>
  <si>
    <t xml:space="preserve">Orbulina universa MD00-2360</t>
  </si>
  <si>
    <t xml:space="preserve">Orbulina universa MD02-2577</t>
  </si>
  <si>
    <t xml:space="preserve">Orbulina universa MD12-3426</t>
  </si>
  <si>
    <t xml:space="preserve">MD12-3426</t>
  </si>
  <si>
    <t xml:space="preserve">Globorotalia menardii MD00-2360</t>
  </si>
  <si>
    <t xml:space="preserve">Globorotalia menardii MD02-2577</t>
  </si>
  <si>
    <t xml:space="preserve">Globorotalia menardii MD12-3426</t>
  </si>
  <si>
    <t xml:space="preserve">Globorotalia truncatulinoides MD08-3179</t>
  </si>
  <si>
    <t xml:space="preserve">Mixed benthic 13MC-G</t>
  </si>
  <si>
    <t xml:space="preserve">Piasecki (ETH 1, 3, 4)</t>
  </si>
  <si>
    <t xml:space="preserve">13MC-G</t>
  </si>
  <si>
    <t xml:space="preserve">Atlantic Ocean (Northwestern tropical)</t>
  </si>
  <si>
    <t xml:space="preserve">Mixed benthic 19MC-G</t>
  </si>
  <si>
    <t xml:space="preserve">19MC-G</t>
  </si>
  <si>
    <t xml:space="preserve">Mixed benthic 50MC-G</t>
  </si>
  <si>
    <t xml:space="preserve">50MC-G</t>
  </si>
  <si>
    <t xml:space="preserve">Mixed benthic 53MC-G</t>
  </si>
  <si>
    <t xml:space="preserve">53MC-G</t>
  </si>
  <si>
    <t xml:space="preserve">Mixed benthic 89MC-G</t>
  </si>
  <si>
    <t xml:space="preserve">89MC-G</t>
  </si>
  <si>
    <t xml:space="preserve">Mixed benthic 94MC-G</t>
  </si>
  <si>
    <t xml:space="preserve">94MC-G</t>
  </si>
  <si>
    <t xml:space="preserve">No Photosymbionts GS06-144-19</t>
  </si>
  <si>
    <t xml:space="preserve">Melonis barleannum GS06-144-19</t>
  </si>
  <si>
    <t xml:space="preserve">GS06-144-19</t>
  </si>
  <si>
    <t xml:space="preserve">Melonis barleannum</t>
  </si>
  <si>
    <t xml:space="preserve">Melonis</t>
  </si>
  <si>
    <t xml:space="preserve">barleannum</t>
  </si>
  <si>
    <t xml:space="preserve">No Photosymbionts GS07-150-17-2</t>
  </si>
  <si>
    <t xml:space="preserve">Pyrgo spp GS07-150-17-2</t>
  </si>
  <si>
    <t xml:space="preserve">GS07-150-17-2</t>
  </si>
  <si>
    <t xml:space="preserve">Pyrgo spp</t>
  </si>
  <si>
    <t xml:space="preserve">Pyrgo</t>
  </si>
  <si>
    <t xml:space="preserve">Mixed benthic GS07-150-22-1</t>
  </si>
  <si>
    <t xml:space="preserve">GS07-150-22-1</t>
  </si>
  <si>
    <t xml:space="preserve">No Photosymbionts MP43-BC</t>
  </si>
  <si>
    <t xml:space="preserve">Uvigerina mediteranea MP43-BC</t>
  </si>
  <si>
    <t xml:space="preserve">MP43-BC</t>
  </si>
  <si>
    <t xml:space="preserve">Mediterranean Sea</t>
  </si>
  <si>
    <t xml:space="preserve">Mixed benthic MP46-MC</t>
  </si>
  <si>
    <t xml:space="preserve">MP46-MC</t>
  </si>
  <si>
    <t xml:space="preserve">Cibicidoides pachyderma SO213-54-4</t>
  </si>
  <si>
    <t xml:space="preserve">SO213-54-4</t>
  </si>
  <si>
    <t xml:space="preserve">Pacific Ocean (Eastern temperate)</t>
  </si>
  <si>
    <t xml:space="preserve">Cibicidoides pachyderma</t>
  </si>
  <si>
    <t xml:space="preserve">Mixed benthic SO213-71-2</t>
  </si>
  <si>
    <t xml:space="preserve">SO213-71-2</t>
  </si>
  <si>
    <t xml:space="preserve">Pacific Ocean (Southern temperate)</t>
  </si>
  <si>
    <t xml:space="preserve">Meinicke</t>
  </si>
  <si>
    <t xml:space="preserve">Peral</t>
  </si>
  <si>
    <t xml:space="preserve">Globigerina bulloides MD88-770</t>
  </si>
  <si>
    <t xml:space="preserve">V26-46-G sacc</t>
  </si>
  <si>
    <t xml:space="preserve">species</t>
  </si>
  <si>
    <t xml:space="preserve">atlas temp</t>
  </si>
  <si>
    <t xml:space="preserve">isotopic temp</t>
  </si>
  <si>
    <t xml:space="preserve">D47 </t>
  </si>
  <si>
    <t xml:space="preserve">se</t>
  </si>
  <si>
    <t xml:space="preserve">0.012</t>
  </si>
  <si>
    <t xml:space="preserve">0.009</t>
  </si>
  <si>
    <t xml:space="preserve">0.01</t>
  </si>
  <si>
    <t xml:space="preserve">0.014</t>
  </si>
  <si>
    <t xml:space="preserve">0.007</t>
  </si>
  <si>
    <t xml:space="preserve">sample lookup name</t>
  </si>
  <si>
    <t xml:space="preserve">WOA13 temp</t>
  </si>
  <si>
    <t xml:space="preserve">Neogloboquadrina dutertrei IODP1436</t>
  </si>
  <si>
    <t xml:space="preserve">Neogloboquadrina pachyderma LOMROG 2007 PC-04</t>
  </si>
  <si>
    <t xml:space="preserve">Neogloboquadrina dutertrei MD77191</t>
  </si>
  <si>
    <t xml:space="preserve">Orbulina universa T88-17B</t>
  </si>
  <si>
    <t xml:space="preserve">Globorotalia tumida 2.5BC13</t>
  </si>
  <si>
    <t xml:space="preserve">Tripati 2010</t>
  </si>
  <si>
    <t xml:space="preserve">Globorotalia menardii CH75-18-16 </t>
  </si>
  <si>
    <t xml:space="preserve">Trilobatus sacculifer V26-46-G sacc</t>
  </si>
  <si>
    <t xml:space="preserve">Globigerinoides sacculifer (Sac) A14</t>
  </si>
  <si>
    <t xml:space="preserve">Pulleniatina obliquiloculata A14</t>
  </si>
  <si>
    <t xml:space="preserve">Globigerinoides sacculifer OJP1014 MW0691 1BC7</t>
  </si>
  <si>
    <t xml:space="preserve">Globorotalia tumida OJP1014 MW0691 1BC7</t>
  </si>
  <si>
    <t xml:space="preserve">Pulleniatina obliquiloculata OJP1014 MW0691 1BC7</t>
  </si>
  <si>
    <t xml:space="preserve">Globigerinoides sacculifer OJP1614 1BC7</t>
  </si>
  <si>
    <t xml:space="preserve">Pulleniatina obliquiloculata OJP4015 MW0691 5BC54</t>
  </si>
  <si>
    <t xml:space="preserve">Globigerinoides ruber RC1-1</t>
  </si>
  <si>
    <t xml:space="preserve">Piasecki</t>
  </si>
  <si>
    <t xml:space="preserve">Pooled Mean</t>
  </si>
  <si>
    <t xml:space="preserve">Naive SE</t>
  </si>
  <si>
    <t xml:space="preserve">Time-series SE</t>
  </si>
  <si>
    <t xml:space="preserve">T. sacculifer mean</t>
  </si>
  <si>
    <t xml:space="preserve">G. ruber Mean</t>
  </si>
  <si>
    <t xml:space="preserve">G. bulloides Mean</t>
  </si>
  <si>
    <t xml:space="preserve">Naive SE Tim</t>
  </si>
  <si>
    <t xml:space="preserve">e-series SE</t>
  </si>
  <si>
    <t xml:space="preserve">N. pachyderma Mean</t>
  </si>
  <si>
    <t xml:space="preserve">FC20E_calcite</t>
  </si>
  <si>
    <t xml:space="preserve">FC31B_calcite</t>
  </si>
  <si>
    <t xml:space="preserve">FC46C</t>
  </si>
  <si>
    <t xml:space="preserve">A14_12</t>
  </si>
  <si>
    <t xml:space="preserve">A14_13</t>
  </si>
  <si>
    <t xml:space="preserve">A14_14</t>
  </si>
  <si>
    <t xml:space="preserve">A14_15</t>
  </si>
  <si>
    <t xml:space="preserve">A14_16</t>
  </si>
  <si>
    <t xml:space="preserve">E035_1</t>
  </si>
  <si>
    <t xml:space="preserve">E035_2</t>
  </si>
  <si>
    <t xml:space="preserve">E035_3</t>
  </si>
  <si>
    <t xml:space="preserve">E035_5</t>
  </si>
  <si>
    <t xml:space="preserve">E035_6</t>
  </si>
  <si>
    <t xml:space="preserve">WP7_18</t>
  </si>
  <si>
    <t xml:space="preserve">WP7_19</t>
  </si>
  <si>
    <t xml:space="preserve">WP7_20</t>
  </si>
  <si>
    <t xml:space="preserve">JL1</t>
  </si>
  <si>
    <t xml:space="preserve">JL10</t>
  </si>
  <si>
    <t xml:space="preserve">JL14</t>
  </si>
  <si>
    <t xml:space="preserve">JL18</t>
  </si>
  <si>
    <t xml:space="preserve">JL2</t>
  </si>
  <si>
    <t xml:space="preserve">JL3</t>
  </si>
  <si>
    <t xml:space="preserve">JL32</t>
  </si>
  <si>
    <t xml:space="preserve">JL33</t>
  </si>
  <si>
    <t xml:space="preserve">JL5</t>
  </si>
  <si>
    <t xml:space="preserve">JL7</t>
  </si>
  <si>
    <t xml:space="preserve">JL8</t>
  </si>
  <si>
    <t xml:space="preserve">JL9</t>
  </si>
  <si>
    <t xml:space="preserve">G siphonifera 2965m</t>
  </si>
  <si>
    <t xml:space="preserve">N dutertrei 3711m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</si>
</sst>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0.0"/>
    <numFmt numFmtId="168" formatCode="0"/>
    <numFmt numFmtId="169" formatCode="General"/>
  </numFmts>
  <fonts count="13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1E1E1E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1E1E1E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EDEDED"/>
        <bgColor rgb="FFE7E6E6"/>
      </patternFill>
    </fill>
    <fill>
      <patternFill patternType="solid">
        <fgColor rgb="FFD6DCE5"/>
        <bgColor rgb="FFE7E6E6"/>
      </patternFill>
    </fill>
    <fill>
      <patternFill patternType="solid">
        <fgColor rgb="FFFF9999"/>
        <bgColor rgb="FFFF8080"/>
      </patternFill>
    </fill>
    <fill>
      <patternFill patternType="solid">
        <fgColor rgb="FFFFBDBD"/>
        <bgColor rgb="FFFFC7CE"/>
      </patternFill>
    </fill>
    <fill>
      <patternFill patternType="solid">
        <fgColor rgb="FFFFC000"/>
        <bgColor rgb="FFFFD961"/>
      </patternFill>
    </fill>
    <fill>
      <patternFill patternType="solid">
        <fgColor rgb="FFFFD961"/>
        <bgColor rgb="FFFFD966"/>
      </patternFill>
    </fill>
    <fill>
      <patternFill patternType="solid">
        <fgColor rgb="FF00B0F0"/>
        <bgColor rgb="FF33CCCC"/>
      </patternFill>
    </fill>
    <fill>
      <patternFill patternType="solid">
        <fgColor rgb="FF009900"/>
        <bgColor rgb="FF00C400"/>
      </patternFill>
    </fill>
    <fill>
      <patternFill patternType="solid">
        <fgColor rgb="FF00C400"/>
        <bgColor rgb="FF009900"/>
      </patternFill>
    </fill>
    <fill>
      <patternFill patternType="solid">
        <fgColor rgb="FF93952F"/>
        <bgColor rgb="FF70AD47"/>
      </patternFill>
    </fill>
    <fill>
      <patternFill patternType="solid">
        <fgColor rgb="FFC55A11"/>
        <bgColor rgb="FF993300"/>
      </patternFill>
    </fill>
    <fill>
      <patternFill patternType="solid">
        <fgColor rgb="FFFFFF00"/>
        <bgColor rgb="FFFFD961"/>
      </patternFill>
    </fill>
    <fill>
      <patternFill patternType="solid">
        <fgColor rgb="FFDEEBF7"/>
        <bgColor rgb="FFE7E6E6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FFFFFF"/>
        <bgColor rgb="FFEDEDED"/>
      </patternFill>
    </fill>
    <fill>
      <patternFill patternType="solid">
        <fgColor rgb="FF70AD47"/>
        <bgColor rgb="FF93952F"/>
      </patternFill>
    </fill>
    <fill>
      <patternFill patternType="solid">
        <fgColor rgb="FFE7E6E6"/>
        <bgColor rgb="FFEDEDED"/>
      </patternFill>
    </fill>
    <fill>
      <patternFill patternType="solid">
        <fgColor rgb="FFC5E0B4"/>
        <bgColor rgb="FFD6DCE5"/>
      </patternFill>
    </fill>
    <fill>
      <patternFill patternType="solid">
        <fgColor rgb="FFFFD966"/>
        <bgColor rgb="FFFFD961"/>
      </patternFill>
    </fill>
    <fill>
      <patternFill patternType="solid">
        <fgColor rgb="FFF8CBAD"/>
        <bgColor rgb="FFFFC7C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2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22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22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22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0" xfId="22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6" fontId="4" fillId="0" borderId="0" xfId="22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4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6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2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22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1" xfId="22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2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2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1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4" fillId="0" borderId="0" xfId="22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6" borderId="1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1" borderId="1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22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3" xfId="22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2" borderId="1" xfId="22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2" borderId="1" xfId="22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2" borderId="1" xfId="22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2" borderId="3" xfId="22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3" xfId="22" applyFont="fals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XLConnect.String" xfId="22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C400"/>
      <rgbColor rgb="FF0000FF"/>
      <rgbColor rgb="FFFFFF00"/>
      <rgbColor rgb="FFFF00FF"/>
      <rgbColor rgb="FF00FFFF"/>
      <rgbColor rgb="FF9C0006"/>
      <rgbColor rgb="FF009900"/>
      <rgbColor rgb="FF000080"/>
      <rgbColor rgb="FF93952F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6DCE5"/>
      <rgbColor rgb="FF000080"/>
      <rgbColor rgb="FFFF00FF"/>
      <rgbColor rgb="FFFFD961"/>
      <rgbColor rgb="FF00FFFF"/>
      <rgbColor rgb="FF800080"/>
      <rgbColor rgb="FF800000"/>
      <rgbColor rgb="FF008080"/>
      <rgbColor rgb="FF0000FF"/>
      <rgbColor rgb="FF00B0F0"/>
      <rgbColor rgb="FFEDEDED"/>
      <rgbColor rgb="FFE7E6E6"/>
      <rgbColor rgb="FFFBE5D6"/>
      <rgbColor rgb="FFFFC7CE"/>
      <rgbColor rgb="FFFF9999"/>
      <rgbColor rgb="FFFFBDBD"/>
      <rgbColor rgb="FFF8CBAD"/>
      <rgbColor rgb="FF3366FF"/>
      <rgbColor rgb="FF33CCCC"/>
      <rgbColor rgb="FF99CC00"/>
      <rgbColor rgb="FFFFC000"/>
      <rgbColor rgb="FFFFD966"/>
      <rgbColor rgb="FFC55A1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externalLink" Target="externalLinks/externalLink1.xml"/><Relationship Id="rId10" Type="http://schemas.openxmlformats.org/officeDocument/2006/relationships/externalLink" Target="externalLinks/externalLink2.xml"/><Relationship Id="rId11" Type="http://schemas.openxmlformats.org/officeDocument/2006/relationships/externalLink" Target="externalLinks/externalLink3.xml"/><Relationship Id="rId12" Type="http://schemas.openxmlformats.org/officeDocument/2006/relationships/externalLink" Target="externalLinks/externalLink4.xml"/><Relationship Id="rId13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ome/hannah/Documents/Research/UCLA/Tripati%20lab/Foram%20calibration/home/hannah/Documents/Research/UCLA/Tripati%20lab/Foram%20calibration/ForamCal_October2022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C:/Users/Randy/Desktop/Research%20projects/Foram%20Calibration%20Data/UCLA%20Site%20d18Osw%20GISS%20and%20WOA13%20temp%20with%20profile%20temps%2010_26_22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home/hannah/Documents/Research/UCLA/Tripati%20lab/Foram%20calibration/home/hannah/Documents/Research/UCLA/Tripati%20lab/Foram%20calibration/calcification%20depths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home/hannah/Documents/Research/UCLA/Tripati%20lab/Foram%20calibration/home/hannah/Documents/Research/UCLA/Tripati%20lab/Foram%20calibration/woa18_decav_s00mn01.csv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4"/>
      <sheetName val="Sheet3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ite Coordinates"/>
      <sheetName val="d18Osw GISS"/>
      <sheetName val="WOA13 V2 Data"/>
      <sheetName val="profile data"/>
      <sheetName val="Sheet2"/>
      <sheetName val="Sheet3"/>
      <sheetName val="Sheet1"/>
      <sheetName val="dissolution si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Vlookup tables"/>
      <sheetName val="Calc depths by study"/>
      <sheetName val="Calc depths by species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woa18_decav_s00mn01"/>
    </sheetNames>
    <sheetDataSet>
      <sheetData sheetId="0">
        <row r="6091">
          <cell r="W6091">
            <v>33.832</v>
          </cell>
          <cell r="X6091">
            <v>33.852</v>
          </cell>
          <cell r="Y6091">
            <v>33.877</v>
          </cell>
        </row>
        <row r="6092">
          <cell r="C6092">
            <v>33.852</v>
          </cell>
          <cell r="D6092">
            <v>33.846</v>
          </cell>
          <cell r="E6092">
            <v>33.848</v>
          </cell>
          <cell r="F6092">
            <v>33.848</v>
          </cell>
          <cell r="G6092">
            <v>33.848</v>
          </cell>
          <cell r="H6092">
            <v>33.848</v>
          </cell>
          <cell r="I6092">
            <v>33.849</v>
          </cell>
          <cell r="J6092">
            <v>33.85</v>
          </cell>
          <cell r="K6092">
            <v>33.85</v>
          </cell>
          <cell r="L6092">
            <v>33.85</v>
          </cell>
          <cell r="M6092">
            <v>33.85</v>
          </cell>
          <cell r="N6092">
            <v>33.85</v>
          </cell>
          <cell r="O6092">
            <v>33.851</v>
          </cell>
          <cell r="P6092">
            <v>33.851</v>
          </cell>
          <cell r="Q6092">
            <v>33.851</v>
          </cell>
          <cell r="R6092">
            <v>33.852</v>
          </cell>
          <cell r="S6092">
            <v>33.852</v>
          </cell>
          <cell r="T6092">
            <v>33.852</v>
          </cell>
          <cell r="U6092">
            <v>33.852</v>
          </cell>
          <cell r="V6092">
            <v>33.853</v>
          </cell>
          <cell r="W6092">
            <v>33.854</v>
          </cell>
          <cell r="X6092">
            <v>33.865</v>
          </cell>
          <cell r="Y6092">
            <v>33.892</v>
          </cell>
          <cell r="Z6092">
            <v>33.916</v>
          </cell>
          <cell r="AA6092">
            <v>34.009</v>
          </cell>
        </row>
        <row r="6160">
          <cell r="C6160">
            <v>33.815</v>
          </cell>
          <cell r="D6160">
            <v>33.816</v>
          </cell>
          <cell r="E6160">
            <v>33.815</v>
          </cell>
          <cell r="F6160">
            <v>33.816</v>
          </cell>
          <cell r="G6160">
            <v>33.817</v>
          </cell>
          <cell r="H6160">
            <v>33.817</v>
          </cell>
          <cell r="I6160">
            <v>33.817</v>
          </cell>
          <cell r="J6160">
            <v>33.817</v>
          </cell>
          <cell r="K6160">
            <v>33.818</v>
          </cell>
          <cell r="L6160">
            <v>33.818</v>
          </cell>
          <cell r="M6160">
            <v>33.818</v>
          </cell>
          <cell r="N6160">
            <v>33.818</v>
          </cell>
          <cell r="O6160">
            <v>33.818</v>
          </cell>
          <cell r="P6160">
            <v>33.819</v>
          </cell>
          <cell r="Q6160">
            <v>33.819</v>
          </cell>
          <cell r="R6160">
            <v>33.818</v>
          </cell>
          <cell r="S6160">
            <v>33.82</v>
          </cell>
          <cell r="T6160">
            <v>33.824</v>
          </cell>
          <cell r="U6160">
            <v>33.828</v>
          </cell>
          <cell r="V6160">
            <v>33.836</v>
          </cell>
          <cell r="W6160">
            <v>33.843</v>
          </cell>
          <cell r="X6160">
            <v>33.859</v>
          </cell>
          <cell r="Y6160">
            <v>33.892</v>
          </cell>
          <cell r="Z6160">
            <v>33.948</v>
          </cell>
          <cell r="AA6160">
            <v>34.02</v>
          </cell>
          <cell r="AB6160">
            <v>34.072</v>
          </cell>
          <cell r="AC6160">
            <v>34.119</v>
          </cell>
          <cell r="AD6160">
            <v>34.152</v>
          </cell>
          <cell r="AE6160">
            <v>34.189</v>
          </cell>
          <cell r="AF6160">
            <v>34.217</v>
          </cell>
          <cell r="AG6160">
            <v>34.241</v>
          </cell>
          <cell r="AH6160">
            <v>34.266</v>
          </cell>
          <cell r="AI6160">
            <v>34.29</v>
          </cell>
          <cell r="AJ6160">
            <v>34.315</v>
          </cell>
          <cell r="AK6160">
            <v>34.34</v>
          </cell>
          <cell r="AL6160">
            <v>34.361</v>
          </cell>
          <cell r="AM6160">
            <v>34.381</v>
          </cell>
        </row>
        <row r="7492">
          <cell r="C7492">
            <v>33.872</v>
          </cell>
          <cell r="D7492">
            <v>33.875</v>
          </cell>
          <cell r="E7492">
            <v>33.872</v>
          </cell>
          <cell r="F7492">
            <v>33.873</v>
          </cell>
          <cell r="G7492">
            <v>33.873</v>
          </cell>
          <cell r="H7492">
            <v>33.874</v>
          </cell>
          <cell r="I7492">
            <v>33.876</v>
          </cell>
          <cell r="J7492">
            <v>33.877</v>
          </cell>
          <cell r="K7492">
            <v>33.877</v>
          </cell>
          <cell r="L7492">
            <v>33.874</v>
          </cell>
          <cell r="M7492">
            <v>33.875</v>
          </cell>
          <cell r="N7492">
            <v>33.879</v>
          </cell>
          <cell r="O7492">
            <v>33.879</v>
          </cell>
          <cell r="P7492">
            <v>33.88</v>
          </cell>
          <cell r="Q7492">
            <v>33.881</v>
          </cell>
          <cell r="R7492">
            <v>33.882</v>
          </cell>
          <cell r="S7492">
            <v>33.883</v>
          </cell>
          <cell r="T7492">
            <v>33.885</v>
          </cell>
          <cell r="U7492">
            <v>33.886</v>
          </cell>
          <cell r="V7492">
            <v>33.887</v>
          </cell>
          <cell r="W7492">
            <v>33.888</v>
          </cell>
          <cell r="X7492">
            <v>33.901</v>
          </cell>
          <cell r="Y7492">
            <v>33.924</v>
          </cell>
          <cell r="Z7492">
            <v>33.955</v>
          </cell>
          <cell r="AA7492">
            <v>33.988</v>
          </cell>
        </row>
        <row r="8990">
          <cell r="C8990">
            <v>34.315</v>
          </cell>
          <cell r="D8990">
            <v>34.317</v>
          </cell>
          <cell r="E8990">
            <v>34.307</v>
          </cell>
          <cell r="F8990">
            <v>34.306</v>
          </cell>
          <cell r="G8990">
            <v>34.306</v>
          </cell>
          <cell r="H8990">
            <v>34.305</v>
          </cell>
          <cell r="I8990">
            <v>34.305</v>
          </cell>
          <cell r="J8990">
            <v>34.307</v>
          </cell>
          <cell r="K8990">
            <v>34.306</v>
          </cell>
          <cell r="L8990">
            <v>34.306</v>
          </cell>
          <cell r="M8990">
            <v>34.288</v>
          </cell>
          <cell r="N8990">
            <v>34.292</v>
          </cell>
          <cell r="O8990">
            <v>34.296</v>
          </cell>
          <cell r="P8990">
            <v>34.296</v>
          </cell>
          <cell r="Q8990">
            <v>34.299</v>
          </cell>
          <cell r="R8990">
            <v>34.298</v>
          </cell>
          <cell r="S8990">
            <v>34.304</v>
          </cell>
          <cell r="T8990">
            <v>34.311</v>
          </cell>
          <cell r="U8990">
            <v>34.313</v>
          </cell>
          <cell r="V8990">
            <v>34.316</v>
          </cell>
          <cell r="W8990">
            <v>34.319</v>
          </cell>
          <cell r="X8990">
            <v>34.344</v>
          </cell>
          <cell r="Y8990">
            <v>34.36</v>
          </cell>
          <cell r="Z8990">
            <v>34.387</v>
          </cell>
          <cell r="AA8990">
            <v>34.392</v>
          </cell>
          <cell r="AB8990">
            <v>34.4</v>
          </cell>
          <cell r="AC8990">
            <v>34.394</v>
          </cell>
          <cell r="AD8990">
            <v>34.392</v>
          </cell>
          <cell r="AE8990">
            <v>34.385</v>
          </cell>
          <cell r="AF8990">
            <v>34.385</v>
          </cell>
          <cell r="AG8990">
            <v>34.381</v>
          </cell>
          <cell r="AH8990">
            <v>34.372</v>
          </cell>
          <cell r="AI8990">
            <v>34.365</v>
          </cell>
          <cell r="AJ8990">
            <v>34.355</v>
          </cell>
          <cell r="AK8990">
            <v>34.348</v>
          </cell>
          <cell r="AL8990">
            <v>34.341</v>
          </cell>
          <cell r="AM8990">
            <v>34.333</v>
          </cell>
        </row>
        <row r="9246">
          <cell r="W9246">
            <v>34.685</v>
          </cell>
          <cell r="X9246">
            <v>34.757</v>
          </cell>
          <cell r="Y9246">
            <v>34.847</v>
          </cell>
        </row>
        <row r="9363">
          <cell r="AP9363">
            <v>34.375</v>
          </cell>
          <cell r="AQ9363">
            <v>34.361</v>
          </cell>
        </row>
        <row r="9401">
          <cell r="CF9401">
            <v>34.693</v>
          </cell>
        </row>
        <row r="10223">
          <cell r="C10223">
            <v>35.205</v>
          </cell>
          <cell r="D10223">
            <v>35.203</v>
          </cell>
          <cell r="E10223">
            <v>35.172</v>
          </cell>
          <cell r="F10223">
            <v>35.172</v>
          </cell>
          <cell r="G10223">
            <v>35.171</v>
          </cell>
          <cell r="H10223">
            <v>35.173</v>
          </cell>
          <cell r="I10223">
            <v>35.175</v>
          </cell>
          <cell r="J10223">
            <v>35.174</v>
          </cell>
          <cell r="K10223">
            <v>35.171</v>
          </cell>
          <cell r="L10223">
            <v>35.164</v>
          </cell>
          <cell r="M10223">
            <v>35.159</v>
          </cell>
        </row>
        <row r="13984">
          <cell r="C13984">
            <v>36.172</v>
          </cell>
          <cell r="D13984">
            <v>36.168</v>
          </cell>
          <cell r="E13984">
            <v>35.999</v>
          </cell>
          <cell r="F13984">
            <v>35.999</v>
          </cell>
          <cell r="G13984">
            <v>35.998</v>
          </cell>
          <cell r="H13984">
            <v>36.007</v>
          </cell>
          <cell r="I13984">
            <v>36.009</v>
          </cell>
          <cell r="J13984">
            <v>36.015</v>
          </cell>
          <cell r="K13984">
            <v>36.011</v>
          </cell>
          <cell r="L13984">
            <v>36.014</v>
          </cell>
          <cell r="M13984">
            <v>36.013</v>
          </cell>
        </row>
        <row r="14052">
          <cell r="C14052">
            <v>35.386</v>
          </cell>
          <cell r="D14052">
            <v>35.394</v>
          </cell>
          <cell r="E14052">
            <v>35.434</v>
          </cell>
          <cell r="F14052">
            <v>35.442</v>
          </cell>
          <cell r="G14052">
            <v>35.453</v>
          </cell>
          <cell r="H14052">
            <v>35.463</v>
          </cell>
          <cell r="I14052">
            <v>35.477</v>
          </cell>
          <cell r="J14052">
            <v>35.488</v>
          </cell>
          <cell r="K14052">
            <v>35.499</v>
          </cell>
          <cell r="L14052">
            <v>35.51</v>
          </cell>
          <cell r="M14052">
            <v>35.519</v>
          </cell>
          <cell r="N14052">
            <v>35.524</v>
          </cell>
          <cell r="O14052">
            <v>35.531</v>
          </cell>
          <cell r="P14052">
            <v>35.541</v>
          </cell>
          <cell r="Q14052">
            <v>35.547</v>
          </cell>
          <cell r="R14052">
            <v>35.555</v>
          </cell>
          <cell r="S14052">
            <v>35.561</v>
          </cell>
          <cell r="T14052">
            <v>35.564</v>
          </cell>
          <cell r="U14052">
            <v>35.566</v>
          </cell>
          <cell r="V14052">
            <v>35.569</v>
          </cell>
          <cell r="W14052">
            <v>35.571</v>
          </cell>
          <cell r="X14052">
            <v>35.574</v>
          </cell>
          <cell r="Y14052">
            <v>35.562</v>
          </cell>
        </row>
        <row r="14117">
          <cell r="C14117">
            <v>35.495</v>
          </cell>
          <cell r="D14117">
            <v>35.493</v>
          </cell>
          <cell r="E14117">
            <v>35.488</v>
          </cell>
          <cell r="F14117">
            <v>35.493</v>
          </cell>
          <cell r="G14117">
            <v>35.496</v>
          </cell>
          <cell r="H14117">
            <v>35.502</v>
          </cell>
          <cell r="I14117">
            <v>35.511</v>
          </cell>
          <cell r="J14117">
            <v>35.523</v>
          </cell>
          <cell r="K14117">
            <v>35.535</v>
          </cell>
          <cell r="L14117">
            <v>35.545</v>
          </cell>
          <cell r="M14117">
            <v>35.556</v>
          </cell>
          <cell r="N14117">
            <v>35.567</v>
          </cell>
          <cell r="O14117">
            <v>35.58</v>
          </cell>
          <cell r="P14117">
            <v>35.589</v>
          </cell>
          <cell r="Q14117">
            <v>35.597</v>
          </cell>
          <cell r="R14117">
            <v>35.615</v>
          </cell>
          <cell r="S14117">
            <v>35.625</v>
          </cell>
          <cell r="T14117">
            <v>35.634</v>
          </cell>
          <cell r="U14117">
            <v>35.643</v>
          </cell>
          <cell r="V14117">
            <v>35.645</v>
          </cell>
          <cell r="W14117">
            <v>35.651</v>
          </cell>
          <cell r="X14117">
            <v>35.685</v>
          </cell>
          <cell r="Y14117">
            <v>35.691</v>
          </cell>
        </row>
        <row r="18227">
          <cell r="M18227">
            <v>35.705</v>
          </cell>
          <cell r="N18227">
            <v>35.733</v>
          </cell>
          <cell r="O18227">
            <v>35.767</v>
          </cell>
          <cell r="P18227">
            <v>35.812</v>
          </cell>
          <cell r="Q18227">
            <v>35.87</v>
          </cell>
          <cell r="R18227">
            <v>35.946</v>
          </cell>
          <cell r="S18227">
            <v>36.009</v>
          </cell>
          <cell r="T18227">
            <v>36.045</v>
          </cell>
          <cell r="U18227">
            <v>36.072</v>
          </cell>
          <cell r="V18227">
            <v>36.103</v>
          </cell>
          <cell r="W18227">
            <v>36.128</v>
          </cell>
          <cell r="X18227">
            <v>36.248</v>
          </cell>
          <cell r="Y18227">
            <v>36.282</v>
          </cell>
          <cell r="Z18227">
            <v>36.225</v>
          </cell>
          <cell r="AA18227">
            <v>36.083</v>
          </cell>
          <cell r="AB18227">
            <v>35.888</v>
          </cell>
          <cell r="AC18227">
            <v>35.662</v>
          </cell>
          <cell r="AD18227">
            <v>35.439</v>
          </cell>
          <cell r="AE18227">
            <v>35.211</v>
          </cell>
        </row>
        <row r="18941">
          <cell r="C18941">
            <v>34.992</v>
          </cell>
          <cell r="D18941">
            <v>34.992</v>
          </cell>
          <cell r="E18941">
            <v>35.005</v>
          </cell>
          <cell r="F18941">
            <v>35.015</v>
          </cell>
          <cell r="G18941">
            <v>35.028</v>
          </cell>
          <cell r="H18941">
            <v>35.046</v>
          </cell>
          <cell r="I18941">
            <v>35.064</v>
          </cell>
          <cell r="J18941">
            <v>35.079</v>
          </cell>
          <cell r="K18941">
            <v>35.097</v>
          </cell>
          <cell r="L18941">
            <v>35.123</v>
          </cell>
          <cell r="M18941">
            <v>35.143</v>
          </cell>
          <cell r="N18941">
            <v>35.148</v>
          </cell>
          <cell r="O18941">
            <v>35.166</v>
          </cell>
          <cell r="P18941">
            <v>35.188</v>
          </cell>
          <cell r="Q18941">
            <v>35.212</v>
          </cell>
          <cell r="R18941">
            <v>35.204</v>
          </cell>
          <cell r="S18941">
            <v>35.195</v>
          </cell>
          <cell r="T18941">
            <v>35.195</v>
          </cell>
          <cell r="U18941">
            <v>35.19</v>
          </cell>
          <cell r="V18941">
            <v>35.189</v>
          </cell>
          <cell r="W18941">
            <v>35.19</v>
          </cell>
          <cell r="X18941">
            <v>35.204</v>
          </cell>
          <cell r="Y18941">
            <v>35.21</v>
          </cell>
          <cell r="Z18941">
            <v>35.204</v>
          </cell>
          <cell r="AA18941">
            <v>35.15</v>
          </cell>
          <cell r="AB18941">
            <v>35.11</v>
          </cell>
          <cell r="AC18941">
            <v>35.072</v>
          </cell>
          <cell r="AD18941">
            <v>35.031</v>
          </cell>
          <cell r="AE18941">
            <v>34.989</v>
          </cell>
        </row>
        <row r="20650">
          <cell r="C20650">
            <v>34.843</v>
          </cell>
          <cell r="D20650">
            <v>34.9</v>
          </cell>
          <cell r="E20650">
            <v>35.003</v>
          </cell>
          <cell r="F20650">
            <v>35.015</v>
          </cell>
          <cell r="G20650">
            <v>35.023</v>
          </cell>
          <cell r="H20650">
            <v>35.038</v>
          </cell>
          <cell r="I20650">
            <v>35.053</v>
          </cell>
          <cell r="J20650">
            <v>35.077</v>
          </cell>
          <cell r="K20650">
            <v>35.111</v>
          </cell>
          <cell r="L20650">
            <v>35.152</v>
          </cell>
          <cell r="M20650">
            <v>35.21</v>
          </cell>
          <cell r="N20650">
            <v>35.253</v>
          </cell>
          <cell r="O20650">
            <v>35.295</v>
          </cell>
          <cell r="P20650">
            <v>35.336</v>
          </cell>
          <cell r="Q20650">
            <v>35.373</v>
          </cell>
          <cell r="R20650">
            <v>35.41</v>
          </cell>
          <cell r="S20650">
            <v>35.44</v>
          </cell>
          <cell r="T20650">
            <v>35.473</v>
          </cell>
          <cell r="U20650">
            <v>35.496</v>
          </cell>
          <cell r="V20650">
            <v>35.513</v>
          </cell>
          <cell r="W20650">
            <v>35.53</v>
          </cell>
        </row>
        <row r="20763">
          <cell r="AN20763">
            <v>34.504</v>
          </cell>
          <cell r="AO20763">
            <v>34.465</v>
          </cell>
        </row>
        <row r="20763">
          <cell r="AW20763">
            <v>34.568</v>
          </cell>
        </row>
        <row r="21160">
          <cell r="G21160">
            <v>34.612</v>
          </cell>
          <cell r="H21160">
            <v>34.64</v>
          </cell>
          <cell r="I21160">
            <v>34.668</v>
          </cell>
          <cell r="J21160">
            <v>34.705</v>
          </cell>
          <cell r="K21160">
            <v>34.745</v>
          </cell>
          <cell r="L21160">
            <v>34.788</v>
          </cell>
          <cell r="M21160">
            <v>34.838</v>
          </cell>
          <cell r="N21160">
            <v>34.89</v>
          </cell>
          <cell r="O21160">
            <v>34.936</v>
          </cell>
          <cell r="P21160">
            <v>35.002</v>
          </cell>
          <cell r="Q21160">
            <v>35.047</v>
          </cell>
          <cell r="R21160">
            <v>35.118</v>
          </cell>
          <cell r="S21160">
            <v>35.167</v>
          </cell>
          <cell r="T21160">
            <v>35.214</v>
          </cell>
          <cell r="U21160">
            <v>35.26</v>
          </cell>
          <cell r="V21160">
            <v>35.297</v>
          </cell>
          <cell r="W21160">
            <v>35.332</v>
          </cell>
          <cell r="X21160">
            <v>35.495</v>
          </cell>
          <cell r="Y21160">
            <v>35.616</v>
          </cell>
          <cell r="Z21160">
            <v>35.656</v>
          </cell>
          <cell r="AA21160">
            <v>35.418</v>
          </cell>
          <cell r="AB21160">
            <v>35.168</v>
          </cell>
          <cell r="AC21160">
            <v>34.97</v>
          </cell>
          <cell r="AD21160">
            <v>34.851</v>
          </cell>
          <cell r="AE21160">
            <v>34.782</v>
          </cell>
        </row>
        <row r="21417">
          <cell r="C21417">
            <v>34.554</v>
          </cell>
          <cell r="D21417">
            <v>34.458</v>
          </cell>
          <cell r="E21417">
            <v>34.478</v>
          </cell>
          <cell r="F21417">
            <v>34.493</v>
          </cell>
          <cell r="G21417">
            <v>34.521</v>
          </cell>
          <cell r="H21417">
            <v>34.563</v>
          </cell>
          <cell r="I21417">
            <v>34.607</v>
          </cell>
          <cell r="J21417">
            <v>34.669</v>
          </cell>
          <cell r="K21417">
            <v>34.732</v>
          </cell>
          <cell r="L21417">
            <v>34.792</v>
          </cell>
          <cell r="M21417">
            <v>34.85</v>
          </cell>
          <cell r="N21417">
            <v>34.929</v>
          </cell>
          <cell r="O21417">
            <v>34.994</v>
          </cell>
          <cell r="P21417">
            <v>35.049</v>
          </cell>
          <cell r="Q21417">
            <v>35.11</v>
          </cell>
          <cell r="R21417">
            <v>35.174</v>
          </cell>
          <cell r="S21417">
            <v>35.228</v>
          </cell>
          <cell r="T21417">
            <v>35.274</v>
          </cell>
          <cell r="U21417">
            <v>35.321</v>
          </cell>
          <cell r="V21417">
            <v>35.354</v>
          </cell>
          <cell r="W21417">
            <v>35.384</v>
          </cell>
          <cell r="X21417">
            <v>35.527</v>
          </cell>
          <cell r="Y21417">
            <v>35.609</v>
          </cell>
          <cell r="Z21417">
            <v>35.61</v>
          </cell>
          <cell r="AA21417">
            <v>35.383</v>
          </cell>
          <cell r="AB21417">
            <v>35.082</v>
          </cell>
          <cell r="AC21417">
            <v>34.914</v>
          </cell>
          <cell r="AD21417">
            <v>34.837</v>
          </cell>
          <cell r="AE21417">
            <v>34.797</v>
          </cell>
        </row>
        <row r="21668">
          <cell r="C21668">
            <v>34.46</v>
          </cell>
          <cell r="D21668">
            <v>34.484</v>
          </cell>
          <cell r="E21668">
            <v>34.454</v>
          </cell>
          <cell r="F21668">
            <v>34.493</v>
          </cell>
          <cell r="G21668">
            <v>34.522</v>
          </cell>
          <cell r="H21668">
            <v>34.552</v>
          </cell>
          <cell r="I21668">
            <v>34.594</v>
          </cell>
          <cell r="J21668">
            <v>34.636</v>
          </cell>
          <cell r="K21668">
            <v>34.689</v>
          </cell>
          <cell r="L21668">
            <v>34.748</v>
          </cell>
          <cell r="M21668">
            <v>34.802</v>
          </cell>
        </row>
        <row r="21679">
          <cell r="H21679">
            <v>34.522</v>
          </cell>
          <cell r="I21679">
            <v>34.55</v>
          </cell>
          <cell r="J21679">
            <v>34.585</v>
          </cell>
          <cell r="K21679">
            <v>34.63</v>
          </cell>
          <cell r="L21679">
            <v>34.678</v>
          </cell>
          <cell r="M21679">
            <v>34.724</v>
          </cell>
          <cell r="N21679">
            <v>34.78</v>
          </cell>
          <cell r="O21679">
            <v>34.856</v>
          </cell>
          <cell r="P21679">
            <v>34.929</v>
          </cell>
          <cell r="Q21679">
            <v>34.99</v>
          </cell>
          <cell r="R21679">
            <v>35.049</v>
          </cell>
          <cell r="S21679">
            <v>35.113</v>
          </cell>
          <cell r="T21679">
            <v>35.186</v>
          </cell>
          <cell r="U21679">
            <v>35.236</v>
          </cell>
          <cell r="V21679">
            <v>35.276</v>
          </cell>
          <cell r="W21679">
            <v>35.316</v>
          </cell>
          <cell r="X21679">
            <v>35.462</v>
          </cell>
          <cell r="Y21679">
            <v>35.468</v>
          </cell>
        </row>
        <row r="21946">
          <cell r="C21946">
            <v>34.417</v>
          </cell>
          <cell r="D21946">
            <v>34.406</v>
          </cell>
          <cell r="E21946">
            <v>34.447</v>
          </cell>
          <cell r="F21946">
            <v>34.459</v>
          </cell>
          <cell r="G21946">
            <v>34.488</v>
          </cell>
          <cell r="H21946">
            <v>34.511</v>
          </cell>
          <cell r="I21946">
            <v>34.541</v>
          </cell>
          <cell r="J21946">
            <v>34.57</v>
          </cell>
          <cell r="K21946">
            <v>34.607</v>
          </cell>
          <cell r="L21946">
            <v>34.654</v>
          </cell>
          <cell r="M21946">
            <v>34.686</v>
          </cell>
          <cell r="N21946">
            <v>34.763</v>
          </cell>
          <cell r="O21946">
            <v>34.814</v>
          </cell>
          <cell r="P21946">
            <v>34.873</v>
          </cell>
          <cell r="Q21946">
            <v>34.934</v>
          </cell>
          <cell r="R21946">
            <v>34.981</v>
          </cell>
          <cell r="S21946">
            <v>35.038</v>
          </cell>
          <cell r="T21946">
            <v>35.112</v>
          </cell>
          <cell r="U21946">
            <v>35.17</v>
          </cell>
          <cell r="V21946">
            <v>35.22</v>
          </cell>
          <cell r="W21946">
            <v>35.262</v>
          </cell>
          <cell r="X21946">
            <v>35.341</v>
          </cell>
          <cell r="Y21946">
            <v>35.319</v>
          </cell>
          <cell r="Z21946">
            <v>35.278</v>
          </cell>
          <cell r="AA21946">
            <v>35.214</v>
          </cell>
          <cell r="AB21946">
            <v>35.089</v>
          </cell>
          <cell r="AC21946">
            <v>34.972</v>
          </cell>
          <cell r="AD21946">
            <v>34.898</v>
          </cell>
          <cell r="AE21946">
            <v>34.848</v>
          </cell>
        </row>
        <row r="21992">
          <cell r="C21992">
            <v>35.102</v>
          </cell>
          <cell r="D21992">
            <v>35.135</v>
          </cell>
          <cell r="E21992">
            <v>35.154</v>
          </cell>
          <cell r="F21992">
            <v>35.155</v>
          </cell>
          <cell r="G21992">
            <v>35.157</v>
          </cell>
          <cell r="H21992">
            <v>35.16</v>
          </cell>
          <cell r="I21992">
            <v>35.166</v>
          </cell>
          <cell r="J21992">
            <v>35.172</v>
          </cell>
          <cell r="K21992">
            <v>35.18</v>
          </cell>
          <cell r="L21992">
            <v>35.191</v>
          </cell>
          <cell r="M21992">
            <v>35.196</v>
          </cell>
          <cell r="N21992">
            <v>35.199</v>
          </cell>
          <cell r="O21992">
            <v>35.2</v>
          </cell>
          <cell r="P21992">
            <v>35.202</v>
          </cell>
          <cell r="Q21992">
            <v>35.2</v>
          </cell>
          <cell r="R21992">
            <v>35.193</v>
          </cell>
          <cell r="S21992">
            <v>35.186</v>
          </cell>
          <cell r="T21992">
            <v>35.184</v>
          </cell>
          <cell r="U21992">
            <v>35.173</v>
          </cell>
          <cell r="V21992">
            <v>35.165</v>
          </cell>
          <cell r="W21992">
            <v>35.159</v>
          </cell>
        </row>
        <row r="22118">
          <cell r="M22118">
            <v>35.875</v>
          </cell>
          <cell r="N22118">
            <v>35.871</v>
          </cell>
          <cell r="O22118">
            <v>35.862</v>
          </cell>
          <cell r="P22118">
            <v>35.837</v>
          </cell>
          <cell r="Q22118">
            <v>35.787</v>
          </cell>
          <cell r="R22118">
            <v>35.76</v>
          </cell>
          <cell r="S22118">
            <v>35.738</v>
          </cell>
          <cell r="T22118">
            <v>35.716</v>
          </cell>
          <cell r="U22118">
            <v>35.696</v>
          </cell>
          <cell r="V22118">
            <v>35.666</v>
          </cell>
          <cell r="W22118">
            <v>35.645</v>
          </cell>
          <cell r="X22118">
            <v>35.57</v>
          </cell>
          <cell r="Y22118">
            <v>35.528</v>
          </cell>
          <cell r="Z22118">
            <v>35.495</v>
          </cell>
          <cell r="AA22118">
            <v>35.446</v>
          </cell>
          <cell r="AB22118">
            <v>35.361</v>
          </cell>
          <cell r="AC22118">
            <v>35.244</v>
          </cell>
          <cell r="AD22118">
            <v>35.104</v>
          </cell>
          <cell r="AE22118">
            <v>35.005</v>
          </cell>
        </row>
        <row r="22218">
          <cell r="C22218">
            <v>34.764</v>
          </cell>
          <cell r="D22218">
            <v>34.61</v>
          </cell>
          <cell r="E22218">
            <v>34.643</v>
          </cell>
          <cell r="F22218">
            <v>34.657</v>
          </cell>
          <cell r="G22218">
            <v>34.689</v>
          </cell>
          <cell r="H22218">
            <v>34.719</v>
          </cell>
          <cell r="I22218">
            <v>34.747</v>
          </cell>
          <cell r="J22218">
            <v>34.775</v>
          </cell>
          <cell r="K22218">
            <v>34.822</v>
          </cell>
          <cell r="L22218">
            <v>34.859</v>
          </cell>
          <cell r="M22218">
            <v>34.893</v>
          </cell>
          <cell r="N22218">
            <v>34.926</v>
          </cell>
          <cell r="O22218">
            <v>34.964</v>
          </cell>
          <cell r="P22218">
            <v>35.001</v>
          </cell>
          <cell r="Q22218">
            <v>35.044</v>
          </cell>
          <cell r="R22218">
            <v>35.095</v>
          </cell>
          <cell r="S22218">
            <v>35.141</v>
          </cell>
          <cell r="T22218">
            <v>35.202</v>
          </cell>
          <cell r="U22218">
            <v>35.238</v>
          </cell>
          <cell r="V22218">
            <v>35.253</v>
          </cell>
          <cell r="W22218">
            <v>35.273</v>
          </cell>
        </row>
        <row r="22219">
          <cell r="M22219">
            <v>34.816</v>
          </cell>
          <cell r="N22219">
            <v>34.859</v>
          </cell>
          <cell r="O22219">
            <v>34.901</v>
          </cell>
          <cell r="P22219">
            <v>34.952</v>
          </cell>
          <cell r="Q22219">
            <v>35.01</v>
          </cell>
          <cell r="R22219">
            <v>35.074</v>
          </cell>
          <cell r="S22219">
            <v>35.121</v>
          </cell>
          <cell r="T22219">
            <v>35.163</v>
          </cell>
          <cell r="U22219">
            <v>35.198</v>
          </cell>
          <cell r="V22219">
            <v>35.223</v>
          </cell>
          <cell r="W22219">
            <v>35.244</v>
          </cell>
          <cell r="X22219">
            <v>35.312</v>
          </cell>
          <cell r="Y22219">
            <v>35.297</v>
          </cell>
          <cell r="Z22219">
            <v>35.192</v>
          </cell>
          <cell r="AA22219">
            <v>35.088</v>
          </cell>
          <cell r="AB22219">
            <v>34.995</v>
          </cell>
          <cell r="AC22219">
            <v>34.939</v>
          </cell>
          <cell r="AD22219">
            <v>34.885</v>
          </cell>
          <cell r="AE22219">
            <v>34.848</v>
          </cell>
        </row>
        <row r="22220">
          <cell r="H22220">
            <v>34.625</v>
          </cell>
          <cell r="I22220">
            <v>34.644</v>
          </cell>
          <cell r="J22220">
            <v>34.664</v>
          </cell>
          <cell r="K22220">
            <v>34.692</v>
          </cell>
          <cell r="L22220">
            <v>34.728</v>
          </cell>
          <cell r="M22220">
            <v>34.768</v>
          </cell>
          <cell r="N22220">
            <v>34.811</v>
          </cell>
          <cell r="O22220">
            <v>34.853</v>
          </cell>
          <cell r="P22220">
            <v>34.912</v>
          </cell>
          <cell r="Q22220">
            <v>34.967</v>
          </cell>
          <cell r="R22220">
            <v>35.02</v>
          </cell>
          <cell r="S22220">
            <v>35.065</v>
          </cell>
          <cell r="T22220">
            <v>35.144</v>
          </cell>
          <cell r="U22220">
            <v>35.204</v>
          </cell>
          <cell r="V22220">
            <v>35.248</v>
          </cell>
          <cell r="W22220">
            <v>35.27</v>
          </cell>
          <cell r="X22220">
            <v>35.336</v>
          </cell>
          <cell r="Y22220">
            <v>35.29</v>
          </cell>
          <cell r="Z22220">
            <v>35.188</v>
          </cell>
          <cell r="AA22220">
            <v>35.08</v>
          </cell>
          <cell r="AB22220">
            <v>34.983</v>
          </cell>
          <cell r="AC22220">
            <v>34.909</v>
          </cell>
          <cell r="AD22220">
            <v>34.873</v>
          </cell>
          <cell r="AE22220">
            <v>34.842</v>
          </cell>
        </row>
        <row r="22221">
          <cell r="C22221">
            <v>34.516</v>
          </cell>
          <cell r="D22221">
            <v>34.521</v>
          </cell>
          <cell r="E22221">
            <v>34.527</v>
          </cell>
          <cell r="F22221">
            <v>34.541</v>
          </cell>
          <cell r="G22221">
            <v>34.557</v>
          </cell>
          <cell r="H22221">
            <v>34.581</v>
          </cell>
          <cell r="I22221">
            <v>34.607</v>
          </cell>
          <cell r="J22221">
            <v>34.635</v>
          </cell>
          <cell r="K22221">
            <v>34.665</v>
          </cell>
          <cell r="L22221">
            <v>34.707</v>
          </cell>
          <cell r="M22221">
            <v>34.752</v>
          </cell>
          <cell r="N22221">
            <v>34.798</v>
          </cell>
          <cell r="O22221">
            <v>34.838</v>
          </cell>
          <cell r="P22221">
            <v>34.881</v>
          </cell>
          <cell r="Q22221">
            <v>34.932</v>
          </cell>
          <cell r="R22221">
            <v>34.988</v>
          </cell>
          <cell r="S22221">
            <v>35.057</v>
          </cell>
          <cell r="T22221">
            <v>35.157</v>
          </cell>
          <cell r="U22221">
            <v>35.137</v>
          </cell>
          <cell r="V22221">
            <v>35.215</v>
          </cell>
          <cell r="W22221">
            <v>35.24</v>
          </cell>
          <cell r="X22221">
            <v>35.34</v>
          </cell>
          <cell r="Y22221">
            <v>35.32</v>
          </cell>
          <cell r="Z22221">
            <v>35.235</v>
          </cell>
          <cell r="AA22221">
            <v>35.126</v>
          </cell>
          <cell r="AB22221">
            <v>35.018</v>
          </cell>
          <cell r="AC22221">
            <v>34.93</v>
          </cell>
          <cell r="AD22221">
            <v>34.884</v>
          </cell>
          <cell r="AE22221">
            <v>34.848</v>
          </cell>
        </row>
        <row r="22222">
          <cell r="C22222">
            <v>34.56</v>
          </cell>
          <cell r="D22222">
            <v>34.552</v>
          </cell>
          <cell r="E22222">
            <v>34.575</v>
          </cell>
          <cell r="F22222">
            <v>34.576</v>
          </cell>
          <cell r="G22222">
            <v>34.585</v>
          </cell>
          <cell r="H22222">
            <v>34.603</v>
          </cell>
          <cell r="I22222">
            <v>34.625</v>
          </cell>
          <cell r="J22222">
            <v>34.652</v>
          </cell>
          <cell r="K22222">
            <v>34.684</v>
          </cell>
          <cell r="L22222">
            <v>34.718</v>
          </cell>
          <cell r="M22222">
            <v>34.766</v>
          </cell>
          <cell r="N22222">
            <v>34.833</v>
          </cell>
          <cell r="O22222">
            <v>34.892</v>
          </cell>
          <cell r="P22222">
            <v>34.938</v>
          </cell>
          <cell r="Q22222">
            <v>35</v>
          </cell>
          <cell r="R22222">
            <v>35.038</v>
          </cell>
          <cell r="S22222">
            <v>35.085</v>
          </cell>
          <cell r="T22222">
            <v>35.145</v>
          </cell>
          <cell r="U22222">
            <v>35.199</v>
          </cell>
          <cell r="V22222">
            <v>35.257</v>
          </cell>
          <cell r="W22222">
            <v>35.287</v>
          </cell>
          <cell r="X22222">
            <v>35.331</v>
          </cell>
          <cell r="Y22222">
            <v>35.343</v>
          </cell>
          <cell r="Z22222">
            <v>35.237</v>
          </cell>
          <cell r="AA22222">
            <v>35.149</v>
          </cell>
          <cell r="AB22222">
            <v>35.032</v>
          </cell>
          <cell r="AC22222">
            <v>34.932</v>
          </cell>
          <cell r="AD22222">
            <v>34.888</v>
          </cell>
          <cell r="AE22222">
            <v>34.859</v>
          </cell>
        </row>
        <row r="22222">
          <cell r="CK22222">
            <v>34.694</v>
          </cell>
          <cell r="CL22222">
            <v>34.696</v>
          </cell>
        </row>
        <row r="23180">
          <cell r="C23180">
            <v>35.818</v>
          </cell>
          <cell r="D23180">
            <v>35.794</v>
          </cell>
          <cell r="E23180">
            <v>35.821</v>
          </cell>
          <cell r="F23180">
            <v>35.895</v>
          </cell>
          <cell r="G23180">
            <v>35.93</v>
          </cell>
          <cell r="H23180">
            <v>35.964</v>
          </cell>
          <cell r="I23180">
            <v>35.986</v>
          </cell>
          <cell r="J23180">
            <v>36.008</v>
          </cell>
          <cell r="K23180">
            <v>36.025</v>
          </cell>
          <cell r="L23180">
            <v>36.053</v>
          </cell>
          <cell r="M23180">
            <v>36.086</v>
          </cell>
          <cell r="N23180">
            <v>36.124</v>
          </cell>
          <cell r="O23180">
            <v>36.151</v>
          </cell>
          <cell r="P23180">
            <v>36.172</v>
          </cell>
          <cell r="Q23180">
            <v>36.188</v>
          </cell>
          <cell r="R23180">
            <v>36.206</v>
          </cell>
          <cell r="S23180">
            <v>36.218</v>
          </cell>
          <cell r="T23180">
            <v>36.219</v>
          </cell>
          <cell r="U23180">
            <v>36.191</v>
          </cell>
          <cell r="V23180">
            <v>36.181</v>
          </cell>
          <cell r="W23180">
            <v>36.197</v>
          </cell>
        </row>
        <row r="23898">
          <cell r="C23898">
            <v>34.411</v>
          </cell>
          <cell r="D23898">
            <v>34.417</v>
          </cell>
          <cell r="E23898">
            <v>34.426</v>
          </cell>
          <cell r="F23898">
            <v>34.432</v>
          </cell>
          <cell r="G23898">
            <v>34.449</v>
          </cell>
          <cell r="H23898">
            <v>34.463</v>
          </cell>
          <cell r="I23898">
            <v>34.469</v>
          </cell>
          <cell r="J23898">
            <v>34.483</v>
          </cell>
          <cell r="K23898">
            <v>34.513</v>
          </cell>
          <cell r="L23898">
            <v>34.533</v>
          </cell>
          <cell r="M23898">
            <v>34.576</v>
          </cell>
          <cell r="N23898">
            <v>34.634</v>
          </cell>
          <cell r="O23898">
            <v>34.696</v>
          </cell>
          <cell r="P23898">
            <v>34.741</v>
          </cell>
          <cell r="Q23898">
            <v>34.756</v>
          </cell>
          <cell r="R23898">
            <v>34.788</v>
          </cell>
          <cell r="S23898">
            <v>34.792</v>
          </cell>
          <cell r="T23898">
            <v>34.795</v>
          </cell>
          <cell r="U23898">
            <v>34.776</v>
          </cell>
          <cell r="V23898">
            <v>34.744</v>
          </cell>
          <cell r="W23898">
            <v>34.704</v>
          </cell>
        </row>
        <row r="24051">
          <cell r="G24051">
            <v>34.784</v>
          </cell>
          <cell r="H24051">
            <v>34.786</v>
          </cell>
          <cell r="I24051">
            <v>34.836</v>
          </cell>
          <cell r="J24051">
            <v>34.923</v>
          </cell>
          <cell r="K24051">
            <v>34.993</v>
          </cell>
          <cell r="L24051">
            <v>35.061</v>
          </cell>
          <cell r="M24051">
            <v>35.096</v>
          </cell>
          <cell r="N24051">
            <v>35.13</v>
          </cell>
          <cell r="O24051">
            <v>35.141</v>
          </cell>
          <cell r="P24051">
            <v>35.131</v>
          </cell>
          <cell r="Q24051">
            <v>35.138</v>
          </cell>
          <cell r="R24051">
            <v>35.155</v>
          </cell>
          <cell r="S24051">
            <v>35.169</v>
          </cell>
          <cell r="T24051">
            <v>35.204</v>
          </cell>
          <cell r="U24051">
            <v>35.202</v>
          </cell>
          <cell r="V24051">
            <v>35.195</v>
          </cell>
          <cell r="W24051">
            <v>35.159</v>
          </cell>
        </row>
        <row r="24342">
          <cell r="G24342">
            <v>33.209</v>
          </cell>
          <cell r="H24342">
            <v>33.25</v>
          </cell>
          <cell r="I24342">
            <v>33.276</v>
          </cell>
          <cell r="J24342">
            <v>33.293</v>
          </cell>
          <cell r="K24342">
            <v>33.299</v>
          </cell>
          <cell r="L24342">
            <v>33.346</v>
          </cell>
          <cell r="M24342">
            <v>33.435</v>
          </cell>
          <cell r="N24342">
            <v>33.489</v>
          </cell>
          <cell r="O24342">
            <v>33.674</v>
          </cell>
          <cell r="P24342">
            <v>33.895</v>
          </cell>
          <cell r="Q24342">
            <v>34.008</v>
          </cell>
          <cell r="R24342">
            <v>34.068</v>
          </cell>
          <cell r="S24342">
            <v>34.209</v>
          </cell>
          <cell r="T24342">
            <v>34.263</v>
          </cell>
          <cell r="U24342">
            <v>34.314</v>
          </cell>
          <cell r="V24342">
            <v>34.369</v>
          </cell>
          <cell r="W24342">
            <v>34.408</v>
          </cell>
        </row>
        <row r="25584">
          <cell r="C25584">
            <v>36.345</v>
          </cell>
          <cell r="D25584">
            <v>36.33</v>
          </cell>
          <cell r="E25584">
            <v>36.333</v>
          </cell>
          <cell r="F25584">
            <v>36.332</v>
          </cell>
          <cell r="G25584">
            <v>36.333</v>
          </cell>
          <cell r="H25584">
            <v>36.335</v>
          </cell>
          <cell r="I25584">
            <v>36.376</v>
          </cell>
          <cell r="J25584">
            <v>36.402</v>
          </cell>
          <cell r="K25584">
            <v>36.423</v>
          </cell>
          <cell r="L25584">
            <v>36.474</v>
          </cell>
          <cell r="M25584">
            <v>36.535</v>
          </cell>
        </row>
        <row r="25828">
          <cell r="C25828">
            <v>35.029</v>
          </cell>
          <cell r="D25828">
            <v>35.037</v>
          </cell>
          <cell r="E25828">
            <v>35.065</v>
          </cell>
          <cell r="F25828">
            <v>35.106</v>
          </cell>
          <cell r="G25828">
            <v>35.174</v>
          </cell>
          <cell r="H25828">
            <v>35.352</v>
          </cell>
          <cell r="I25828">
            <v>35.485</v>
          </cell>
          <cell r="J25828">
            <v>35.638</v>
          </cell>
          <cell r="K25828">
            <v>35.813</v>
          </cell>
          <cell r="L25828">
            <v>35.928</v>
          </cell>
          <cell r="M25828">
            <v>36.031</v>
          </cell>
          <cell r="N25828">
            <v>36.158</v>
          </cell>
          <cell r="O25828">
            <v>36.225</v>
          </cell>
          <cell r="P25828">
            <v>36.288</v>
          </cell>
          <cell r="Q25828">
            <v>36.35</v>
          </cell>
          <cell r="R25828">
            <v>36.422</v>
          </cell>
          <cell r="S25828">
            <v>36.498</v>
          </cell>
          <cell r="T25828">
            <v>36.581</v>
          </cell>
          <cell r="U25828">
            <v>36.669</v>
          </cell>
          <cell r="V25828">
            <v>36.741</v>
          </cell>
          <cell r="W25828">
            <v>36.8</v>
          </cell>
          <cell r="X25828">
            <v>36.906</v>
          </cell>
        </row>
        <row r="27125">
          <cell r="G27125">
            <v>36.595</v>
          </cell>
          <cell r="H27125">
            <v>36.599</v>
          </cell>
          <cell r="I27125">
            <v>36.596</v>
          </cell>
          <cell r="J27125">
            <v>36.585</v>
          </cell>
          <cell r="K27125">
            <v>36.574</v>
          </cell>
          <cell r="L27125">
            <v>36.555</v>
          </cell>
          <cell r="M27125">
            <v>36.526</v>
          </cell>
          <cell r="N27125">
            <v>36.499</v>
          </cell>
          <cell r="O27125">
            <v>36.474</v>
          </cell>
          <cell r="P27125">
            <v>36.453</v>
          </cell>
          <cell r="Q27125">
            <v>36.428</v>
          </cell>
          <cell r="R27125">
            <v>36.41</v>
          </cell>
          <cell r="S27125">
            <v>36.402</v>
          </cell>
          <cell r="T27125">
            <v>36.392</v>
          </cell>
          <cell r="U27125">
            <v>36.366</v>
          </cell>
          <cell r="V27125">
            <v>36.34</v>
          </cell>
          <cell r="W27125">
            <v>36.302</v>
          </cell>
        </row>
        <row r="27145">
          <cell r="G27145">
            <v>33.936</v>
          </cell>
          <cell r="H27145">
            <v>33.961</v>
          </cell>
          <cell r="I27145">
            <v>33.988</v>
          </cell>
          <cell r="J27145">
            <v>34.033</v>
          </cell>
          <cell r="K27145">
            <v>34.081</v>
          </cell>
          <cell r="L27145">
            <v>34.123</v>
          </cell>
          <cell r="M27145">
            <v>34.163</v>
          </cell>
          <cell r="N27145">
            <v>34.2</v>
          </cell>
          <cell r="O27145">
            <v>34.249</v>
          </cell>
          <cell r="P27145">
            <v>34.302</v>
          </cell>
          <cell r="Q27145">
            <v>34.348</v>
          </cell>
          <cell r="R27145">
            <v>34.388</v>
          </cell>
          <cell r="S27145">
            <v>34.425</v>
          </cell>
          <cell r="T27145">
            <v>34.464</v>
          </cell>
          <cell r="U27145">
            <v>34.498</v>
          </cell>
          <cell r="V27145">
            <v>34.517</v>
          </cell>
          <cell r="W27145">
            <v>34.535</v>
          </cell>
          <cell r="X27145">
            <v>34.587</v>
          </cell>
          <cell r="Y27145">
            <v>34.604</v>
          </cell>
        </row>
        <row r="27348">
          <cell r="G27348">
            <v>36.497</v>
          </cell>
          <cell r="H27348">
            <v>36.506</v>
          </cell>
          <cell r="I27348">
            <v>36.51</v>
          </cell>
          <cell r="J27348">
            <v>36.52</v>
          </cell>
          <cell r="K27348">
            <v>36.524</v>
          </cell>
          <cell r="L27348">
            <v>36.541</v>
          </cell>
          <cell r="M27348">
            <v>36.562</v>
          </cell>
          <cell r="N27348">
            <v>36.575</v>
          </cell>
          <cell r="O27348">
            <v>36.594</v>
          </cell>
          <cell r="P27348">
            <v>36.609</v>
          </cell>
          <cell r="Q27348">
            <v>36.61</v>
          </cell>
          <cell r="R27348">
            <v>36.616</v>
          </cell>
          <cell r="S27348">
            <v>36.608</v>
          </cell>
          <cell r="T27348">
            <v>36.587</v>
          </cell>
          <cell r="U27348">
            <v>36.568</v>
          </cell>
          <cell r="V27348">
            <v>36.559</v>
          </cell>
          <cell r="W27348">
            <v>36.531</v>
          </cell>
          <cell r="X27348">
            <v>36.366</v>
          </cell>
          <cell r="Y27348">
            <v>36.262</v>
          </cell>
        </row>
        <row r="28044">
          <cell r="AE28044">
            <v>36.229</v>
          </cell>
        </row>
        <row r="28044">
          <cell r="AL28044">
            <v>35.912</v>
          </cell>
          <cell r="AM28044">
            <v>35.867</v>
          </cell>
          <cell r="AN28044">
            <v>35.795</v>
          </cell>
          <cell r="AO28044">
            <v>35.73</v>
          </cell>
          <cell r="AP28044">
            <v>35.679</v>
          </cell>
          <cell r="AQ28044">
            <v>35.639</v>
          </cell>
        </row>
        <row r="28045">
          <cell r="C28045">
            <v>36.662</v>
          </cell>
          <cell r="D28045">
            <v>36.662</v>
          </cell>
          <cell r="E28045">
            <v>36.647</v>
          </cell>
          <cell r="F28045">
            <v>36.647</v>
          </cell>
          <cell r="G28045">
            <v>36.642</v>
          </cell>
          <cell r="H28045">
            <v>36.624</v>
          </cell>
          <cell r="I28045">
            <v>36.595</v>
          </cell>
          <cell r="J28045">
            <v>36.559</v>
          </cell>
          <cell r="K28045">
            <v>36.529</v>
          </cell>
          <cell r="L28045">
            <v>36.515</v>
          </cell>
          <cell r="M28045">
            <v>36.506</v>
          </cell>
          <cell r="N28045">
            <v>36.499</v>
          </cell>
          <cell r="O28045">
            <v>36.497</v>
          </cell>
          <cell r="P28045">
            <v>36.484</v>
          </cell>
          <cell r="Q28045">
            <v>36.472</v>
          </cell>
          <cell r="R28045">
            <v>36.459</v>
          </cell>
          <cell r="S28045">
            <v>36.456</v>
          </cell>
          <cell r="T28045">
            <v>36.443</v>
          </cell>
          <cell r="U28045">
            <v>36.437</v>
          </cell>
          <cell r="V28045">
            <v>36.423</v>
          </cell>
          <cell r="W28045">
            <v>36.396</v>
          </cell>
          <cell r="X28045">
            <v>36.311</v>
          </cell>
          <cell r="Y28045">
            <v>36.233</v>
          </cell>
          <cell r="Z28045">
            <v>36.167</v>
          </cell>
        </row>
        <row r="28189">
          <cell r="Y28189">
            <v>36.502</v>
          </cell>
          <cell r="Z28189">
            <v>36.434</v>
          </cell>
          <cell r="AA28189">
            <v>36.31</v>
          </cell>
        </row>
        <row r="28189">
          <cell r="AE28189">
            <v>35.797</v>
          </cell>
          <cell r="AF28189">
            <v>35.696</v>
          </cell>
          <cell r="AG28189">
            <v>35.585</v>
          </cell>
        </row>
        <row r="28189">
          <cell r="AO28189">
            <v>34.978</v>
          </cell>
          <cell r="AP28189">
            <v>34.935</v>
          </cell>
        </row>
        <row r="28190">
          <cell r="C28190">
            <v>36.136</v>
          </cell>
          <cell r="D28190">
            <v>36.146</v>
          </cell>
          <cell r="E28190">
            <v>36.16</v>
          </cell>
          <cell r="F28190">
            <v>36.181</v>
          </cell>
          <cell r="G28190">
            <v>36.202</v>
          </cell>
          <cell r="H28190">
            <v>36.22</v>
          </cell>
          <cell r="I28190">
            <v>36.245</v>
          </cell>
          <cell r="J28190">
            <v>36.26</v>
          </cell>
          <cell r="K28190">
            <v>36.27</v>
          </cell>
          <cell r="L28190">
            <v>36.286</v>
          </cell>
          <cell r="M28190">
            <v>36.306</v>
          </cell>
        </row>
        <row r="28194">
          <cell r="AC28194">
            <v>36.519</v>
          </cell>
          <cell r="AD28194">
            <v>36.5</v>
          </cell>
        </row>
        <row r="28194">
          <cell r="AG28194">
            <v>36.252</v>
          </cell>
          <cell r="AH28194">
            <v>36.151</v>
          </cell>
          <cell r="AI28194">
            <v>36.073</v>
          </cell>
        </row>
        <row r="28699">
          <cell r="W28699">
            <v>34.702</v>
          </cell>
          <cell r="X28699">
            <v>34.734</v>
          </cell>
        </row>
        <row r="29035">
          <cell r="C29035">
            <v>35.55</v>
          </cell>
          <cell r="D29035">
            <v>35.678</v>
          </cell>
          <cell r="E29035">
            <v>35.906</v>
          </cell>
          <cell r="F29035">
            <v>36.038</v>
          </cell>
          <cell r="G29035">
            <v>36.126</v>
          </cell>
          <cell r="H29035">
            <v>36.175</v>
          </cell>
          <cell r="I29035">
            <v>36.223</v>
          </cell>
          <cell r="J29035">
            <v>36.257</v>
          </cell>
          <cell r="K29035">
            <v>36.28</v>
          </cell>
          <cell r="L29035">
            <v>36.303</v>
          </cell>
          <cell r="M29035">
            <v>36.321</v>
          </cell>
          <cell r="N29035">
            <v>36.34</v>
          </cell>
          <cell r="O29035">
            <v>36.354</v>
          </cell>
          <cell r="P29035">
            <v>36.365</v>
          </cell>
          <cell r="Q29035">
            <v>36.372</v>
          </cell>
          <cell r="R29035">
            <v>36.381</v>
          </cell>
          <cell r="S29035">
            <v>36.393</v>
          </cell>
          <cell r="T29035">
            <v>36.395</v>
          </cell>
          <cell r="U29035">
            <v>36.398</v>
          </cell>
          <cell r="V29035">
            <v>36.4</v>
          </cell>
          <cell r="W29035">
            <v>36.397</v>
          </cell>
          <cell r="X29035">
            <v>36.39</v>
          </cell>
          <cell r="Y29035">
            <v>36.313</v>
          </cell>
        </row>
        <row r="30119">
          <cell r="S30119">
            <v>34.697</v>
          </cell>
          <cell r="T30119">
            <v>34.703</v>
          </cell>
          <cell r="U30119">
            <v>34.71</v>
          </cell>
          <cell r="V30119">
            <v>34.716</v>
          </cell>
          <cell r="W30119">
            <v>34.718</v>
          </cell>
          <cell r="X30119">
            <v>34.728</v>
          </cell>
          <cell r="Y30119">
            <v>34.732</v>
          </cell>
        </row>
        <row r="30266">
          <cell r="C30266">
            <v>36.506</v>
          </cell>
          <cell r="D30266">
            <v>36.512</v>
          </cell>
          <cell r="E30266">
            <v>36.526</v>
          </cell>
          <cell r="F30266">
            <v>36.525</v>
          </cell>
          <cell r="G30266">
            <v>36.523</v>
          </cell>
          <cell r="H30266">
            <v>36.519</v>
          </cell>
          <cell r="I30266">
            <v>36.512</v>
          </cell>
          <cell r="J30266">
            <v>36.502</v>
          </cell>
          <cell r="K30266">
            <v>36.493</v>
          </cell>
          <cell r="L30266">
            <v>36.48</v>
          </cell>
          <cell r="M30266">
            <v>36.473</v>
          </cell>
          <cell r="N30266">
            <v>36.461</v>
          </cell>
          <cell r="O30266">
            <v>36.454</v>
          </cell>
          <cell r="P30266">
            <v>36.446</v>
          </cell>
          <cell r="Q30266">
            <v>36.442</v>
          </cell>
          <cell r="R30266">
            <v>36.44</v>
          </cell>
          <cell r="S30266">
            <v>36.435</v>
          </cell>
          <cell r="T30266">
            <v>36.426</v>
          </cell>
          <cell r="U30266">
            <v>36.419</v>
          </cell>
          <cell r="V30266">
            <v>36.409</v>
          </cell>
          <cell r="W30266">
            <v>36.397</v>
          </cell>
          <cell r="X30266">
            <v>36.329</v>
          </cell>
          <cell r="Y30266">
            <v>36.257</v>
          </cell>
          <cell r="Z30266">
            <v>36.194</v>
          </cell>
          <cell r="AA30266">
            <v>36.147</v>
          </cell>
          <cell r="AB30266">
            <v>36.1</v>
          </cell>
          <cell r="AC30266">
            <v>36.042</v>
          </cell>
          <cell r="AD30266">
            <v>35.993</v>
          </cell>
          <cell r="AE30266">
            <v>35.946</v>
          </cell>
          <cell r="AF30266">
            <v>35.898</v>
          </cell>
          <cell r="AG30266">
            <v>35.859</v>
          </cell>
          <cell r="AH30266">
            <v>35.821</v>
          </cell>
          <cell r="AI30266">
            <v>35.784</v>
          </cell>
          <cell r="AJ30266">
            <v>35.748</v>
          </cell>
          <cell r="AK30266">
            <v>35.713</v>
          </cell>
          <cell r="AL30266">
            <v>35.68</v>
          </cell>
          <cell r="AM30266">
            <v>35.651</v>
          </cell>
        </row>
        <row r="30853">
          <cell r="C30853">
            <v>36.139</v>
          </cell>
          <cell r="D30853">
            <v>36.125</v>
          </cell>
          <cell r="E30853">
            <v>36.124</v>
          </cell>
          <cell r="F30853">
            <v>36.125</v>
          </cell>
          <cell r="G30853">
            <v>36.126</v>
          </cell>
          <cell r="H30853">
            <v>36.122</v>
          </cell>
          <cell r="I30853">
            <v>36.115</v>
          </cell>
          <cell r="J30853">
            <v>36.111</v>
          </cell>
          <cell r="K30853">
            <v>36.106</v>
          </cell>
          <cell r="L30853">
            <v>36.101</v>
          </cell>
          <cell r="M30853">
            <v>36.098</v>
          </cell>
          <cell r="N30853">
            <v>36.094</v>
          </cell>
          <cell r="O30853">
            <v>36.089</v>
          </cell>
          <cell r="P30853">
            <v>36.083</v>
          </cell>
          <cell r="Q30853">
            <v>36.078</v>
          </cell>
          <cell r="R30853">
            <v>36.073</v>
          </cell>
          <cell r="S30853">
            <v>36.069</v>
          </cell>
          <cell r="T30853">
            <v>36.064</v>
          </cell>
          <cell r="U30853">
            <v>36.059</v>
          </cell>
          <cell r="V30853">
            <v>36.054</v>
          </cell>
          <cell r="W30853">
            <v>36.049</v>
          </cell>
          <cell r="X30853">
            <v>36.019</v>
          </cell>
          <cell r="Y30853">
            <v>35.993</v>
          </cell>
          <cell r="Z30853">
            <v>35.951</v>
          </cell>
          <cell r="AA30853">
            <v>35.917</v>
          </cell>
          <cell r="AB30853">
            <v>35.879</v>
          </cell>
          <cell r="AC30853">
            <v>35.843</v>
          </cell>
          <cell r="AD30853">
            <v>35.81</v>
          </cell>
          <cell r="AE30853">
            <v>35.78</v>
          </cell>
          <cell r="AF30853">
            <v>35.749</v>
          </cell>
          <cell r="AG30853">
            <v>35.723</v>
          </cell>
          <cell r="AH30853">
            <v>35.693</v>
          </cell>
          <cell r="AI30853">
            <v>35.666</v>
          </cell>
          <cell r="AJ30853">
            <v>35.639</v>
          </cell>
          <cell r="AK30853">
            <v>35.616</v>
          </cell>
          <cell r="AL30853">
            <v>35.593</v>
          </cell>
          <cell r="AM30853">
            <v>35.573</v>
          </cell>
        </row>
        <row r="30872">
          <cell r="C30872">
            <v>36.207</v>
          </cell>
          <cell r="D30872">
            <v>36.197</v>
          </cell>
          <cell r="E30872">
            <v>36.209</v>
          </cell>
          <cell r="F30872">
            <v>36.212</v>
          </cell>
          <cell r="G30872">
            <v>36.212</v>
          </cell>
          <cell r="H30872">
            <v>36.216</v>
          </cell>
          <cell r="I30872">
            <v>36.218</v>
          </cell>
          <cell r="J30872">
            <v>36.218</v>
          </cell>
          <cell r="K30872">
            <v>36.216</v>
          </cell>
          <cell r="L30872">
            <v>36.212</v>
          </cell>
          <cell r="M30872">
            <v>36.208</v>
          </cell>
          <cell r="N30872">
            <v>36.203</v>
          </cell>
          <cell r="O30872">
            <v>36.198</v>
          </cell>
          <cell r="P30872">
            <v>36.193</v>
          </cell>
          <cell r="Q30872">
            <v>36.19</v>
          </cell>
          <cell r="R30872">
            <v>36.184</v>
          </cell>
          <cell r="S30872">
            <v>36.178</v>
          </cell>
          <cell r="T30872">
            <v>36.172</v>
          </cell>
          <cell r="U30872">
            <v>36.167</v>
          </cell>
          <cell r="V30872">
            <v>36.159</v>
          </cell>
          <cell r="W30872">
            <v>36.152</v>
          </cell>
          <cell r="X30872">
            <v>36.11</v>
          </cell>
          <cell r="Y30872">
            <v>36.054</v>
          </cell>
        </row>
        <row r="30872">
          <cell r="AA30872">
            <v>35.939</v>
          </cell>
          <cell r="AB30872">
            <v>35.885</v>
          </cell>
          <cell r="AC30872">
            <v>35.844</v>
          </cell>
          <cell r="AD30872">
            <v>35.804</v>
          </cell>
          <cell r="AE30872">
            <v>35.77</v>
          </cell>
          <cell r="AF30872">
            <v>35.737</v>
          </cell>
          <cell r="AG30872">
            <v>35.713</v>
          </cell>
          <cell r="AH30872">
            <v>35.69</v>
          </cell>
          <cell r="AI30872">
            <v>35.677</v>
          </cell>
          <cell r="AJ30872">
            <v>35.668</v>
          </cell>
          <cell r="AK30872">
            <v>35.665</v>
          </cell>
          <cell r="AL30872">
            <v>35.669</v>
          </cell>
          <cell r="AM30872">
            <v>35.678</v>
          </cell>
        </row>
        <row r="31004">
          <cell r="S31004">
            <v>35.423</v>
          </cell>
          <cell r="T31004">
            <v>35.446</v>
          </cell>
          <cell r="U31004">
            <v>35.477</v>
          </cell>
          <cell r="V31004">
            <v>35.51</v>
          </cell>
          <cell r="W31004">
            <v>35.535</v>
          </cell>
          <cell r="X31004">
            <v>35.596</v>
          </cell>
          <cell r="Y31004">
            <v>35.553</v>
          </cell>
        </row>
        <row r="31279">
          <cell r="AB31279">
            <v>38.695</v>
          </cell>
          <cell r="AC31279">
            <v>38.704</v>
          </cell>
        </row>
        <row r="31279">
          <cell r="AN31279">
            <v>38.767</v>
          </cell>
          <cell r="AO31279">
            <v>38.764</v>
          </cell>
        </row>
        <row r="31436">
          <cell r="C31436">
            <v>36.01</v>
          </cell>
          <cell r="D31436">
            <v>35.986</v>
          </cell>
          <cell r="E31436">
            <v>35.988</v>
          </cell>
          <cell r="F31436">
            <v>35.988</v>
          </cell>
          <cell r="G31436">
            <v>35.989</v>
          </cell>
          <cell r="H31436">
            <v>35.988</v>
          </cell>
          <cell r="I31436">
            <v>35.986</v>
          </cell>
          <cell r="J31436">
            <v>35.986</v>
          </cell>
          <cell r="K31436">
            <v>35.984</v>
          </cell>
          <cell r="L31436">
            <v>35.982</v>
          </cell>
          <cell r="M31436">
            <v>35.982</v>
          </cell>
          <cell r="N31436">
            <v>35.982</v>
          </cell>
          <cell r="O31436">
            <v>35.981</v>
          </cell>
          <cell r="P31436">
            <v>35.98</v>
          </cell>
          <cell r="Q31436">
            <v>35.979</v>
          </cell>
          <cell r="R31436">
            <v>35.976</v>
          </cell>
          <cell r="S31436">
            <v>35.975</v>
          </cell>
          <cell r="T31436">
            <v>35.972</v>
          </cell>
          <cell r="U31436">
            <v>35.971</v>
          </cell>
          <cell r="V31436">
            <v>35.968</v>
          </cell>
          <cell r="W31436">
            <v>35.961</v>
          </cell>
        </row>
        <row r="32171">
          <cell r="AP32171">
            <v>35.64</v>
          </cell>
          <cell r="AQ32171">
            <v>35.668</v>
          </cell>
        </row>
        <row r="32312">
          <cell r="C32312">
            <v>35.814</v>
          </cell>
          <cell r="D32312">
            <v>35.796</v>
          </cell>
          <cell r="E32312">
            <v>35.772</v>
          </cell>
          <cell r="F32312">
            <v>35.778</v>
          </cell>
          <cell r="G32312">
            <v>35.784</v>
          </cell>
          <cell r="H32312">
            <v>35.786</v>
          </cell>
          <cell r="I32312">
            <v>35.787</v>
          </cell>
          <cell r="J32312">
            <v>35.791</v>
          </cell>
          <cell r="K32312">
            <v>35.796</v>
          </cell>
          <cell r="L32312">
            <v>35.8</v>
          </cell>
          <cell r="M32312">
            <v>35.803</v>
          </cell>
          <cell r="N32312">
            <v>35.807</v>
          </cell>
          <cell r="O32312">
            <v>35.81</v>
          </cell>
          <cell r="P32312">
            <v>35.814</v>
          </cell>
          <cell r="Q32312">
            <v>35.817</v>
          </cell>
          <cell r="R32312">
            <v>35.818</v>
          </cell>
          <cell r="S32312">
            <v>35.82</v>
          </cell>
          <cell r="T32312">
            <v>35.82</v>
          </cell>
          <cell r="U32312">
            <v>35.822</v>
          </cell>
          <cell r="V32312">
            <v>35.829</v>
          </cell>
          <cell r="W32312">
            <v>35.829</v>
          </cell>
        </row>
        <row r="32312">
          <cell r="AA32312">
            <v>35.739</v>
          </cell>
          <cell r="AB32312">
            <v>35.72</v>
          </cell>
          <cell r="AC32312">
            <v>35.691</v>
          </cell>
          <cell r="AD32312">
            <v>35.663</v>
          </cell>
          <cell r="AE32312">
            <v>35.634</v>
          </cell>
          <cell r="AF32312">
            <v>35.608</v>
          </cell>
          <cell r="AG32312">
            <v>35.576</v>
          </cell>
          <cell r="AH32312">
            <v>35.539</v>
          </cell>
          <cell r="AI32312">
            <v>35.502</v>
          </cell>
          <cell r="AJ32312">
            <v>35.464</v>
          </cell>
          <cell r="AK32312">
            <v>35.428</v>
          </cell>
          <cell r="AL32312">
            <v>35.391</v>
          </cell>
          <cell r="AM32312">
            <v>35.353</v>
          </cell>
          <cell r="AN32312">
            <v>35.287</v>
          </cell>
          <cell r="AO32312">
            <v>35.232</v>
          </cell>
          <cell r="AP32312">
            <v>35.193</v>
          </cell>
          <cell r="AQ32312">
            <v>35.159</v>
          </cell>
        </row>
        <row r="32478">
          <cell r="C32478">
            <v>35.695</v>
          </cell>
          <cell r="D32478">
            <v>35.69</v>
          </cell>
          <cell r="E32478">
            <v>35.692</v>
          </cell>
          <cell r="F32478">
            <v>35.692</v>
          </cell>
          <cell r="G32478">
            <v>35.691</v>
          </cell>
          <cell r="H32478">
            <v>35.692</v>
          </cell>
          <cell r="I32478">
            <v>35.694</v>
          </cell>
          <cell r="J32478">
            <v>35.695</v>
          </cell>
          <cell r="K32478">
            <v>35.698</v>
          </cell>
          <cell r="L32478">
            <v>35.702</v>
          </cell>
          <cell r="M32478">
            <v>35.704</v>
          </cell>
          <cell r="N32478">
            <v>35.707</v>
          </cell>
          <cell r="O32478">
            <v>35.71</v>
          </cell>
          <cell r="P32478">
            <v>35.71</v>
          </cell>
          <cell r="Q32478">
            <v>35.711</v>
          </cell>
          <cell r="R32478">
            <v>35.714</v>
          </cell>
          <cell r="S32478">
            <v>35.714</v>
          </cell>
          <cell r="T32478">
            <v>35.714</v>
          </cell>
          <cell r="U32478">
            <v>35.715</v>
          </cell>
          <cell r="V32478">
            <v>35.715</v>
          </cell>
          <cell r="W32478">
            <v>35.716</v>
          </cell>
          <cell r="X32478">
            <v>35.704</v>
          </cell>
          <cell r="Y32478">
            <v>35.691</v>
          </cell>
          <cell r="Z32478">
            <v>35.675</v>
          </cell>
          <cell r="AA32478">
            <v>35.654</v>
          </cell>
          <cell r="AB32478">
            <v>35.638</v>
          </cell>
          <cell r="AC32478">
            <v>35.62</v>
          </cell>
          <cell r="AD32478">
            <v>35.601</v>
          </cell>
          <cell r="AE32478">
            <v>35.583</v>
          </cell>
          <cell r="AF32478">
            <v>35.56</v>
          </cell>
          <cell r="AG32478">
            <v>35.536</v>
          </cell>
          <cell r="AH32478">
            <v>35.513</v>
          </cell>
          <cell r="AI32478">
            <v>35.489</v>
          </cell>
          <cell r="AJ32478">
            <v>35.462</v>
          </cell>
          <cell r="AK32478">
            <v>35.438</v>
          </cell>
          <cell r="AL32478">
            <v>35.412</v>
          </cell>
          <cell r="AM32478">
            <v>35.391</v>
          </cell>
          <cell r="AN32478">
            <v>35.339</v>
          </cell>
          <cell r="AO32478">
            <v>35.297</v>
          </cell>
          <cell r="AP32478">
            <v>35.258</v>
          </cell>
          <cell r="AQ32478">
            <v>35.236</v>
          </cell>
        </row>
        <row r="32636">
          <cell r="C32636">
            <v>35.671</v>
          </cell>
          <cell r="D32636">
            <v>35.67</v>
          </cell>
          <cell r="E32636">
            <v>35.667</v>
          </cell>
          <cell r="F32636">
            <v>35.666</v>
          </cell>
          <cell r="G32636">
            <v>35.664</v>
          </cell>
          <cell r="H32636">
            <v>35.665</v>
          </cell>
          <cell r="I32636">
            <v>35.664</v>
          </cell>
          <cell r="J32636">
            <v>35.666</v>
          </cell>
          <cell r="K32636">
            <v>35.67</v>
          </cell>
          <cell r="L32636">
            <v>35.673</v>
          </cell>
          <cell r="M32636">
            <v>35.676</v>
          </cell>
          <cell r="N32636">
            <v>35.68</v>
          </cell>
          <cell r="O32636">
            <v>35.683</v>
          </cell>
          <cell r="P32636">
            <v>35.684</v>
          </cell>
          <cell r="Q32636">
            <v>35.686</v>
          </cell>
          <cell r="R32636">
            <v>35.688</v>
          </cell>
          <cell r="S32636">
            <v>35.69</v>
          </cell>
          <cell r="T32636">
            <v>35.689</v>
          </cell>
          <cell r="U32636">
            <v>35.685</v>
          </cell>
          <cell r="V32636">
            <v>35.686</v>
          </cell>
          <cell r="W32636">
            <v>35.684</v>
          </cell>
          <cell r="X32636">
            <v>35.679</v>
          </cell>
          <cell r="Y32636">
            <v>35.668</v>
          </cell>
          <cell r="Z32636">
            <v>35.656</v>
          </cell>
          <cell r="AA32636">
            <v>35.641</v>
          </cell>
          <cell r="AB32636">
            <v>35.627</v>
          </cell>
          <cell r="AC32636">
            <v>35.606</v>
          </cell>
          <cell r="AD32636">
            <v>35.585</v>
          </cell>
          <cell r="AE32636">
            <v>35.566</v>
          </cell>
          <cell r="AF32636">
            <v>35.543</v>
          </cell>
          <cell r="AG32636">
            <v>35.521</v>
          </cell>
          <cell r="AH32636">
            <v>35.495</v>
          </cell>
          <cell r="AI32636">
            <v>35.469</v>
          </cell>
          <cell r="AJ32636">
            <v>35.446</v>
          </cell>
          <cell r="AK32636">
            <v>35.426</v>
          </cell>
          <cell r="AL32636">
            <v>35.4</v>
          </cell>
          <cell r="AM32636">
            <v>35.378</v>
          </cell>
        </row>
        <row r="32637">
          <cell r="G32637">
            <v>35.642</v>
          </cell>
          <cell r="H32637">
            <v>35.644</v>
          </cell>
          <cell r="I32637">
            <v>35.645</v>
          </cell>
          <cell r="J32637">
            <v>35.647</v>
          </cell>
          <cell r="K32637">
            <v>35.65</v>
          </cell>
          <cell r="L32637">
            <v>35.654</v>
          </cell>
          <cell r="M32637">
            <v>35.656</v>
          </cell>
          <cell r="N32637">
            <v>35.659</v>
          </cell>
          <cell r="O32637">
            <v>35.664</v>
          </cell>
          <cell r="P32637">
            <v>35.668</v>
          </cell>
          <cell r="Q32637">
            <v>35.67</v>
          </cell>
          <cell r="R32637">
            <v>35.669</v>
          </cell>
          <cell r="S32637">
            <v>35.673</v>
          </cell>
          <cell r="T32637">
            <v>35.675</v>
          </cell>
          <cell r="U32637">
            <v>35.676</v>
          </cell>
          <cell r="V32637">
            <v>35.676</v>
          </cell>
          <cell r="W32637">
            <v>35.676</v>
          </cell>
          <cell r="X32637">
            <v>35.665</v>
          </cell>
          <cell r="Y32637">
            <v>35.649</v>
          </cell>
        </row>
        <row r="32637">
          <cell r="AM32637">
            <v>35.375</v>
          </cell>
          <cell r="AN32637">
            <v>35.338</v>
          </cell>
          <cell r="AO32637">
            <v>35.3</v>
          </cell>
          <cell r="AP32637">
            <v>35.263</v>
          </cell>
          <cell r="AQ32637">
            <v>35.242</v>
          </cell>
        </row>
        <row r="32794">
          <cell r="C32794">
            <v>35.599</v>
          </cell>
          <cell r="D32794">
            <v>35.594</v>
          </cell>
          <cell r="E32794">
            <v>35.593</v>
          </cell>
          <cell r="F32794">
            <v>35.595</v>
          </cell>
          <cell r="G32794">
            <v>35.593</v>
          </cell>
          <cell r="H32794">
            <v>35.592</v>
          </cell>
          <cell r="I32794">
            <v>35.591</v>
          </cell>
          <cell r="J32794">
            <v>35.589</v>
          </cell>
          <cell r="K32794">
            <v>35.587</v>
          </cell>
          <cell r="L32794">
            <v>35.588</v>
          </cell>
          <cell r="M32794">
            <v>35.586</v>
          </cell>
          <cell r="N32794">
            <v>35.589</v>
          </cell>
          <cell r="O32794">
            <v>35.588</v>
          </cell>
          <cell r="P32794">
            <v>35.588</v>
          </cell>
          <cell r="Q32794">
            <v>35.588</v>
          </cell>
          <cell r="R32794">
            <v>35.589</v>
          </cell>
          <cell r="S32794">
            <v>35.589</v>
          </cell>
          <cell r="T32794">
            <v>35.588</v>
          </cell>
          <cell r="U32794">
            <v>35.589</v>
          </cell>
          <cell r="V32794">
            <v>35.589</v>
          </cell>
          <cell r="W32794">
            <v>35.589</v>
          </cell>
          <cell r="X32794">
            <v>35.584</v>
          </cell>
          <cell r="Y32794">
            <v>35.583</v>
          </cell>
          <cell r="Z32794">
            <v>35.58</v>
          </cell>
          <cell r="AA32794">
            <v>35.58</v>
          </cell>
          <cell r="AB32794">
            <v>35.581</v>
          </cell>
          <cell r="AC32794">
            <v>35.575</v>
          </cell>
          <cell r="AD32794">
            <v>35.57</v>
          </cell>
          <cell r="AE32794">
            <v>35.566</v>
          </cell>
          <cell r="AF32794">
            <v>35.56</v>
          </cell>
          <cell r="AG32794">
            <v>35.556</v>
          </cell>
          <cell r="AH32794">
            <v>35.552</v>
          </cell>
          <cell r="AI32794">
            <v>35.55</v>
          </cell>
          <cell r="AJ32794">
            <v>35.547</v>
          </cell>
          <cell r="AK32794">
            <v>35.54</v>
          </cell>
          <cell r="AL32794">
            <v>35.536</v>
          </cell>
          <cell r="AM32794">
            <v>35.531</v>
          </cell>
        </row>
        <row r="33063">
          <cell r="C33063">
            <v>35.338</v>
          </cell>
          <cell r="D33063">
            <v>35.252</v>
          </cell>
          <cell r="E33063">
            <v>35.231</v>
          </cell>
          <cell r="F33063">
            <v>35.242</v>
          </cell>
          <cell r="G33063">
            <v>35.245</v>
          </cell>
          <cell r="H33063">
            <v>35.248</v>
          </cell>
          <cell r="I33063">
            <v>35.253</v>
          </cell>
          <cell r="J33063">
            <v>35.259</v>
          </cell>
          <cell r="K33063">
            <v>35.26</v>
          </cell>
          <cell r="L33063">
            <v>35.266</v>
          </cell>
          <cell r="M33063">
            <v>35.275</v>
          </cell>
          <cell r="N33063">
            <v>35.289</v>
          </cell>
          <cell r="O33063">
            <v>35.295</v>
          </cell>
          <cell r="P33063">
            <v>35.3</v>
          </cell>
          <cell r="Q33063">
            <v>35.305</v>
          </cell>
          <cell r="R33063">
            <v>35.31</v>
          </cell>
          <cell r="S33063">
            <v>35.314</v>
          </cell>
          <cell r="T33063">
            <v>35.316</v>
          </cell>
          <cell r="U33063">
            <v>35.318</v>
          </cell>
          <cell r="V33063">
            <v>35.317</v>
          </cell>
          <cell r="W33063">
            <v>35.318</v>
          </cell>
        </row>
        <row r="33205">
          <cell r="C33205">
            <v>35.419</v>
          </cell>
        </row>
        <row r="33324">
          <cell r="C33324">
            <v>34.674</v>
          </cell>
          <cell r="D33324">
            <v>34.674</v>
          </cell>
          <cell r="E33324">
            <v>34.676</v>
          </cell>
          <cell r="F33324">
            <v>34.677</v>
          </cell>
          <cell r="G33324">
            <v>34.68</v>
          </cell>
          <cell r="H33324">
            <v>34.683</v>
          </cell>
          <cell r="I33324">
            <v>34.687</v>
          </cell>
          <cell r="J33324">
            <v>34.692</v>
          </cell>
          <cell r="K33324">
            <v>34.698</v>
          </cell>
          <cell r="L33324">
            <v>34.705</v>
          </cell>
          <cell r="M33324">
            <v>34.711</v>
          </cell>
          <cell r="N33324">
            <v>34.715</v>
          </cell>
          <cell r="O33324">
            <v>34.72</v>
          </cell>
          <cell r="P33324">
            <v>34.725</v>
          </cell>
          <cell r="Q33324">
            <v>34.73</v>
          </cell>
          <cell r="R33324">
            <v>34.735</v>
          </cell>
          <cell r="S33324">
            <v>34.739</v>
          </cell>
          <cell r="T33324">
            <v>34.744</v>
          </cell>
          <cell r="U33324">
            <v>34.747</v>
          </cell>
          <cell r="V33324">
            <v>34.751</v>
          </cell>
          <cell r="W33324">
            <v>34.754</v>
          </cell>
          <cell r="X33324">
            <v>34.769</v>
          </cell>
          <cell r="Y33324">
            <v>34.783</v>
          </cell>
          <cell r="Z33324">
            <v>34.799</v>
          </cell>
          <cell r="AA33324">
            <v>34.815</v>
          </cell>
        </row>
        <row r="33329">
          <cell r="CC33329">
            <v>34.951</v>
          </cell>
          <cell r="CD33329">
            <v>34.949</v>
          </cell>
        </row>
        <row r="33343">
          <cell r="C33343">
            <v>35.467</v>
          </cell>
          <cell r="D33343">
            <v>35.464</v>
          </cell>
          <cell r="E33343">
            <v>35.464</v>
          </cell>
          <cell r="F33343">
            <v>35.465</v>
          </cell>
          <cell r="G33343">
            <v>35.466</v>
          </cell>
          <cell r="H33343">
            <v>35.468</v>
          </cell>
          <cell r="I33343">
            <v>35.47</v>
          </cell>
          <cell r="J33343">
            <v>35.472</v>
          </cell>
          <cell r="K33343">
            <v>35.476</v>
          </cell>
          <cell r="L33343">
            <v>35.479</v>
          </cell>
          <cell r="M33343">
            <v>35.481</v>
          </cell>
          <cell r="N33343">
            <v>35.484</v>
          </cell>
          <cell r="O33343">
            <v>35.489</v>
          </cell>
          <cell r="P33343">
            <v>35.491</v>
          </cell>
          <cell r="Q33343">
            <v>35.495</v>
          </cell>
          <cell r="R33343">
            <v>35.497</v>
          </cell>
          <cell r="S33343">
            <v>35.5</v>
          </cell>
          <cell r="T33343">
            <v>35.501</v>
          </cell>
          <cell r="U33343">
            <v>35.503</v>
          </cell>
          <cell r="V33343">
            <v>35.503</v>
          </cell>
          <cell r="W33343">
            <v>35.503</v>
          </cell>
          <cell r="X33343">
            <v>35.498</v>
          </cell>
          <cell r="Y33343">
            <v>35.492</v>
          </cell>
          <cell r="Z33343">
            <v>35.486</v>
          </cell>
          <cell r="AA33343">
            <v>35.481</v>
          </cell>
          <cell r="AB33343">
            <v>35.477</v>
          </cell>
          <cell r="AC33343">
            <v>35.473</v>
          </cell>
          <cell r="AD33343">
            <v>35.468</v>
          </cell>
          <cell r="AE33343">
            <v>35.464</v>
          </cell>
          <cell r="AF33343">
            <v>35.459</v>
          </cell>
          <cell r="AG33343">
            <v>35.454</v>
          </cell>
          <cell r="AH33343">
            <v>35.451</v>
          </cell>
          <cell r="AI33343">
            <v>35.445</v>
          </cell>
          <cell r="AJ33343">
            <v>35.435</v>
          </cell>
          <cell r="AK33343">
            <v>35.426</v>
          </cell>
          <cell r="AL33343">
            <v>35.417</v>
          </cell>
          <cell r="AM33343">
            <v>35.412</v>
          </cell>
          <cell r="AN33343">
            <v>35.389</v>
          </cell>
          <cell r="AO33343">
            <v>35.374</v>
          </cell>
          <cell r="AP33343">
            <v>35.349</v>
          </cell>
          <cell r="AQ33343">
            <v>35.334</v>
          </cell>
        </row>
        <row r="33489">
          <cell r="C33489">
            <v>32.745</v>
          </cell>
          <cell r="D33489">
            <v>32.771</v>
          </cell>
          <cell r="E33489">
            <v>32.774</v>
          </cell>
          <cell r="F33489">
            <v>32.785</v>
          </cell>
          <cell r="G33489">
            <v>32.764</v>
          </cell>
          <cell r="H33489">
            <v>32.771</v>
          </cell>
          <cell r="I33489">
            <v>32.805</v>
          </cell>
          <cell r="J33489">
            <v>32.861</v>
          </cell>
          <cell r="K33489">
            <v>32.892</v>
          </cell>
          <cell r="L33489">
            <v>32.919</v>
          </cell>
          <cell r="M33489">
            <v>32.94</v>
          </cell>
          <cell r="N33489">
            <v>32.959</v>
          </cell>
          <cell r="O33489">
            <v>32.983</v>
          </cell>
          <cell r="P33489">
            <v>33.009</v>
          </cell>
          <cell r="Q33489">
            <v>33.033</v>
          </cell>
          <cell r="R33489">
            <v>33.054</v>
          </cell>
          <cell r="S33489">
            <v>33.075</v>
          </cell>
          <cell r="T33489">
            <v>33.098</v>
          </cell>
          <cell r="U33489">
            <v>33.118</v>
          </cell>
          <cell r="V33489">
            <v>33.136</v>
          </cell>
          <cell r="W33489">
            <v>33.153</v>
          </cell>
          <cell r="X33489">
            <v>33.234</v>
          </cell>
          <cell r="Y33489">
            <v>33.304</v>
          </cell>
          <cell r="Z33489">
            <v>33.346</v>
          </cell>
          <cell r="AA33489">
            <v>33.378</v>
          </cell>
        </row>
        <row r="34014">
          <cell r="C34014">
            <v>34.752</v>
          </cell>
          <cell r="D34014">
            <v>34.763</v>
          </cell>
          <cell r="E34014">
            <v>34.746</v>
          </cell>
          <cell r="F34014">
            <v>34.751</v>
          </cell>
          <cell r="G34014">
            <v>34.754</v>
          </cell>
          <cell r="H34014">
            <v>34.761</v>
          </cell>
          <cell r="I34014">
            <v>34.765</v>
          </cell>
          <cell r="J34014">
            <v>34.772</v>
          </cell>
          <cell r="K34014">
            <v>34.781</v>
          </cell>
          <cell r="L34014">
            <v>34.787</v>
          </cell>
          <cell r="M34014">
            <v>34.793</v>
          </cell>
          <cell r="N34014">
            <v>34.793</v>
          </cell>
          <cell r="O34014">
            <v>34.796</v>
          </cell>
          <cell r="P34014">
            <v>34.799</v>
          </cell>
          <cell r="Q34014">
            <v>34.805</v>
          </cell>
          <cell r="R34014">
            <v>34.809</v>
          </cell>
          <cell r="S34014">
            <v>34.812</v>
          </cell>
          <cell r="T34014">
            <v>34.816</v>
          </cell>
          <cell r="U34014">
            <v>34.819</v>
          </cell>
          <cell r="V34014">
            <v>34.821</v>
          </cell>
          <cell r="W34014">
            <v>34.824</v>
          </cell>
        </row>
        <row r="34025">
          <cell r="C34025">
            <v>34.957</v>
          </cell>
          <cell r="D34025">
            <v>34.957</v>
          </cell>
          <cell r="E34025">
            <v>34.959</v>
          </cell>
          <cell r="F34025">
            <v>34.961</v>
          </cell>
          <cell r="G34025">
            <v>34.962</v>
          </cell>
          <cell r="H34025">
            <v>34.972</v>
          </cell>
          <cell r="I34025">
            <v>34.975</v>
          </cell>
          <cell r="J34025">
            <v>34.978</v>
          </cell>
          <cell r="K34025">
            <v>34.981</v>
          </cell>
          <cell r="L34025">
            <v>34.984</v>
          </cell>
          <cell r="M34025">
            <v>34.987</v>
          </cell>
          <cell r="N34025">
            <v>34.989</v>
          </cell>
          <cell r="O34025">
            <v>34.991</v>
          </cell>
          <cell r="P34025">
            <v>34.994</v>
          </cell>
          <cell r="Q34025">
            <v>34.997</v>
          </cell>
          <cell r="R34025">
            <v>35</v>
          </cell>
          <cell r="S34025">
            <v>35.001</v>
          </cell>
          <cell r="T34025">
            <v>35.002</v>
          </cell>
          <cell r="U34025">
            <v>35.003</v>
          </cell>
          <cell r="V34025">
            <v>35.003</v>
          </cell>
          <cell r="W34025">
            <v>35.006</v>
          </cell>
          <cell r="X34025">
            <v>35.012</v>
          </cell>
          <cell r="Y34025">
            <v>35.015</v>
          </cell>
          <cell r="Z34025">
            <v>35.021</v>
          </cell>
          <cell r="AA34025">
            <v>35.032</v>
          </cell>
        </row>
        <row r="34059">
          <cell r="C34059">
            <v>32.115</v>
          </cell>
          <cell r="D34059">
            <v>32.429</v>
          </cell>
          <cell r="E34059">
            <v>33.021</v>
          </cell>
          <cell r="F34059">
            <v>33.576</v>
          </cell>
          <cell r="G34059">
            <v>33.965</v>
          </cell>
          <cell r="H34059">
            <v>34.206</v>
          </cell>
          <cell r="I34059">
            <v>34.409</v>
          </cell>
          <cell r="J34059">
            <v>34.534</v>
          </cell>
          <cell r="K34059">
            <v>34.622</v>
          </cell>
          <cell r="L34059">
            <v>34.696</v>
          </cell>
          <cell r="M34059">
            <v>34.756</v>
          </cell>
          <cell r="N34059">
            <v>34.811</v>
          </cell>
          <cell r="O34059">
            <v>34.848</v>
          </cell>
          <cell r="P34059">
            <v>34.88</v>
          </cell>
          <cell r="Q34059">
            <v>34.909</v>
          </cell>
          <cell r="R34059">
            <v>34.933</v>
          </cell>
          <cell r="S34059">
            <v>34.953</v>
          </cell>
          <cell r="T34059">
            <v>34.97</v>
          </cell>
          <cell r="U34059">
            <v>34.986</v>
          </cell>
          <cell r="V34059">
            <v>35.003</v>
          </cell>
          <cell r="W34059">
            <v>35.016</v>
          </cell>
        </row>
        <row r="34181">
          <cell r="C34181">
            <v>35.207</v>
          </cell>
          <cell r="D34181">
            <v>35.156</v>
          </cell>
          <cell r="E34181">
            <v>35.158</v>
          </cell>
          <cell r="F34181">
            <v>35.159</v>
          </cell>
          <cell r="G34181">
            <v>35.16</v>
          </cell>
          <cell r="H34181">
            <v>35.161</v>
          </cell>
          <cell r="I34181">
            <v>35.162</v>
          </cell>
          <cell r="J34181">
            <v>35.162</v>
          </cell>
          <cell r="K34181">
            <v>35.164</v>
          </cell>
          <cell r="L34181">
            <v>35.166</v>
          </cell>
          <cell r="M34181">
            <v>35.168</v>
          </cell>
          <cell r="N34181">
            <v>35.175</v>
          </cell>
          <cell r="O34181">
            <v>35.174</v>
          </cell>
          <cell r="P34181">
            <v>35.18</v>
          </cell>
          <cell r="Q34181">
            <v>35.185</v>
          </cell>
          <cell r="R34181">
            <v>35.184</v>
          </cell>
          <cell r="S34181">
            <v>35.192</v>
          </cell>
          <cell r="T34181">
            <v>35.196</v>
          </cell>
          <cell r="U34181">
            <v>35.198</v>
          </cell>
          <cell r="V34181">
            <v>35.199</v>
          </cell>
          <cell r="W34181">
            <v>35.199</v>
          </cell>
        </row>
        <row r="34439">
          <cell r="C34439">
            <v>35.183</v>
          </cell>
          <cell r="D34439">
            <v>35.091</v>
          </cell>
          <cell r="E34439">
            <v>35.086</v>
          </cell>
          <cell r="F34439">
            <v>35.085</v>
          </cell>
          <cell r="G34439">
            <v>35.085</v>
          </cell>
          <cell r="H34439">
            <v>35.094</v>
          </cell>
          <cell r="I34439">
            <v>35.098</v>
          </cell>
          <cell r="J34439">
            <v>35.101</v>
          </cell>
          <cell r="K34439">
            <v>35.105</v>
          </cell>
          <cell r="L34439">
            <v>35.11</v>
          </cell>
          <cell r="M34439">
            <v>35.114</v>
          </cell>
          <cell r="N34439">
            <v>35.116</v>
          </cell>
          <cell r="O34439">
            <v>35.118</v>
          </cell>
          <cell r="P34439">
            <v>35.12</v>
          </cell>
          <cell r="Q34439">
            <v>35.121</v>
          </cell>
          <cell r="R34439">
            <v>35.123</v>
          </cell>
          <cell r="S34439">
            <v>35.124</v>
          </cell>
          <cell r="T34439">
            <v>35.125</v>
          </cell>
          <cell r="U34439">
            <v>35.128</v>
          </cell>
          <cell r="V34439">
            <v>35.129</v>
          </cell>
          <cell r="W34439">
            <v>35.129</v>
          </cell>
        </row>
        <row r="34544">
          <cell r="C34544">
            <v>35.143</v>
          </cell>
          <cell r="D34544">
            <v>35.136</v>
          </cell>
          <cell r="E34544">
            <v>35.133</v>
          </cell>
          <cell r="F34544">
            <v>35.134</v>
          </cell>
          <cell r="G34544">
            <v>35.135</v>
          </cell>
          <cell r="H34544">
            <v>35.138</v>
          </cell>
          <cell r="I34544">
            <v>35.137</v>
          </cell>
          <cell r="J34544">
            <v>35.139</v>
          </cell>
          <cell r="K34544">
            <v>35.144</v>
          </cell>
          <cell r="L34544">
            <v>35.146</v>
          </cell>
          <cell r="M34544">
            <v>35.15</v>
          </cell>
          <cell r="N34544">
            <v>35.153</v>
          </cell>
          <cell r="O34544">
            <v>35.155</v>
          </cell>
          <cell r="P34544">
            <v>35.159</v>
          </cell>
          <cell r="Q34544">
            <v>35.163</v>
          </cell>
          <cell r="R34544">
            <v>35.164</v>
          </cell>
          <cell r="S34544">
            <v>35.163</v>
          </cell>
          <cell r="T34544">
            <v>35.165</v>
          </cell>
          <cell r="U34544">
            <v>35.168</v>
          </cell>
          <cell r="V34544">
            <v>35.169</v>
          </cell>
          <cell r="W34544">
            <v>35.171</v>
          </cell>
          <cell r="X34544">
            <v>35.177</v>
          </cell>
          <cell r="Y34544">
            <v>35.173</v>
          </cell>
          <cell r="Z34544">
            <v>35.177</v>
          </cell>
          <cell r="AA34544">
            <v>35.176</v>
          </cell>
        </row>
        <row r="34545">
          <cell r="C34545">
            <v>35.167</v>
          </cell>
          <cell r="D34545">
            <v>35.161</v>
          </cell>
          <cell r="E34545">
            <v>35.155</v>
          </cell>
          <cell r="F34545">
            <v>35.154</v>
          </cell>
          <cell r="G34545">
            <v>35.156</v>
          </cell>
          <cell r="H34545">
            <v>35.155</v>
          </cell>
          <cell r="I34545">
            <v>35.155</v>
          </cell>
          <cell r="J34545">
            <v>35.157</v>
          </cell>
          <cell r="K34545">
            <v>35.159</v>
          </cell>
          <cell r="L34545">
            <v>35.163</v>
          </cell>
          <cell r="M34545">
            <v>35.166</v>
          </cell>
          <cell r="N34545">
            <v>35.168</v>
          </cell>
          <cell r="O34545">
            <v>35.168</v>
          </cell>
          <cell r="P34545">
            <v>35.168</v>
          </cell>
          <cell r="Q34545">
            <v>35.171</v>
          </cell>
          <cell r="R34545">
            <v>35.171</v>
          </cell>
          <cell r="S34545">
            <v>35.173</v>
          </cell>
          <cell r="T34545">
            <v>35.174</v>
          </cell>
          <cell r="U34545">
            <v>35.175</v>
          </cell>
          <cell r="V34545">
            <v>35.178</v>
          </cell>
          <cell r="W34545">
            <v>35.176</v>
          </cell>
        </row>
        <row r="34738">
          <cell r="AS34738">
            <v>34.911</v>
          </cell>
          <cell r="AT34738">
            <v>34.911</v>
          </cell>
        </row>
        <row r="34739">
          <cell r="C34739">
            <v>34.095</v>
          </cell>
          <cell r="D34739">
            <v>34.146</v>
          </cell>
          <cell r="E34739">
            <v>34.244</v>
          </cell>
          <cell r="F34739">
            <v>34.401</v>
          </cell>
          <cell r="G34739">
            <v>34.542</v>
          </cell>
          <cell r="H34739">
            <v>34.657</v>
          </cell>
          <cell r="I34739">
            <v>34.748</v>
          </cell>
          <cell r="J34739">
            <v>34.826</v>
          </cell>
          <cell r="K34739">
            <v>34.888</v>
          </cell>
          <cell r="L34739">
            <v>34.938</v>
          </cell>
          <cell r="M34739">
            <v>34.977</v>
          </cell>
          <cell r="N34739">
            <v>35.012</v>
          </cell>
          <cell r="O34739">
            <v>35.041</v>
          </cell>
          <cell r="P34739">
            <v>35.064</v>
          </cell>
          <cell r="Q34739">
            <v>35.085</v>
          </cell>
          <cell r="R34739">
            <v>35.107</v>
          </cell>
          <cell r="S34739">
            <v>35.123</v>
          </cell>
          <cell r="T34739">
            <v>35.139</v>
          </cell>
          <cell r="U34739">
            <v>35.151</v>
          </cell>
          <cell r="V34739">
            <v>35.163</v>
          </cell>
          <cell r="W34739">
            <v>35.171</v>
          </cell>
          <cell r="X34739">
            <v>35.206</v>
          </cell>
          <cell r="Y34739">
            <v>35.225</v>
          </cell>
          <cell r="Z34739">
            <v>35.234</v>
          </cell>
          <cell r="AA34739">
            <v>35.239</v>
          </cell>
          <cell r="AB34739">
            <v>35.229</v>
          </cell>
          <cell r="AC34739">
            <v>35.225</v>
          </cell>
          <cell r="AD34739">
            <v>35.215</v>
          </cell>
          <cell r="AE34739">
            <v>35.21</v>
          </cell>
          <cell r="AF34739">
            <v>35.205</v>
          </cell>
          <cell r="AG34739">
            <v>35.192</v>
          </cell>
          <cell r="AH34739">
            <v>35.181</v>
          </cell>
          <cell r="AI34739">
            <v>35.164</v>
          </cell>
          <cell r="AJ34739">
            <v>35.148</v>
          </cell>
          <cell r="AK34739">
            <v>35.12</v>
          </cell>
          <cell r="AL34739">
            <v>35.095</v>
          </cell>
          <cell r="AM34739">
            <v>35.073</v>
          </cell>
        </row>
        <row r="35129">
          <cell r="BX35129">
            <v>34.904</v>
          </cell>
          <cell r="BY35129">
            <v>34.904</v>
          </cell>
        </row>
        <row r="35241">
          <cell r="C35241">
            <v>33.451</v>
          </cell>
          <cell r="D35241">
            <v>33.501</v>
          </cell>
          <cell r="E35241">
            <v>33.455</v>
          </cell>
          <cell r="F35241">
            <v>33.81</v>
          </cell>
          <cell r="G35241">
            <v>34.009</v>
          </cell>
          <cell r="H35241">
            <v>34.15</v>
          </cell>
          <cell r="I35241">
            <v>34.259</v>
          </cell>
          <cell r="J35241">
            <v>34.312</v>
          </cell>
          <cell r="K35241">
            <v>34.363</v>
          </cell>
          <cell r="L35241">
            <v>34.408</v>
          </cell>
          <cell r="M35241">
            <v>34.444</v>
          </cell>
          <cell r="N35241">
            <v>34.474</v>
          </cell>
          <cell r="O35241">
            <v>34.493</v>
          </cell>
          <cell r="P35241">
            <v>34.513</v>
          </cell>
          <cell r="Q35241">
            <v>34.533</v>
          </cell>
          <cell r="R35241">
            <v>34.55</v>
          </cell>
          <cell r="S35241">
            <v>34.578</v>
          </cell>
          <cell r="T35241">
            <v>34.605</v>
          </cell>
          <cell r="U35241">
            <v>34.614</v>
          </cell>
          <cell r="V35241">
            <v>34.636</v>
          </cell>
          <cell r="W35241">
            <v>34.679</v>
          </cell>
          <cell r="X35241">
            <v>34.742</v>
          </cell>
          <cell r="Y35241">
            <v>34.826</v>
          </cell>
          <cell r="Z35241">
            <v>34.866</v>
          </cell>
          <cell r="AA35241">
            <v>34.866</v>
          </cell>
        </row>
        <row r="35245">
          <cell r="H35245">
            <v>34.709</v>
          </cell>
          <cell r="I35245">
            <v>34.726</v>
          </cell>
          <cell r="J35245">
            <v>34.74</v>
          </cell>
          <cell r="K35245">
            <v>34.75</v>
          </cell>
          <cell r="L35245">
            <v>34.76</v>
          </cell>
          <cell r="M35245">
            <v>34.768</v>
          </cell>
          <cell r="N35245">
            <v>34.778</v>
          </cell>
          <cell r="O35245">
            <v>34.784</v>
          </cell>
          <cell r="P35245">
            <v>34.792</v>
          </cell>
          <cell r="Q35245">
            <v>34.799</v>
          </cell>
          <cell r="R35245">
            <v>34.805</v>
          </cell>
          <cell r="S35245">
            <v>34.812</v>
          </cell>
          <cell r="T35245">
            <v>34.817</v>
          </cell>
          <cell r="U35245">
            <v>34.823</v>
          </cell>
          <cell r="V35245">
            <v>34.828</v>
          </cell>
          <cell r="W35245">
            <v>34.832</v>
          </cell>
          <cell r="X35245">
            <v>34.851</v>
          </cell>
        </row>
        <row r="35256">
          <cell r="G35256">
            <v>35.082</v>
          </cell>
          <cell r="H35256">
            <v>35.081</v>
          </cell>
          <cell r="I35256">
            <v>35.083</v>
          </cell>
          <cell r="J35256">
            <v>35.084</v>
          </cell>
          <cell r="K35256">
            <v>35.084</v>
          </cell>
          <cell r="L35256">
            <v>35.084</v>
          </cell>
          <cell r="M35256">
            <v>35.084</v>
          </cell>
          <cell r="N35256">
            <v>35.085</v>
          </cell>
          <cell r="O35256">
            <v>35.085</v>
          </cell>
          <cell r="P35256">
            <v>35.086</v>
          </cell>
          <cell r="Q35256">
            <v>35.086</v>
          </cell>
          <cell r="R35256">
            <v>35.085</v>
          </cell>
          <cell r="S35256">
            <v>35.084</v>
          </cell>
          <cell r="T35256">
            <v>35.082</v>
          </cell>
          <cell r="U35256">
            <v>35.081</v>
          </cell>
          <cell r="V35256">
            <v>35.081</v>
          </cell>
          <cell r="W35256">
            <v>35.08</v>
          </cell>
          <cell r="X35256">
            <v>35.073</v>
          </cell>
        </row>
        <row r="35809">
          <cell r="C35809">
            <v>33.969</v>
          </cell>
          <cell r="D35809">
            <v>34.251</v>
          </cell>
          <cell r="E35809">
            <v>34.164</v>
          </cell>
          <cell r="F35809">
            <v>34.335</v>
          </cell>
          <cell r="G35809">
            <v>34.441</v>
          </cell>
          <cell r="H35809">
            <v>34.535</v>
          </cell>
          <cell r="I35809">
            <v>34.603</v>
          </cell>
          <cell r="J35809">
            <v>34.653</v>
          </cell>
          <cell r="K35809">
            <v>34.68</v>
          </cell>
          <cell r="L35809">
            <v>34.725</v>
          </cell>
          <cell r="M35809">
            <v>34.759</v>
          </cell>
          <cell r="N35809">
            <v>34.788</v>
          </cell>
          <cell r="O35809">
            <v>34.813</v>
          </cell>
          <cell r="P35809">
            <v>34.827</v>
          </cell>
          <cell r="Q35809">
            <v>34.838</v>
          </cell>
          <cell r="R35809">
            <v>34.847</v>
          </cell>
          <cell r="S35809">
            <v>34.859</v>
          </cell>
          <cell r="T35809">
            <v>34.872</v>
          </cell>
          <cell r="U35809">
            <v>34.884</v>
          </cell>
          <cell r="V35809">
            <v>34.892</v>
          </cell>
          <cell r="W35809">
            <v>34.905</v>
          </cell>
          <cell r="X35809">
            <v>34.92</v>
          </cell>
          <cell r="Y35809">
            <v>34.92</v>
          </cell>
          <cell r="Z35809">
            <v>34.918</v>
          </cell>
          <cell r="AA35809">
            <v>34.919</v>
          </cell>
        </row>
        <row r="35809">
          <cell r="BM35809">
            <v>34.911</v>
          </cell>
          <cell r="BN35809">
            <v>34.911</v>
          </cell>
        </row>
        <row r="38670">
          <cell r="C38670">
            <v>31.703</v>
          </cell>
          <cell r="D38670">
            <v>31.725</v>
          </cell>
          <cell r="E38670">
            <v>31.895</v>
          </cell>
          <cell r="F38670">
            <v>31.952</v>
          </cell>
          <cell r="G38670">
            <v>31.967</v>
          </cell>
          <cell r="H38670">
            <v>32.02</v>
          </cell>
          <cell r="I38670">
            <v>32.103</v>
          </cell>
          <cell r="J38670">
            <v>32.223</v>
          </cell>
          <cell r="K38670">
            <v>32.348</v>
          </cell>
          <cell r="L38670">
            <v>32.48</v>
          </cell>
          <cell r="M38670">
            <v>32.662</v>
          </cell>
          <cell r="N38670">
            <v>32.951</v>
          </cell>
          <cell r="O38670">
            <v>33.183</v>
          </cell>
          <cell r="P38670">
            <v>33.375</v>
          </cell>
          <cell r="Q38670">
            <v>33.522</v>
          </cell>
          <cell r="R38670">
            <v>33.658</v>
          </cell>
          <cell r="S38670">
            <v>33.769</v>
          </cell>
          <cell r="T38670">
            <v>33.859</v>
          </cell>
          <cell r="U38670">
            <v>33.937</v>
          </cell>
          <cell r="V38670">
            <v>34.013</v>
          </cell>
          <cell r="W38670">
            <v>34.057</v>
          </cell>
          <cell r="X38670">
            <v>34.24</v>
          </cell>
          <cell r="Y38670">
            <v>34.375</v>
          </cell>
          <cell r="Z38670">
            <v>34.48</v>
          </cell>
          <cell r="AA38670">
            <v>34.575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1048576"/>
  <sheetViews>
    <sheetView showFormulas="false" showGridLines="true" showRowColHeaders="true" showZeros="true" rightToLeft="false" tabSelected="true" showOutlineSymbols="true" defaultGridColor="true" view="normal" topLeftCell="R1" colorId="64" zoomScale="70" zoomScaleNormal="70" zoomScalePageLayoutView="100" workbookViewId="0">
      <pane xSplit="4901" ySplit="2340" topLeftCell="BB243" activePane="topRight" state="split"/>
      <selection pane="topLeft" activeCell="R1" activeCellId="0" sqref="R1"/>
      <selection pane="topRight" activeCell="BI2" activeCellId="0" sqref="BI2"/>
      <selection pane="bottomLeft" activeCell="R243" activeCellId="0" sqref="R243"/>
      <selection pane="bottomRight" activeCell="BB243" activeCellId="0" sqref="BB243"/>
    </sheetView>
  </sheetViews>
  <sheetFormatPr defaultColWidth="10.51171875" defaultRowHeight="16" zeroHeight="false" outlineLevelRow="0" outlineLevelCol="0"/>
  <cols>
    <col collapsed="false" customWidth="true" hidden="false" outlineLevel="0" max="1" min="1" style="1" width="29"/>
    <col collapsed="false" customWidth="true" hidden="false" outlineLevel="0" max="2" min="2" style="0" width="50"/>
    <col collapsed="false" customWidth="true" hidden="false" outlineLevel="0" max="3" min="3" style="0" width="22.34"/>
    <col collapsed="false" customWidth="true" hidden="false" outlineLevel="0" max="4" min="4" style="1" width="61.5"/>
    <col collapsed="false" customWidth="true" hidden="false" outlineLevel="0" max="7" min="5" style="1" width="32"/>
    <col collapsed="false" customWidth="true" hidden="false" outlineLevel="0" max="8" min="8" style="1" width="15.84"/>
    <col collapsed="false" customWidth="true" hidden="false" outlineLevel="0" max="9" min="9" style="1" width="35.5"/>
    <col collapsed="false" customWidth="true" hidden="false" outlineLevel="0" max="11" min="10" style="1" width="32"/>
    <col collapsed="false" customWidth="true" hidden="false" outlineLevel="0" max="13" min="12" style="1" width="29"/>
    <col collapsed="false" customWidth="true" hidden="false" outlineLevel="0" max="14" min="14" style="1" width="32"/>
    <col collapsed="false" customWidth="true" hidden="false" outlineLevel="0" max="19" min="15" style="1" width="26"/>
    <col collapsed="false" customWidth="true" hidden="false" outlineLevel="0" max="20" min="20" style="1" width="18.5"/>
    <col collapsed="false" customWidth="false" hidden="false" outlineLevel="0" max="28" min="21" style="1" width="10.5"/>
    <col collapsed="false" customWidth="true" hidden="false" outlineLevel="0" max="30" min="29" style="1" width="11"/>
    <col collapsed="false" customWidth="false" hidden="false" outlineLevel="0" max="36" min="31" style="1" width="10.5"/>
    <col collapsed="false" customWidth="true" hidden="false" outlineLevel="0" max="37" min="37" style="1" width="32"/>
    <col collapsed="false" customWidth="true" hidden="false" outlineLevel="0" max="38" min="38" style="0" width="23.34"/>
    <col collapsed="false" customWidth="true" hidden="false" outlineLevel="0" max="39" min="39" style="0" width="9.5"/>
    <col collapsed="false" customWidth="true" hidden="false" outlineLevel="0" max="40" min="40" style="0" width="10"/>
    <col collapsed="false" customWidth="true" hidden="false" outlineLevel="0" max="41" min="41" style="0" width="15.5"/>
    <col collapsed="false" customWidth="true" hidden="false" outlineLevel="0" max="42" min="42" style="0" width="7.5"/>
    <col collapsed="false" customWidth="true" hidden="false" outlineLevel="0" max="43" min="43" style="0" width="6"/>
    <col collapsed="false" customWidth="true" hidden="false" outlineLevel="0" max="44" min="44" style="0" width="7"/>
    <col collapsed="false" customWidth="true" hidden="false" outlineLevel="0" max="45" min="45" style="0" width="23.5"/>
    <col collapsed="false" customWidth="true" hidden="false" outlineLevel="0" max="51" min="46" style="0" width="7.5"/>
    <col collapsed="false" customWidth="true" hidden="false" outlineLevel="0" max="52" min="52" style="0" width="26.33"/>
    <col collapsed="false" customWidth="true" hidden="false" outlineLevel="0" max="53" min="53" style="0" width="13.5"/>
    <col collapsed="false" customWidth="true" hidden="false" outlineLevel="0" max="56" min="56" style="0" width="18.5"/>
    <col collapsed="false" customWidth="true" hidden="false" outlineLevel="0" max="61" min="59" style="0" width="21.5"/>
    <col collapsed="false" customWidth="true" hidden="false" outlineLevel="0" max="63" min="63" style="0" width="21.5"/>
    <col collapsed="false" customWidth="true" hidden="false" outlineLevel="0" max="65" min="65" style="0" width="21.5"/>
  </cols>
  <sheetData>
    <row r="1" s="14" customFormat="true" ht="55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7" t="s">
        <v>22</v>
      </c>
      <c r="AA1" s="7" t="s">
        <v>23</v>
      </c>
      <c r="AB1" s="8" t="s">
        <v>25</v>
      </c>
      <c r="AC1" s="8" t="s">
        <v>26</v>
      </c>
      <c r="AD1" s="8" t="s">
        <v>27</v>
      </c>
      <c r="AE1" s="9" t="s">
        <v>28</v>
      </c>
      <c r="AF1" s="10" t="s">
        <v>29</v>
      </c>
      <c r="AG1" s="11" t="s">
        <v>30</v>
      </c>
      <c r="AH1" s="11" t="s">
        <v>31</v>
      </c>
      <c r="AI1" s="12" t="s">
        <v>32</v>
      </c>
      <c r="AJ1" s="12" t="s">
        <v>31</v>
      </c>
      <c r="AK1" s="2" t="s">
        <v>33</v>
      </c>
      <c r="AL1" s="13" t="s">
        <v>34</v>
      </c>
      <c r="AM1" s="14" t="s">
        <v>35</v>
      </c>
      <c r="AN1" s="14" t="s">
        <v>36</v>
      </c>
      <c r="AO1" s="15" t="s">
        <v>37</v>
      </c>
      <c r="AP1" s="15" t="s">
        <v>38</v>
      </c>
      <c r="AQ1" s="14" t="s">
        <v>39</v>
      </c>
      <c r="AR1" s="14" t="s">
        <v>40</v>
      </c>
      <c r="AS1" s="16" t="s">
        <v>41</v>
      </c>
      <c r="AT1" s="14" t="s">
        <v>35</v>
      </c>
      <c r="AU1" s="14" t="s">
        <v>36</v>
      </c>
      <c r="AV1" s="15" t="s">
        <v>37</v>
      </c>
      <c r="AW1" s="15" t="s">
        <v>38</v>
      </c>
      <c r="AX1" s="14" t="s">
        <v>39</v>
      </c>
      <c r="AY1" s="14" t="s">
        <v>40</v>
      </c>
      <c r="AZ1" s="16" t="s">
        <v>42</v>
      </c>
      <c r="BA1" s="13" t="s">
        <v>43</v>
      </c>
      <c r="BB1" s="17" t="s">
        <v>44</v>
      </c>
      <c r="BC1" s="17" t="s">
        <v>45</v>
      </c>
      <c r="BD1" s="18" t="s">
        <v>46</v>
      </c>
      <c r="BE1" s="19" t="s">
        <v>44</v>
      </c>
      <c r="BF1" s="19" t="s">
        <v>45</v>
      </c>
      <c r="BG1" s="20" t="s">
        <v>47</v>
      </c>
      <c r="BH1" s="21" t="s">
        <v>44</v>
      </c>
      <c r="BI1" s="21" t="s">
        <v>48</v>
      </c>
      <c r="BK1" s="20" t="s">
        <v>49</v>
      </c>
      <c r="BL1" s="21" t="s">
        <v>31</v>
      </c>
      <c r="BM1" s="20" t="s">
        <v>50</v>
      </c>
      <c r="BN1" s="21" t="s">
        <v>31</v>
      </c>
    </row>
    <row r="2" s="14" customFormat="true" ht="16" hidden="false" customHeight="false" outlineLevel="0" collapsed="false">
      <c r="A2" s="22" t="s">
        <v>51</v>
      </c>
      <c r="B2" s="23" t="s">
        <v>52</v>
      </c>
      <c r="C2" s="14" t="s">
        <v>53</v>
      </c>
      <c r="D2" s="23" t="s">
        <v>54</v>
      </c>
      <c r="E2" s="24" t="s">
        <v>55</v>
      </c>
      <c r="F2" s="22" t="n">
        <v>8.02</v>
      </c>
      <c r="G2" s="22" t="n">
        <v>113.39</v>
      </c>
      <c r="H2" s="22" t="s">
        <v>56</v>
      </c>
      <c r="I2" s="22" t="s">
        <v>57</v>
      </c>
      <c r="J2" s="22" t="n">
        <v>1911</v>
      </c>
      <c r="K2" s="25" t="s">
        <v>51</v>
      </c>
      <c r="L2" s="22" t="s">
        <v>58</v>
      </c>
      <c r="M2" s="22" t="s">
        <v>59</v>
      </c>
      <c r="N2" s="22" t="s">
        <v>60</v>
      </c>
      <c r="O2" s="22" t="s">
        <v>61</v>
      </c>
      <c r="P2" s="22" t="s">
        <v>61</v>
      </c>
      <c r="Q2" s="22" t="n">
        <v>3</v>
      </c>
      <c r="R2" s="25" t="s">
        <v>62</v>
      </c>
      <c r="S2" s="25" t="n">
        <v>33.7532352941176</v>
      </c>
      <c r="T2" s="22" t="n">
        <v>3.70164634146341</v>
      </c>
      <c r="U2" s="26" t="n">
        <v>3</v>
      </c>
      <c r="V2" s="27" t="n">
        <v>1.35666666666667</v>
      </c>
      <c r="W2" s="27" t="n">
        <v>0.0208166599946612</v>
      </c>
      <c r="X2" s="27" t="n">
        <v>0.0120185042515466</v>
      </c>
      <c r="Y2" s="27" t="n">
        <v>-1.03</v>
      </c>
      <c r="Z2" s="27" t="n">
        <v>0.0360555127546399</v>
      </c>
      <c r="AA2" s="27" t="n">
        <v>0.0208166599946613</v>
      </c>
      <c r="AB2" s="27" t="n">
        <v>0.0481249134</v>
      </c>
      <c r="AC2" s="27" t="n">
        <v>0.268868222956965</v>
      </c>
      <c r="AD2" s="27" t="n">
        <v>0.215541235644614</v>
      </c>
      <c r="AE2" s="28" t="n">
        <v>0.594333333333333</v>
      </c>
      <c r="AF2" s="28" t="n">
        <v>0.00233333333333334</v>
      </c>
      <c r="AG2" s="29" t="n">
        <v>25.3513699699851</v>
      </c>
      <c r="AH2" s="27" t="n">
        <v>2.802273257524</v>
      </c>
      <c r="AI2" s="27" t="n">
        <f aca="false">VLOOKUP(B2,proft,2,0)</f>
        <v>19.399192918054</v>
      </c>
      <c r="AJ2" s="27" t="n">
        <f aca="false">VLOOKUP(B2,proft,3,0)</f>
        <v>1.7928161621094</v>
      </c>
      <c r="AK2" s="27" t="s">
        <v>63</v>
      </c>
      <c r="BA2" s="30" t="n">
        <v>20.4221</v>
      </c>
      <c r="BB2" s="30" t="n">
        <v>2.252</v>
      </c>
      <c r="BC2" s="30" t="n">
        <v>0.02252</v>
      </c>
      <c r="BD2" s="31" t="n">
        <v>20.4221</v>
      </c>
      <c r="BE2" s="31" t="n">
        <v>2.252</v>
      </c>
      <c r="BF2" s="31" t="n">
        <v>0.02252</v>
      </c>
      <c r="BG2" s="14" t="n">
        <f aca="false">10^6/((BA2+273.15)^2)</f>
        <v>11.6030039757084</v>
      </c>
      <c r="BH2" s="14" t="n">
        <f aca="false">BG2*(2*($BE2/($BD2+273.15)))</f>
        <v>0.178013952642607</v>
      </c>
      <c r="BI2" s="14" t="n">
        <f aca="false">BG2*(2*($BF2/($BD2+273.15)))</f>
        <v>0.00178013952642607</v>
      </c>
      <c r="BK2" s="14" t="n">
        <f aca="false">10^6/((AG2+273.15)^2)</f>
        <v>11.2229581299554</v>
      </c>
      <c r="BL2" s="14" t="n">
        <f aca="false">BK2*(2*($AH2/($AG2+273.15)))</f>
        <v>0.210717930313337</v>
      </c>
      <c r="BM2" s="14" t="n">
        <f aca="false">10^6/((AI2+273.15)^2)</f>
        <v>11.6842863379658</v>
      </c>
      <c r="BN2" s="14" t="n">
        <f aca="false">BM2*(2*($AJ2/($AI2+273.15)))</f>
        <v>0.143208580960173</v>
      </c>
    </row>
    <row r="3" s="14" customFormat="true" ht="16" hidden="false" customHeight="false" outlineLevel="0" collapsed="false">
      <c r="A3" s="22" t="s">
        <v>64</v>
      </c>
      <c r="B3" s="23" t="s">
        <v>65</v>
      </c>
      <c r="C3" s="14" t="s">
        <v>53</v>
      </c>
      <c r="D3" s="23" t="s">
        <v>66</v>
      </c>
      <c r="E3" s="24" t="s">
        <v>55</v>
      </c>
      <c r="F3" s="22" t="n">
        <v>8.02</v>
      </c>
      <c r="G3" s="22" t="n">
        <v>113.39</v>
      </c>
      <c r="H3" s="22" t="s">
        <v>56</v>
      </c>
      <c r="I3" s="22" t="s">
        <v>57</v>
      </c>
      <c r="J3" s="22" t="n">
        <v>1911</v>
      </c>
      <c r="K3" s="25" t="s">
        <v>67</v>
      </c>
      <c r="L3" s="22" t="s">
        <v>68</v>
      </c>
      <c r="M3" s="22" t="s">
        <v>69</v>
      </c>
      <c r="N3" s="22" t="s">
        <v>70</v>
      </c>
      <c r="O3" s="22" t="s">
        <v>71</v>
      </c>
      <c r="P3" s="22" t="s">
        <v>71</v>
      </c>
      <c r="Q3" s="22" t="n">
        <v>5</v>
      </c>
      <c r="R3" s="25" t="s">
        <v>62</v>
      </c>
      <c r="S3" s="25" t="n">
        <v>34.012</v>
      </c>
      <c r="T3" s="22" t="n">
        <v>3.70164634146341</v>
      </c>
      <c r="U3" s="26" t="n">
        <v>3</v>
      </c>
      <c r="V3" s="27" t="n">
        <v>1.8</v>
      </c>
      <c r="W3" s="27" t="n">
        <v>0.0264575131106459</v>
      </c>
      <c r="X3" s="27" t="n">
        <v>0.0152752523165195</v>
      </c>
      <c r="Y3" s="27" t="n">
        <v>-2.63333333333333</v>
      </c>
      <c r="Z3" s="27" t="n">
        <v>0.0351188458428424</v>
      </c>
      <c r="AA3" s="27" t="n">
        <v>0.020275875100994</v>
      </c>
      <c r="AB3" s="27" t="n">
        <v>-0.028038901</v>
      </c>
      <c r="AC3" s="27" t="n">
        <v>0.287766640256039</v>
      </c>
      <c r="AD3" s="27" t="n">
        <v>0.232958965803171</v>
      </c>
      <c r="AE3" s="28" t="n">
        <v>0.588333333333333</v>
      </c>
      <c r="AF3" s="28" t="n">
        <v>0.00721880260923591</v>
      </c>
      <c r="AG3" s="29" t="n">
        <v>23.787389235063</v>
      </c>
      <c r="AH3" s="27" t="n">
        <v>2.19824880198661</v>
      </c>
      <c r="AI3" s="27" t="n">
        <f aca="false">VLOOKUP(B3,proft,2,0)</f>
        <v>28.4411743013211</v>
      </c>
      <c r="AJ3" s="27" t="n">
        <f aca="false">VLOOKUP(B3,proft,3,0)</f>
        <v>0.4600009918213</v>
      </c>
      <c r="AK3" s="27" t="s">
        <v>72</v>
      </c>
      <c r="BA3" s="30" t="n">
        <v>28.2231</v>
      </c>
      <c r="BB3" s="30" t="n">
        <v>2.118</v>
      </c>
      <c r="BC3" s="30" t="n">
        <v>0.02118</v>
      </c>
      <c r="BD3" s="31" t="n">
        <v>28.2231</v>
      </c>
      <c r="BE3" s="31" t="n">
        <v>2.118</v>
      </c>
      <c r="BF3" s="31" t="n">
        <v>0.02118</v>
      </c>
      <c r="BG3" s="14" t="n">
        <f aca="false">10^6/((BA3+273.15)^2)</f>
        <v>11.0100940604034</v>
      </c>
      <c r="BH3" s="14" t="n">
        <f aca="false">BG3*(2*($BE3/($BD3+273.15)))</f>
        <v>0.154754218076759</v>
      </c>
      <c r="BI3" s="14" t="n">
        <f aca="false">BG3*(2*($BF3/($BD3+273.15)))</f>
        <v>0.00154754218076759</v>
      </c>
      <c r="BK3" s="14" t="n">
        <f aca="false">10^6/((AG3+273.15)^2)</f>
        <v>11.3414929845434</v>
      </c>
      <c r="BL3" s="14" t="n">
        <f aca="false">BK3*(2*($AH3/($AG3+273.15)))</f>
        <v>0.167923772955892</v>
      </c>
      <c r="BM3" s="14" t="n">
        <f aca="false">10^6/((AI3+273.15)^2)</f>
        <v>10.994177477221</v>
      </c>
      <c r="BN3" s="14" t="n">
        <f aca="false">BM3*(2*($AJ3/($AI3+273.15)))</f>
        <v>0.0335376693664667</v>
      </c>
    </row>
    <row r="4" s="14" customFormat="true" ht="16" hidden="false" customHeight="false" outlineLevel="0" collapsed="false">
      <c r="A4" s="22" t="s">
        <v>51</v>
      </c>
      <c r="B4" s="23" t="s">
        <v>73</v>
      </c>
      <c r="C4" s="14" t="s">
        <v>53</v>
      </c>
      <c r="D4" s="23" t="s">
        <v>54</v>
      </c>
      <c r="E4" s="24" t="s">
        <v>55</v>
      </c>
      <c r="F4" s="22" t="n">
        <v>8.02</v>
      </c>
      <c r="G4" s="22" t="n">
        <v>113.39</v>
      </c>
      <c r="H4" s="22" t="s">
        <v>56</v>
      </c>
      <c r="I4" s="22" t="s">
        <v>57</v>
      </c>
      <c r="J4" s="22" t="n">
        <v>1911</v>
      </c>
      <c r="K4" s="25" t="s">
        <v>51</v>
      </c>
      <c r="L4" s="22" t="s">
        <v>58</v>
      </c>
      <c r="M4" s="22" t="s">
        <v>59</v>
      </c>
      <c r="N4" s="22" t="s">
        <v>60</v>
      </c>
      <c r="O4" s="22" t="s">
        <v>61</v>
      </c>
      <c r="P4" s="22" t="s">
        <v>61</v>
      </c>
      <c r="Q4" s="22" t="n">
        <v>3</v>
      </c>
      <c r="R4" s="25" t="s">
        <v>62</v>
      </c>
      <c r="S4" s="25" t="n">
        <v>33.7532352941176</v>
      </c>
      <c r="T4" s="22" t="n">
        <v>3.70164634146341</v>
      </c>
      <c r="U4" s="26" t="n">
        <v>4</v>
      </c>
      <c r="V4" s="27" t="n">
        <v>1.37</v>
      </c>
      <c r="W4" s="27" t="n">
        <v>0.0115470053837924</v>
      </c>
      <c r="X4" s="27" t="n">
        <v>0.0057735026918962</v>
      </c>
      <c r="Y4" s="27" t="n">
        <v>-0.9025</v>
      </c>
      <c r="Z4" s="27" t="n">
        <v>0.0543905629069357</v>
      </c>
      <c r="AA4" s="27" t="n">
        <v>0.0271952814534679</v>
      </c>
      <c r="AB4" s="27" t="n">
        <v>0.0481249134</v>
      </c>
      <c r="AC4" s="27" t="n">
        <v>0.268868222956965</v>
      </c>
      <c r="AD4" s="27" t="n">
        <v>0.215541235644614</v>
      </c>
      <c r="AE4" s="28" t="n">
        <v>0.60525</v>
      </c>
      <c r="AF4" s="28" t="n">
        <v>0.00481966458030709</v>
      </c>
      <c r="AG4" s="29" t="n">
        <v>25.3513699699851</v>
      </c>
      <c r="AH4" s="27" t="n">
        <v>2.802273257524</v>
      </c>
      <c r="AI4" s="27" t="n">
        <f aca="false">VLOOKUP(B4,proft,2,0)</f>
        <v>18.8607966252616</v>
      </c>
      <c r="AJ4" s="27" t="n">
        <f aca="false">VLOOKUP(B4,proft,3,0)</f>
        <v>1.7928161621094</v>
      </c>
      <c r="AK4" s="27" t="s">
        <v>63</v>
      </c>
      <c r="BA4" s="30" t="n">
        <v>19.9121</v>
      </c>
      <c r="BB4" s="30" t="n">
        <v>2.239</v>
      </c>
      <c r="BC4" s="30" t="n">
        <v>0.02239</v>
      </c>
      <c r="BD4" s="31" t="n">
        <v>19.9121</v>
      </c>
      <c r="BE4" s="31" t="n">
        <v>2.239</v>
      </c>
      <c r="BF4" s="31" t="n">
        <v>0.02239</v>
      </c>
      <c r="BG4" s="14" t="n">
        <f aca="false">10^6/((BA4+273.15)^2)</f>
        <v>11.6434232657281</v>
      </c>
      <c r="BH4" s="14" t="n">
        <f aca="false">BG4*(2*($BE4/($BD4+273.15)))</f>
        <v>0.177911948982589</v>
      </c>
      <c r="BI4" s="14" t="n">
        <f aca="false">BG4*(2*($BF4/($BD4+273.15)))</f>
        <v>0.00177911948982589</v>
      </c>
      <c r="BK4" s="14" t="n">
        <f aca="false">10^6/((AG4+273.15)^2)</f>
        <v>11.2229581299554</v>
      </c>
      <c r="BL4" s="14" t="n">
        <f aca="false">BK4*(2*($AH4/($AG4+273.15)))</f>
        <v>0.210717930313337</v>
      </c>
      <c r="BM4" s="14" t="n">
        <f aca="false">10^6/((AI4+273.15)^2)</f>
        <v>11.7274119747267</v>
      </c>
      <c r="BN4" s="14" t="n">
        <f aca="false">BM4*(2*($AJ4/($AI4+273.15)))</f>
        <v>0.144002166844447</v>
      </c>
    </row>
    <row r="5" s="14" customFormat="true" ht="16" hidden="false" customHeight="false" outlineLevel="0" collapsed="false">
      <c r="A5" s="22" t="s">
        <v>74</v>
      </c>
      <c r="B5" s="23" t="s">
        <v>75</v>
      </c>
      <c r="C5" s="14" t="s">
        <v>53</v>
      </c>
      <c r="D5" s="23" t="s">
        <v>76</v>
      </c>
      <c r="E5" s="24" t="s">
        <v>77</v>
      </c>
      <c r="F5" s="22" t="n">
        <v>57.1</v>
      </c>
      <c r="G5" s="22" t="n">
        <v>-31</v>
      </c>
      <c r="H5" s="22" t="s">
        <v>78</v>
      </c>
      <c r="I5" s="22" t="s">
        <v>79</v>
      </c>
      <c r="J5" s="22" t="n">
        <v>3569</v>
      </c>
      <c r="K5" s="25" t="s">
        <v>74</v>
      </c>
      <c r="L5" s="22" t="s">
        <v>80</v>
      </c>
      <c r="M5" s="22" t="s">
        <v>81</v>
      </c>
      <c r="N5" s="22" t="s">
        <v>82</v>
      </c>
      <c r="O5" s="22" t="s">
        <v>71</v>
      </c>
      <c r="P5" s="22" t="s">
        <v>71</v>
      </c>
      <c r="Q5" s="22" t="n">
        <v>5</v>
      </c>
      <c r="R5" s="25" t="s">
        <v>83</v>
      </c>
      <c r="S5" s="25" t="n">
        <v>34.98956</v>
      </c>
      <c r="T5" s="22" t="n">
        <v>20.2704233870968</v>
      </c>
      <c r="U5" s="26" t="n">
        <v>10</v>
      </c>
      <c r="V5" s="27" t="n">
        <v>1.092</v>
      </c>
      <c r="W5" s="27" t="n">
        <v>0.0482585628556103</v>
      </c>
      <c r="X5" s="27" t="n">
        <v>0.0152606975230128</v>
      </c>
      <c r="Y5" s="27" t="n">
        <v>1.649</v>
      </c>
      <c r="Z5" s="27" t="n">
        <v>0.125826158735862</v>
      </c>
      <c r="AA5" s="27" t="n">
        <v>0.0397897250835215</v>
      </c>
      <c r="AB5" s="27" t="n">
        <v>0.505954531</v>
      </c>
      <c r="AC5" s="27" t="n">
        <v>0.200281414333029</v>
      </c>
      <c r="AD5" s="27" t="n">
        <v>0.200028159249451</v>
      </c>
      <c r="AE5" s="28" t="n">
        <v>0.644</v>
      </c>
      <c r="AF5" s="28" t="n">
        <v>0.00598516684999026</v>
      </c>
      <c r="AG5" s="29" t="n">
        <v>11.8298603057861</v>
      </c>
      <c r="AH5" s="27" t="n">
        <v>0.57634974197418</v>
      </c>
      <c r="AI5" s="27" t="n">
        <f aca="false">VLOOKUP(B5,proft,2,0)</f>
        <v>9.24781913919639</v>
      </c>
      <c r="AJ5" s="27" t="n">
        <f aca="false">VLOOKUP(B5,proft,3,0)</f>
        <v>0.200197219848629</v>
      </c>
      <c r="AK5" s="32" t="s">
        <v>84</v>
      </c>
      <c r="AM5" s="33"/>
      <c r="BA5" s="30" t="n">
        <v>13.1372</v>
      </c>
      <c r="BB5" s="30" t="n">
        <v>2.181</v>
      </c>
      <c r="BC5" s="30" t="n">
        <v>0.02205</v>
      </c>
      <c r="BD5" s="31" t="n">
        <v>13.1372</v>
      </c>
      <c r="BE5" s="31" t="n">
        <v>2.181</v>
      </c>
      <c r="BF5" s="31" t="n">
        <v>0.02205</v>
      </c>
      <c r="BG5" s="14" t="n">
        <f aca="false">10^6/((BA5+273.15)^2)</f>
        <v>12.201019971316</v>
      </c>
      <c r="BH5" s="14" t="n">
        <f aca="false">BG5*(2*($BE5/($BD5+273.15)))</f>
        <v>0.185900204811394</v>
      </c>
      <c r="BI5" s="14" t="n">
        <f aca="false">BG5*(2*($BF5/($BD5+273.15)))</f>
        <v>0.00187945874190336</v>
      </c>
      <c r="BK5" s="14" t="n">
        <f aca="false">10^6/((AG5+273.15)^2)</f>
        <v>12.3132206361312</v>
      </c>
      <c r="BL5" s="14" t="n">
        <f aca="false">BK5*(2*($AH5/($AG5+273.15)))</f>
        <v>0.0498050741472784</v>
      </c>
      <c r="BM5" s="14" t="n">
        <f aca="false">10^6/((AI5+273.15)^2)</f>
        <v>12.539416361488</v>
      </c>
      <c r="BN5" s="14" t="n">
        <f aca="false">BM5*(2*($AJ5/($AI5+273.15)))</f>
        <v>0.0177788645942548</v>
      </c>
    </row>
    <row r="6" s="14" customFormat="true" ht="16" hidden="false" customHeight="false" outlineLevel="0" collapsed="false">
      <c r="A6" s="22" t="s">
        <v>85</v>
      </c>
      <c r="B6" s="23" t="s">
        <v>86</v>
      </c>
      <c r="C6" s="14" t="s">
        <v>53</v>
      </c>
      <c r="D6" s="23" t="s">
        <v>87</v>
      </c>
      <c r="E6" s="24" t="s">
        <v>88</v>
      </c>
      <c r="F6" s="22" t="n">
        <v>52.92</v>
      </c>
      <c r="G6" s="22" t="n">
        <v>-16.92</v>
      </c>
      <c r="H6" s="22" t="s">
        <v>78</v>
      </c>
      <c r="I6" s="22" t="s">
        <v>79</v>
      </c>
      <c r="J6" s="22" t="n">
        <v>3569</v>
      </c>
      <c r="K6" s="25" t="s">
        <v>85</v>
      </c>
      <c r="L6" s="22" t="s">
        <v>89</v>
      </c>
      <c r="M6" s="22" t="s">
        <v>90</v>
      </c>
      <c r="N6" s="22" t="s">
        <v>91</v>
      </c>
      <c r="O6" s="22" t="s">
        <v>92</v>
      </c>
      <c r="P6" s="22" t="s">
        <v>92</v>
      </c>
      <c r="Q6" s="22" t="n">
        <v>4</v>
      </c>
      <c r="R6" s="25" t="s">
        <v>62</v>
      </c>
      <c r="S6" s="25" t="n">
        <v>35.4877894736842</v>
      </c>
      <c r="T6" s="22" t="n">
        <v>23.1977172131148</v>
      </c>
      <c r="U6" s="26" t="n">
        <v>8</v>
      </c>
      <c r="V6" s="27" t="n">
        <v>1.9225</v>
      </c>
      <c r="W6" s="27" t="n">
        <v>0.0237546987833084</v>
      </c>
      <c r="X6" s="27" t="n">
        <v>0.00839855429736061</v>
      </c>
      <c r="Y6" s="27" t="n">
        <v>1.32625</v>
      </c>
      <c r="Z6" s="27" t="n">
        <v>0.0544944295973713</v>
      </c>
      <c r="AA6" s="27" t="n">
        <v>0.0192666903525971</v>
      </c>
      <c r="AB6" s="27" t="n">
        <v>0.510507192857143</v>
      </c>
      <c r="AC6" s="27" t="n">
        <v>0.200099119392179</v>
      </c>
      <c r="AD6" s="27" t="n">
        <v>0.200014162920503</v>
      </c>
      <c r="AE6" s="28" t="n">
        <v>0.618375</v>
      </c>
      <c r="AF6" s="28" t="n">
        <v>0.0101135296579808</v>
      </c>
      <c r="AG6" s="29" t="n">
        <v>11.7682</v>
      </c>
      <c r="AH6" s="27" t="n">
        <v>0.478945</v>
      </c>
      <c r="AI6" s="27" t="n">
        <f aca="false">VLOOKUP(B6,proft,2,0)</f>
        <v>11.199460022821</v>
      </c>
      <c r="AJ6" s="27" t="n">
        <f aca="false">VLOOKUP(B6,proft,3,0)</f>
        <v>0.1144056320191</v>
      </c>
      <c r="AK6" s="27" t="s">
        <v>63</v>
      </c>
      <c r="AM6" s="33"/>
      <c r="BA6" s="30" t="n">
        <v>13.0747</v>
      </c>
      <c r="BB6" s="30" t="n">
        <v>2.231</v>
      </c>
      <c r="BC6" s="30" t="n">
        <v>0.02254</v>
      </c>
      <c r="BD6" s="31" t="n">
        <v>13.0747</v>
      </c>
      <c r="BE6" s="31" t="n">
        <v>2.231</v>
      </c>
      <c r="BF6" s="31" t="n">
        <v>0.02254</v>
      </c>
      <c r="BG6" s="14" t="n">
        <f aca="false">10^6/((BA6+273.15)^2)</f>
        <v>12.206348980342</v>
      </c>
      <c r="BH6" s="14" t="n">
        <f aca="false">BG6*(2*($BE6/($BD6+273.15)))</f>
        <v>0.190286614503522</v>
      </c>
      <c r="BI6" s="14" t="n">
        <f aca="false">BG6*(2*($BF6/($BD6+273.15)))</f>
        <v>0.00192248332178816</v>
      </c>
      <c r="BK6" s="14" t="n">
        <f aca="false">10^6/((AG6+273.15)^2)</f>
        <v>12.3185507210778</v>
      </c>
      <c r="BL6" s="14" t="n">
        <f aca="false">BK6*(2*($AH6/($AG6+273.15)))</f>
        <v>0.0414147518488225</v>
      </c>
      <c r="BM6" s="14" t="n">
        <f aca="false">10^6/((AI6+273.15)^2)</f>
        <v>12.3678777626236</v>
      </c>
      <c r="BN6" s="14" t="n">
        <f aca="false">BM6*(2*($AJ6/($AI6+273.15)))</f>
        <v>0.00995222478744545</v>
      </c>
    </row>
    <row r="7" s="14" customFormat="true" ht="16" hidden="false" customHeight="false" outlineLevel="0" collapsed="false">
      <c r="A7" s="22" t="s">
        <v>93</v>
      </c>
      <c r="B7" s="23" t="s">
        <v>94</v>
      </c>
      <c r="C7" s="14" t="s">
        <v>53</v>
      </c>
      <c r="D7" s="23" t="s">
        <v>95</v>
      </c>
      <c r="E7" s="24" t="s">
        <v>88</v>
      </c>
      <c r="F7" s="22" t="n">
        <v>52.92</v>
      </c>
      <c r="G7" s="22" t="n">
        <v>-16.92</v>
      </c>
      <c r="H7" s="22" t="s">
        <v>78</v>
      </c>
      <c r="I7" s="22" t="s">
        <v>79</v>
      </c>
      <c r="J7" s="22" t="n">
        <v>3569</v>
      </c>
      <c r="K7" s="25" t="s">
        <v>93</v>
      </c>
      <c r="L7" s="22" t="s">
        <v>96</v>
      </c>
      <c r="M7" s="22" t="s">
        <v>97</v>
      </c>
      <c r="N7" s="22" t="s">
        <v>98</v>
      </c>
      <c r="O7" s="22" t="s">
        <v>92</v>
      </c>
      <c r="P7" s="22" t="s">
        <v>92</v>
      </c>
      <c r="Q7" s="22" t="n">
        <v>4</v>
      </c>
      <c r="R7" s="25" t="s">
        <v>62</v>
      </c>
      <c r="S7" s="25" t="n">
        <v>35.4723243243243</v>
      </c>
      <c r="T7" s="22" t="n">
        <v>23.1977172131148</v>
      </c>
      <c r="U7" s="26" t="n">
        <v>11</v>
      </c>
      <c r="V7" s="27" t="n">
        <v>1.07</v>
      </c>
      <c r="W7" s="27" t="n">
        <v>0.0289827534923789</v>
      </c>
      <c r="X7" s="27" t="n">
        <v>0.00873862897505304</v>
      </c>
      <c r="Y7" s="27" t="n">
        <v>1.62363636363636</v>
      </c>
      <c r="Z7" s="27" t="n">
        <v>0.0434218210748299</v>
      </c>
      <c r="AA7" s="27" t="n">
        <v>0.013092171656287</v>
      </c>
      <c r="AB7" s="27" t="n">
        <v>0.483471227857143</v>
      </c>
      <c r="AC7" s="27" t="n">
        <v>0.204007155084747</v>
      </c>
      <c r="AD7" s="27" t="n">
        <v>0.200288884101684</v>
      </c>
      <c r="AE7" s="28" t="n">
        <v>0.648636363636364</v>
      </c>
      <c r="AF7" s="28" t="n">
        <v>0.00773454203530292</v>
      </c>
      <c r="AG7" s="29" t="n">
        <v>11.3968804591411</v>
      </c>
      <c r="AH7" s="27" t="n">
        <v>0.79889199320919</v>
      </c>
      <c r="AI7" s="27" t="n">
        <f aca="false">VLOOKUP(B7,proft,2,0)</f>
        <v>9.35269597192829</v>
      </c>
      <c r="AJ7" s="27" t="n">
        <f aca="false">VLOOKUP(B7,proft,3,0)</f>
        <v>0.281136512756349</v>
      </c>
      <c r="AK7" s="27" t="s">
        <v>63</v>
      </c>
      <c r="AM7" s="33"/>
      <c r="BA7" s="30" t="n">
        <v>11.8074</v>
      </c>
      <c r="BB7" s="30" t="n">
        <v>2.228</v>
      </c>
      <c r="BC7" s="30" t="n">
        <v>0.02228</v>
      </c>
      <c r="BD7" s="31" t="n">
        <v>11.8074</v>
      </c>
      <c r="BE7" s="31" t="n">
        <v>2.228</v>
      </c>
      <c r="BF7" s="31" t="n">
        <v>0.02228</v>
      </c>
      <c r="BG7" s="14" t="n">
        <f aca="false">10^6/((BA7+273.15)^2)</f>
        <v>12.3151617655762</v>
      </c>
      <c r="BH7" s="14" t="n">
        <f aca="false">BG7*(2*($BE7/($BD7+273.15)))</f>
        <v>0.192577419738556</v>
      </c>
      <c r="BI7" s="14" t="n">
        <f aca="false">BG7*(2*($BF7/($BD7+273.15)))</f>
        <v>0.00192577419738556</v>
      </c>
      <c r="BK7" s="14" t="n">
        <f aca="false">10^6/((AG7+273.15)^2)</f>
        <v>12.3507218915307</v>
      </c>
      <c r="BL7" s="14" t="n">
        <f aca="false">BK7*(2*($AH7/($AG7+273.15)))</f>
        <v>0.0693516148451618</v>
      </c>
      <c r="BM7" s="14" t="n">
        <f aca="false">10^6/((AI7+273.15)^2)</f>
        <v>12.5301077766001</v>
      </c>
      <c r="BN7" s="14" t="n">
        <f aca="false">BM7*(2*($AJ7/($AI7+273.15)))</f>
        <v>0.0249390243350075</v>
      </c>
    </row>
    <row r="8" s="14" customFormat="true" ht="16" hidden="false" customHeight="false" outlineLevel="0" collapsed="false">
      <c r="A8" s="22" t="s">
        <v>93</v>
      </c>
      <c r="B8" s="23" t="s">
        <v>99</v>
      </c>
      <c r="C8" s="14" t="s">
        <v>53</v>
      </c>
      <c r="D8" s="23" t="s">
        <v>95</v>
      </c>
      <c r="E8" s="24" t="s">
        <v>88</v>
      </c>
      <c r="F8" s="22" t="n">
        <v>52.92</v>
      </c>
      <c r="G8" s="22" t="n">
        <v>-16.92</v>
      </c>
      <c r="H8" s="22" t="s">
        <v>78</v>
      </c>
      <c r="I8" s="22" t="s">
        <v>79</v>
      </c>
      <c r="J8" s="22" t="n">
        <v>3569</v>
      </c>
      <c r="K8" s="25" t="s">
        <v>93</v>
      </c>
      <c r="L8" s="22" t="s">
        <v>96</v>
      </c>
      <c r="M8" s="22" t="s">
        <v>97</v>
      </c>
      <c r="N8" s="22" t="s">
        <v>98</v>
      </c>
      <c r="O8" s="22" t="s">
        <v>92</v>
      </c>
      <c r="P8" s="22" t="s">
        <v>92</v>
      </c>
      <c r="Q8" s="22" t="n">
        <v>4</v>
      </c>
      <c r="R8" s="25" t="s">
        <v>62</v>
      </c>
      <c r="S8" s="25" t="n">
        <v>35.4723243243243</v>
      </c>
      <c r="T8" s="22" t="n">
        <v>23.1977172131148</v>
      </c>
      <c r="U8" s="26" t="n">
        <v>6</v>
      </c>
      <c r="V8" s="27" t="n">
        <v>1.12166666666667</v>
      </c>
      <c r="W8" s="27" t="n">
        <v>0.0479235502302017</v>
      </c>
      <c r="X8" s="27" t="n">
        <v>0.0195647074544389</v>
      </c>
      <c r="Y8" s="27" t="n">
        <v>1.61333333333333</v>
      </c>
      <c r="Z8" s="27" t="n">
        <v>0.0989275829415976</v>
      </c>
      <c r="AA8" s="27" t="n">
        <v>0.0403870166156292</v>
      </c>
      <c r="AB8" s="27" t="n">
        <v>0.483471227857143</v>
      </c>
      <c r="AC8" s="27" t="n">
        <v>0.204007155084747</v>
      </c>
      <c r="AD8" s="27" t="n">
        <v>0.200288884101684</v>
      </c>
      <c r="AE8" s="28" t="n">
        <v>0.632666666666667</v>
      </c>
      <c r="AF8" s="28" t="n">
        <v>0.00984095749632345</v>
      </c>
      <c r="AG8" s="29" t="n">
        <v>11.3968804591411</v>
      </c>
      <c r="AH8" s="27" t="n">
        <v>0.79889199320919</v>
      </c>
      <c r="AI8" s="27" t="n">
        <f aca="false">VLOOKUP(B8,proft,2,0)</f>
        <v>9.40378926503574</v>
      </c>
      <c r="AJ8" s="27" t="n">
        <f aca="false">VLOOKUP(B8,proft,3,0)</f>
        <v>0.281136512756349</v>
      </c>
      <c r="AK8" s="27" t="s">
        <v>63</v>
      </c>
      <c r="AM8" s="33"/>
      <c r="BA8" s="30" t="n">
        <v>11.8799</v>
      </c>
      <c r="BB8" s="30" t="n">
        <v>2.239</v>
      </c>
      <c r="BC8" s="30" t="n">
        <v>0.02239</v>
      </c>
      <c r="BD8" s="31" t="n">
        <v>11.8799</v>
      </c>
      <c r="BE8" s="31" t="n">
        <v>2.239</v>
      </c>
      <c r="BF8" s="31" t="n">
        <v>0.02239</v>
      </c>
      <c r="BG8" s="14" t="n">
        <f aca="false">10^6/((BA8+273.15)^2)</f>
        <v>12.3088976110032</v>
      </c>
      <c r="BH8" s="14" t="n">
        <f aca="false">BG8*(2*($BE8/($BD8+273.15)))</f>
        <v>0.193380566396973</v>
      </c>
      <c r="BI8" s="14" t="n">
        <f aca="false">BG8*(2*($BF8/($BD8+273.15)))</f>
        <v>0.00193380566396973</v>
      </c>
      <c r="BK8" s="14" t="n">
        <f aca="false">10^6/((AG8+273.15)^2)</f>
        <v>12.3507218915307</v>
      </c>
      <c r="BL8" s="14" t="n">
        <f aca="false">BK8*(2*($AH8/($AG8+273.15)))</f>
        <v>0.0693516148451618</v>
      </c>
      <c r="BM8" s="14" t="n">
        <f aca="false">10^6/((AI8+273.15)^2)</f>
        <v>12.5255766281211</v>
      </c>
      <c r="BN8" s="14" t="n">
        <f aca="false">BM8*(2*($AJ8/($AI8+273.15)))</f>
        <v>0.0249254978505301</v>
      </c>
    </row>
    <row r="9" s="14" customFormat="true" ht="16" hidden="false" customHeight="false" outlineLevel="0" collapsed="false">
      <c r="A9" s="22" t="s">
        <v>100</v>
      </c>
      <c r="B9" s="23" t="s">
        <v>101</v>
      </c>
      <c r="C9" s="14" t="s">
        <v>53</v>
      </c>
      <c r="D9" s="23" t="s">
        <v>102</v>
      </c>
      <c r="E9" s="24" t="s">
        <v>103</v>
      </c>
      <c r="F9" s="22" t="n">
        <v>57.425</v>
      </c>
      <c r="G9" s="22" t="n">
        <v>-42</v>
      </c>
      <c r="H9" s="22" t="s">
        <v>78</v>
      </c>
      <c r="I9" s="22" t="s">
        <v>79</v>
      </c>
      <c r="J9" s="22" t="n">
        <v>1100</v>
      </c>
      <c r="K9" s="25" t="s">
        <v>100</v>
      </c>
      <c r="L9" s="22" t="s">
        <v>104</v>
      </c>
      <c r="M9" s="22" t="s">
        <v>105</v>
      </c>
      <c r="N9" s="22" t="s">
        <v>106</v>
      </c>
      <c r="O9" s="22" t="s">
        <v>71</v>
      </c>
      <c r="P9" s="22" t="s">
        <v>71</v>
      </c>
      <c r="Q9" s="22" t="n">
        <v>5</v>
      </c>
      <c r="R9" s="25" t="s">
        <v>83</v>
      </c>
      <c r="S9" s="25" t="n">
        <v>34.786619047619</v>
      </c>
      <c r="T9" s="22" t="n">
        <v>58.1093626943005</v>
      </c>
      <c r="U9" s="26" t="n">
        <v>8</v>
      </c>
      <c r="V9" s="27" t="n">
        <v>0.115</v>
      </c>
      <c r="W9" s="27" t="n">
        <v>0.0417475405605784</v>
      </c>
      <c r="X9" s="27" t="n">
        <v>0.0147599845141227</v>
      </c>
      <c r="Y9" s="27" t="n">
        <v>1.6</v>
      </c>
      <c r="Z9" s="27" t="n">
        <v>0.0207019667802706</v>
      </c>
      <c r="AA9" s="27" t="n">
        <v>0.00731925054711399</v>
      </c>
      <c r="AB9" s="27" t="n">
        <v>0.124730989571429</v>
      </c>
      <c r="AC9" s="27" t="n">
        <v>0.201624817861066</v>
      </c>
      <c r="AD9" s="27" t="n">
        <v>0.200232924072194</v>
      </c>
      <c r="AE9" s="28" t="n">
        <v>0.6265</v>
      </c>
      <c r="AF9" s="28" t="n">
        <v>0.0108956085518105</v>
      </c>
      <c r="AG9" s="29" t="n">
        <v>5.07696446918306</v>
      </c>
      <c r="AH9" s="27" t="n">
        <v>0.671147192649546</v>
      </c>
      <c r="AI9" s="27" t="n">
        <f aca="false">VLOOKUP(B9,proft,2,0)</f>
        <v>8.25142997237538</v>
      </c>
      <c r="AJ9" s="27" t="n">
        <f aca="false">VLOOKUP(B9,proft,3,0)</f>
        <v>0.360736370086671</v>
      </c>
      <c r="AK9" s="27" t="s">
        <v>107</v>
      </c>
      <c r="AM9" s="33"/>
      <c r="BA9" s="30" t="n">
        <v>10.8067</v>
      </c>
      <c r="BB9" s="30" t="n">
        <v>2.42</v>
      </c>
      <c r="BC9" s="30" t="n">
        <v>0.0242</v>
      </c>
      <c r="BD9" s="31" t="n">
        <v>10.8067</v>
      </c>
      <c r="BE9" s="31" t="n">
        <v>2.42</v>
      </c>
      <c r="BF9" s="31" t="n">
        <v>0.0242</v>
      </c>
      <c r="BG9" s="14" t="n">
        <f aca="false">10^6/((BA9+273.15)^2)</f>
        <v>12.4021151473936</v>
      </c>
      <c r="BH9" s="14" t="n">
        <f aca="false">BG9*(2*($BE9/($BD9+273.15)))</f>
        <v>0.211392220410313</v>
      </c>
      <c r="BI9" s="14" t="n">
        <f aca="false">BG9*(2*($BF9/($BD9+273.15)))</f>
        <v>0.00211392220410313</v>
      </c>
      <c r="BK9" s="14" t="n">
        <f aca="false">10^6/((AG9+273.15)^2)</f>
        <v>12.9181869408603</v>
      </c>
      <c r="BL9" s="14" t="n">
        <f aca="false">BK9*(2*($AH9/($AG9+273.15)))</f>
        <v>0.0623232540815844</v>
      </c>
      <c r="BM9" s="14" t="n">
        <f aca="false">10^6/((AI9+273.15)^2)</f>
        <v>12.6283729692162</v>
      </c>
      <c r="BN9" s="14" t="n">
        <f aca="false">BM9*(2*($AJ9/($AI9+273.15)))</f>
        <v>0.0323773296067677</v>
      </c>
    </row>
    <row r="10" s="14" customFormat="true" ht="16" hidden="false" customHeight="false" outlineLevel="0" collapsed="false">
      <c r="A10" s="22" t="s">
        <v>100</v>
      </c>
      <c r="B10" s="23" t="s">
        <v>108</v>
      </c>
      <c r="C10" s="14" t="s">
        <v>53</v>
      </c>
      <c r="D10" s="23" t="s">
        <v>109</v>
      </c>
      <c r="E10" s="24" t="s">
        <v>110</v>
      </c>
      <c r="F10" s="22" t="n">
        <v>57.1</v>
      </c>
      <c r="G10" s="22" t="n">
        <v>-31</v>
      </c>
      <c r="H10" s="22" t="s">
        <v>78</v>
      </c>
      <c r="I10" s="22" t="s">
        <v>79</v>
      </c>
      <c r="J10" s="22" t="n">
        <v>1925</v>
      </c>
      <c r="K10" s="25" t="s">
        <v>100</v>
      </c>
      <c r="L10" s="22" t="s">
        <v>104</v>
      </c>
      <c r="M10" s="22" t="s">
        <v>105</v>
      </c>
      <c r="N10" s="22" t="s">
        <v>106</v>
      </c>
      <c r="O10" s="22" t="s">
        <v>71</v>
      </c>
      <c r="P10" s="22" t="s">
        <v>71</v>
      </c>
      <c r="Q10" s="22" t="n">
        <v>5</v>
      </c>
      <c r="R10" s="25" t="s">
        <v>83</v>
      </c>
      <c r="S10" s="25" t="n">
        <v>34.9837619047619</v>
      </c>
      <c r="T10" s="22" t="n">
        <v>40.8612947976879</v>
      </c>
      <c r="U10" s="26" t="n">
        <v>4</v>
      </c>
      <c r="V10" s="27" t="n">
        <v>0.1575</v>
      </c>
      <c r="W10" s="27" t="n">
        <v>0.005</v>
      </c>
      <c r="X10" s="27" t="n">
        <v>0.0025</v>
      </c>
      <c r="Y10" s="27" t="n">
        <v>1.56</v>
      </c>
      <c r="Z10" s="27" t="n">
        <v>0.0294392028877595</v>
      </c>
      <c r="AA10" s="27" t="n">
        <v>0.0147196014438798</v>
      </c>
      <c r="AB10" s="27" t="n">
        <v>0.251920211428571</v>
      </c>
      <c r="AC10" s="27" t="n">
        <v>0.200078748367218</v>
      </c>
      <c r="AD10" s="27" t="n">
        <v>0.200011251664997</v>
      </c>
      <c r="AE10" s="28" t="n">
        <v>0.62575</v>
      </c>
      <c r="AF10" s="28" t="n">
        <v>0.0153860055461665</v>
      </c>
      <c r="AG10" s="29" t="n">
        <v>8.32444940294538</v>
      </c>
      <c r="AH10" s="27" t="n">
        <v>0.0405101782816313</v>
      </c>
      <c r="AI10" s="27" t="n">
        <f aca="false">VLOOKUP(B10,proft,2,0)</f>
        <v>9.01539964636174</v>
      </c>
      <c r="AJ10" s="27" t="n">
        <f aca="false">VLOOKUP(B10,proft,3,0)</f>
        <v>0.22110652923584</v>
      </c>
      <c r="AK10" s="27" t="s">
        <v>107</v>
      </c>
      <c r="AM10" s="33"/>
      <c r="BA10" s="30" t="n">
        <v>11.4569</v>
      </c>
      <c r="BB10" s="30" t="n">
        <v>2.394</v>
      </c>
      <c r="BC10" s="30" t="n">
        <v>0.02394</v>
      </c>
      <c r="BD10" s="31" t="n">
        <v>11.4569</v>
      </c>
      <c r="BE10" s="31" t="n">
        <v>2.394</v>
      </c>
      <c r="BF10" s="31" t="n">
        <v>0.02394</v>
      </c>
      <c r="BG10" s="14" t="n">
        <f aca="false">10^6/((BA10+273.15)^2)</f>
        <v>12.345513258191</v>
      </c>
      <c r="BH10" s="14" t="n">
        <f aca="false">BG10*(2*($BE10/($BD10+273.15)))</f>
        <v>0.207691090694634</v>
      </c>
      <c r="BI10" s="14" t="n">
        <f aca="false">BG10*(2*($BF10/($BD10+273.15)))</f>
        <v>0.00207691090694634</v>
      </c>
      <c r="BK10" s="14" t="n">
        <f aca="false">10^6/((AG10+273.15)^2)</f>
        <v>12.6218217742601</v>
      </c>
      <c r="BL10" s="14" t="n">
        <f aca="false">BK10*(2*($AH10/($AG10+273.15)))</f>
        <v>0.00363309885780989</v>
      </c>
      <c r="BM10" s="14" t="n">
        <f aca="false">10^6/((AI10+273.15)^2)</f>
        <v>12.5600822907032</v>
      </c>
      <c r="BN10" s="14" t="n">
        <f aca="false">BM10*(2*($AJ10/($AI10+273.15)))</f>
        <v>0.019684314275914</v>
      </c>
    </row>
    <row r="11" s="14" customFormat="true" ht="16" hidden="false" customHeight="false" outlineLevel="0" collapsed="false">
      <c r="A11" s="22" t="s">
        <v>100</v>
      </c>
      <c r="B11" s="23" t="s">
        <v>111</v>
      </c>
      <c r="C11" s="14" t="s">
        <v>53</v>
      </c>
      <c r="D11" s="23" t="s">
        <v>112</v>
      </c>
      <c r="E11" s="24" t="s">
        <v>113</v>
      </c>
      <c r="F11" s="22" t="n">
        <v>57.1</v>
      </c>
      <c r="G11" s="22" t="n">
        <v>-31</v>
      </c>
      <c r="H11" s="22" t="s">
        <v>78</v>
      </c>
      <c r="I11" s="22" t="s">
        <v>79</v>
      </c>
      <c r="J11" s="22" t="n">
        <v>1925</v>
      </c>
      <c r="K11" s="25" t="s">
        <v>100</v>
      </c>
      <c r="L11" s="22" t="s">
        <v>104</v>
      </c>
      <c r="M11" s="22" t="s">
        <v>105</v>
      </c>
      <c r="N11" s="22" t="s">
        <v>106</v>
      </c>
      <c r="O11" s="22" t="s">
        <v>71</v>
      </c>
      <c r="P11" s="22" t="s">
        <v>71</v>
      </c>
      <c r="Q11" s="22" t="n">
        <v>5</v>
      </c>
      <c r="R11" s="25" t="s">
        <v>83</v>
      </c>
      <c r="S11" s="25" t="n">
        <v>34.9837619047619</v>
      </c>
      <c r="T11" s="22" t="n">
        <v>40.8612947976879</v>
      </c>
      <c r="U11" s="26" t="n">
        <v>3</v>
      </c>
      <c r="V11" s="27" t="n">
        <v>0.213333333333333</v>
      </c>
      <c r="W11" s="27" t="n">
        <v>0.120968315410827</v>
      </c>
      <c r="X11" s="27" t="n">
        <v>0.0698410894658565</v>
      </c>
      <c r="Y11" s="27" t="n">
        <v>1.54666666666667</v>
      </c>
      <c r="Z11" s="27" t="n">
        <v>0.0351188458428425</v>
      </c>
      <c r="AA11" s="27" t="n">
        <v>0.0202758751009941</v>
      </c>
      <c r="AB11" s="27" t="n">
        <v>0.251920211428571</v>
      </c>
      <c r="AC11" s="27" t="n">
        <v>0.200078748367218</v>
      </c>
      <c r="AD11" s="27" t="n">
        <v>0.200011251664997</v>
      </c>
      <c r="AE11" s="28" t="n">
        <v>0.628</v>
      </c>
      <c r="AF11" s="28" t="n">
        <v>0.0285715476187996</v>
      </c>
      <c r="AG11" s="29" t="n">
        <v>8.32444940294538</v>
      </c>
      <c r="AH11" s="27" t="n">
        <v>0.0405101782816313</v>
      </c>
      <c r="AI11" s="27" t="n">
        <f aca="false">VLOOKUP(B11,proft,2,0)</f>
        <v>9.07311266313437</v>
      </c>
      <c r="AJ11" s="27" t="n">
        <f aca="false">VLOOKUP(B11,proft,3,0)</f>
        <v>0.49534893035888</v>
      </c>
      <c r="AK11" s="27" t="s">
        <v>107</v>
      </c>
      <c r="AM11" s="33"/>
      <c r="BA11" s="30" t="n">
        <v>11.4912</v>
      </c>
      <c r="BB11" s="30" t="n">
        <v>2.435</v>
      </c>
      <c r="BC11" s="30" t="n">
        <v>0.02435</v>
      </c>
      <c r="BD11" s="31" t="n">
        <v>11.4912</v>
      </c>
      <c r="BE11" s="31" t="n">
        <v>2.435</v>
      </c>
      <c r="BF11" s="31" t="n">
        <v>0.02435</v>
      </c>
      <c r="BG11" s="14" t="n">
        <f aca="false">10^6/((BA11+273.15)^2)</f>
        <v>12.3425381049716</v>
      </c>
      <c r="BH11" s="14" t="n">
        <f aca="false">BG11*(2*($BE11/($BD11+273.15)))</f>
        <v>0.211171680597228</v>
      </c>
      <c r="BI11" s="14" t="n">
        <f aca="false">BG11*(2*($BF11/($BD11+273.15)))</f>
        <v>0.00211171680597228</v>
      </c>
      <c r="BK11" s="14" t="n">
        <f aca="false">10^6/((AG11+273.15)^2)</f>
        <v>12.6218217742601</v>
      </c>
      <c r="BL11" s="14" t="n">
        <f aca="false">BK11*(2*($AH11/($AG11+273.15)))</f>
        <v>0.00363309885780989</v>
      </c>
      <c r="BM11" s="14" t="n">
        <f aca="false">10^6/((AI11+273.15)^2)</f>
        <v>12.5549458855652</v>
      </c>
      <c r="BN11" s="14" t="n">
        <f aca="false">BM11*(2*($AJ11/($AI11+273.15)))</f>
        <v>0.044072074440987</v>
      </c>
    </row>
    <row r="12" s="14" customFormat="true" ht="16" hidden="false" customHeight="false" outlineLevel="0" collapsed="false">
      <c r="A12" s="22" t="s">
        <v>100</v>
      </c>
      <c r="B12" s="23" t="s">
        <v>114</v>
      </c>
      <c r="C12" s="14" t="s">
        <v>53</v>
      </c>
      <c r="D12" s="23" t="s">
        <v>115</v>
      </c>
      <c r="E12" s="24" t="s">
        <v>116</v>
      </c>
      <c r="F12" s="22" t="n">
        <v>57.1</v>
      </c>
      <c r="G12" s="22" t="n">
        <v>-31</v>
      </c>
      <c r="H12" s="22" t="s">
        <v>78</v>
      </c>
      <c r="I12" s="22" t="s">
        <v>79</v>
      </c>
      <c r="J12" s="22" t="n">
        <v>1925</v>
      </c>
      <c r="K12" s="25" t="s">
        <v>100</v>
      </c>
      <c r="L12" s="22" t="s">
        <v>104</v>
      </c>
      <c r="M12" s="22" t="s">
        <v>105</v>
      </c>
      <c r="N12" s="22" t="s">
        <v>106</v>
      </c>
      <c r="O12" s="22" t="s">
        <v>71</v>
      </c>
      <c r="P12" s="22" t="s">
        <v>71</v>
      </c>
      <c r="Q12" s="22" t="n">
        <v>5</v>
      </c>
      <c r="R12" s="25" t="s">
        <v>83</v>
      </c>
      <c r="S12" s="25" t="n">
        <v>34.9837619047619</v>
      </c>
      <c r="T12" s="22" t="n">
        <v>40.8612947976879</v>
      </c>
      <c r="U12" s="26" t="n">
        <v>7</v>
      </c>
      <c r="V12" s="27" t="n">
        <v>0.0357142857142857</v>
      </c>
      <c r="W12" s="27" t="n">
        <v>0.0151185789203691</v>
      </c>
      <c r="X12" s="27" t="n">
        <v>0.00571428571428572</v>
      </c>
      <c r="Y12" s="27" t="n">
        <v>1.54857142857143</v>
      </c>
      <c r="Z12" s="27" t="n">
        <v>0.0405908739450021</v>
      </c>
      <c r="AA12" s="27" t="n">
        <v>0.0153419082796067</v>
      </c>
      <c r="AB12" s="27" t="n">
        <v>0.251920211428571</v>
      </c>
      <c r="AC12" s="27" t="n">
        <v>0.200078748367218</v>
      </c>
      <c r="AD12" s="27" t="n">
        <v>0.200011251664997</v>
      </c>
      <c r="AE12" s="28" t="n">
        <v>0.651857142857143</v>
      </c>
      <c r="AF12" s="28" t="n">
        <v>0.00626185949648677</v>
      </c>
      <c r="AG12" s="29" t="n">
        <v>8.32444940294538</v>
      </c>
      <c r="AH12" s="27" t="n">
        <v>0.414495997533471</v>
      </c>
      <c r="AI12" s="27" t="n">
        <f aca="false">VLOOKUP(B12,proft,2,0)</f>
        <v>9.0644329882666</v>
      </c>
      <c r="AJ12" s="27" t="n">
        <f aca="false">VLOOKUP(B12,proft,3,0)</f>
        <v>0.22110652923584</v>
      </c>
      <c r="AK12" s="27" t="s">
        <v>107</v>
      </c>
      <c r="AM12" s="33"/>
      <c r="BA12" s="30" t="n">
        <v>11.4714</v>
      </c>
      <c r="BB12" s="30" t="n">
        <v>2.425</v>
      </c>
      <c r="BC12" s="30" t="n">
        <v>0.02425</v>
      </c>
      <c r="BD12" s="31" t="n">
        <v>11.4714</v>
      </c>
      <c r="BE12" s="31" t="n">
        <v>2.425</v>
      </c>
      <c r="BF12" s="31" t="n">
        <v>0.02425</v>
      </c>
      <c r="BG12" s="14" t="n">
        <f aca="false">10^6/((BA12+273.15)^2)</f>
        <v>12.3442554091155</v>
      </c>
      <c r="BH12" s="14" t="n">
        <f aca="false">BG12*(2*($BE12/($BD12+273.15)))</f>
        <v>0.21034833900125</v>
      </c>
      <c r="BI12" s="14" t="n">
        <f aca="false">BG12*(2*($BF12/($BD12+273.15)))</f>
        <v>0.0021034833900125</v>
      </c>
      <c r="BK12" s="14" t="n">
        <f aca="false">10^6/((AG12+273.15)^2)</f>
        <v>12.6218217742601</v>
      </c>
      <c r="BL12" s="14" t="n">
        <f aca="false">BK12*(2*($AH12/($AG12+273.15)))</f>
        <v>0.0371734956271089</v>
      </c>
      <c r="BM12" s="14" t="n">
        <f aca="false">10^6/((AI12+273.15)^2)</f>
        <v>12.5557181672865</v>
      </c>
      <c r="BN12" s="14" t="n">
        <f aca="false">BM12*(2*($AJ12/($AI12+273.15)))</f>
        <v>0.0196740559059041</v>
      </c>
    </row>
    <row r="13" s="14" customFormat="true" ht="16" hidden="false" customHeight="false" outlineLevel="0" collapsed="false">
      <c r="A13" s="22" t="s">
        <v>51</v>
      </c>
      <c r="B13" s="23" t="s">
        <v>117</v>
      </c>
      <c r="C13" s="14" t="s">
        <v>53</v>
      </c>
      <c r="D13" s="23" t="s">
        <v>118</v>
      </c>
      <c r="E13" s="24" t="s">
        <v>119</v>
      </c>
      <c r="F13" s="22" t="n">
        <v>19.99933333</v>
      </c>
      <c r="G13" s="22" t="n">
        <v>65.58333333</v>
      </c>
      <c r="H13" s="22" t="s">
        <v>120</v>
      </c>
      <c r="I13" s="22" t="s">
        <v>121</v>
      </c>
      <c r="J13" s="22" t="n">
        <v>3190</v>
      </c>
      <c r="K13" s="25" t="s">
        <v>51</v>
      </c>
      <c r="L13" s="22" t="s">
        <v>58</v>
      </c>
      <c r="M13" s="22" t="s">
        <v>59</v>
      </c>
      <c r="N13" s="22" t="s">
        <v>60</v>
      </c>
      <c r="O13" s="22" t="s">
        <v>61</v>
      </c>
      <c r="P13" s="22" t="s">
        <v>61</v>
      </c>
      <c r="Q13" s="22" t="n">
        <v>3</v>
      </c>
      <c r="R13" s="25" t="s">
        <v>62</v>
      </c>
      <c r="S13" s="25" t="n">
        <v>36.4762352941176</v>
      </c>
      <c r="T13" s="22" t="n">
        <v>-3.12037638376384</v>
      </c>
      <c r="U13" s="26" t="n">
        <v>8</v>
      </c>
      <c r="V13" s="27" t="n">
        <v>1.6425</v>
      </c>
      <c r="W13" s="27" t="n">
        <v>0.0961769203083567</v>
      </c>
      <c r="X13" s="27" t="n">
        <v>0.0340036762718386</v>
      </c>
      <c r="Y13" s="27" t="n">
        <v>-0.3725</v>
      </c>
      <c r="Z13" s="27" t="n">
        <v>0.0443202630213965</v>
      </c>
      <c r="AA13" s="27" t="n">
        <v>0.0156695792632004</v>
      </c>
      <c r="AB13" s="27" t="n">
        <v>0.672289202</v>
      </c>
      <c r="AC13" s="27" t="n">
        <v>0.202870966674951</v>
      </c>
      <c r="AD13" s="27" t="n">
        <v>0.200577480849486</v>
      </c>
      <c r="AE13" s="28" t="n">
        <v>0.59425</v>
      </c>
      <c r="AF13" s="28" t="n">
        <v>0.00953892401838757</v>
      </c>
      <c r="AG13" s="29" t="n">
        <v>25.0609136469224</v>
      </c>
      <c r="AH13" s="27" t="n">
        <v>1.50341550156977</v>
      </c>
      <c r="AI13" s="27" t="n">
        <f aca="false">VLOOKUP(B13,proft,2,0)</f>
        <v>19.2435869864156</v>
      </c>
      <c r="AJ13" s="27" t="n">
        <f aca="false">VLOOKUP(B13,proft,3,0)</f>
        <v>1.1674976348877</v>
      </c>
      <c r="AK13" s="27" t="s">
        <v>63</v>
      </c>
      <c r="AM13" s="33"/>
      <c r="BA13" s="30" t="n">
        <v>20.2964</v>
      </c>
      <c r="BB13" s="30" t="n">
        <v>2.264</v>
      </c>
      <c r="BC13" s="30" t="n">
        <v>0.02264</v>
      </c>
      <c r="BD13" s="31" t="n">
        <v>20.2964</v>
      </c>
      <c r="BE13" s="31" t="n">
        <v>2.264</v>
      </c>
      <c r="BF13" s="31" t="n">
        <v>0.02264</v>
      </c>
      <c r="BG13" s="14" t="n">
        <f aca="false">10^6/((BA13+273.15)^2)</f>
        <v>11.6129465749635</v>
      </c>
      <c r="BH13" s="14" t="n">
        <f aca="false">BG13*(2*($BE13/($BD13+273.15)))</f>
        <v>0.179192595620306</v>
      </c>
      <c r="BI13" s="14" t="n">
        <f aca="false">BG13*(2*($BF13/($BD13+273.15)))</f>
        <v>0.00179192595620306</v>
      </c>
      <c r="BK13" s="14" t="n">
        <f aca="false">10^6/((AG13+273.15)^2)</f>
        <v>11.2448310159529</v>
      </c>
      <c r="BL13" s="14" t="n">
        <f aca="false">BK13*(2*($AH13/($AG13+273.15)))</f>
        <v>0.113380513510865</v>
      </c>
      <c r="BM13" s="14" t="n">
        <f aca="false">10^6/((AI13+273.15)^2)</f>
        <v>11.6967259271485</v>
      </c>
      <c r="BN13" s="14" t="n">
        <f aca="false">BM13*(2*($AJ13/($AI13+273.15)))</f>
        <v>0.0934076564169651</v>
      </c>
    </row>
    <row r="14" s="14" customFormat="true" ht="16" hidden="false" customHeight="false" outlineLevel="0" collapsed="false">
      <c r="A14" s="22" t="s">
        <v>85</v>
      </c>
      <c r="B14" s="23" t="s">
        <v>122</v>
      </c>
      <c r="C14" s="14" t="s">
        <v>53</v>
      </c>
      <c r="D14" s="23" t="s">
        <v>123</v>
      </c>
      <c r="E14" s="34" t="s">
        <v>124</v>
      </c>
      <c r="F14" s="22" t="n">
        <v>23.3</v>
      </c>
      <c r="G14" s="22" t="n">
        <v>66.7</v>
      </c>
      <c r="H14" s="22" t="s">
        <v>125</v>
      </c>
      <c r="I14" s="22" t="s">
        <v>121</v>
      </c>
      <c r="J14" s="22" t="n">
        <v>151</v>
      </c>
      <c r="K14" s="35" t="s">
        <v>85</v>
      </c>
      <c r="L14" s="22" t="s">
        <v>89</v>
      </c>
      <c r="M14" s="22" t="s">
        <v>90</v>
      </c>
      <c r="N14" s="22" t="s">
        <v>91</v>
      </c>
      <c r="O14" s="22" t="s">
        <v>92</v>
      </c>
      <c r="P14" s="22" t="s">
        <v>92</v>
      </c>
      <c r="Q14" s="22" t="n">
        <v>4</v>
      </c>
      <c r="R14" s="35" t="s">
        <v>62</v>
      </c>
      <c r="S14" s="25" t="n">
        <v>36.4778947368421</v>
      </c>
      <c r="T14" s="22" t="n">
        <v>56.9964680851064</v>
      </c>
      <c r="U14" s="26" t="n">
        <v>3</v>
      </c>
      <c r="V14" s="27" t="n">
        <v>0.136666666666667</v>
      </c>
      <c r="W14" s="27" t="n">
        <v>0.0152752523165195</v>
      </c>
      <c r="X14" s="27" t="n">
        <v>0.00881917103688197</v>
      </c>
      <c r="Y14" s="27" t="n">
        <v>1.59333333333333</v>
      </c>
      <c r="Z14" s="27" t="n">
        <v>0.0832666399786453</v>
      </c>
      <c r="AA14" s="27" t="n">
        <v>0.0480740170061865</v>
      </c>
      <c r="AB14" s="27" t="n">
        <v>0.663500837142857</v>
      </c>
      <c r="AC14" s="27" t="n">
        <v>0.203815803594664</v>
      </c>
      <c r="AD14" s="27" t="n">
        <v>0.200549559886591</v>
      </c>
      <c r="AE14" s="28" t="n">
        <v>0.645666666666667</v>
      </c>
      <c r="AF14" s="28" t="n">
        <v>0.0158569998563551</v>
      </c>
      <c r="AG14" s="29" t="n">
        <v>23.8186233922055</v>
      </c>
      <c r="AH14" s="27" t="n">
        <v>1.85407197266517</v>
      </c>
      <c r="AI14" s="27" t="n">
        <f aca="false">VLOOKUP(B14,proft,2,0)</f>
        <v>9.28649434907373</v>
      </c>
      <c r="AJ14" s="27" t="n">
        <f aca="false">VLOOKUP(B14,proft,3,0)</f>
        <v>0.3594913482666</v>
      </c>
      <c r="AK14" s="36" t="s">
        <v>63</v>
      </c>
      <c r="AM14" s="33"/>
      <c r="BA14" s="30" t="n">
        <v>12.6179</v>
      </c>
      <c r="BB14" s="30" t="n">
        <v>2.236</v>
      </c>
      <c r="BC14" s="30" t="n">
        <v>0.02236</v>
      </c>
      <c r="BD14" s="31" t="n">
        <v>12.6179</v>
      </c>
      <c r="BE14" s="31" t="n">
        <v>2.236</v>
      </c>
      <c r="BF14" s="31" t="n">
        <v>0.02236</v>
      </c>
      <c r="BG14" s="14" t="n">
        <f aca="false">10^6/((BA14+273.15)^2)</f>
        <v>12.2454038687365</v>
      </c>
      <c r="BH14" s="14" t="n">
        <f aca="false">BG14*(2*($BE14/($BD14+273.15)))</f>
        <v>0.191629102152445</v>
      </c>
      <c r="BI14" s="14" t="n">
        <f aca="false">BG14*(2*($BF14/($BD14+273.15)))</f>
        <v>0.00191629102152445</v>
      </c>
      <c r="BK14" s="14" t="n">
        <f aca="false">10^6/((AG14+273.15)^2)</f>
        <v>11.3391073901256</v>
      </c>
      <c r="BL14" s="14" t="n">
        <f aca="false">BK14*(2*($AH14/($AG14+273.15)))</f>
        <v>0.14158749141189</v>
      </c>
      <c r="BM14" s="14" t="n">
        <f aca="false">10^6/((AI14+273.15)^2)</f>
        <v>12.5359824472092</v>
      </c>
      <c r="BN14" s="14" t="n">
        <f aca="false">BM14*(2*($AJ14/($AI14+273.15)))</f>
        <v>0.0319121453633666</v>
      </c>
    </row>
    <row r="15" s="14" customFormat="true" ht="16" hidden="false" customHeight="false" outlineLevel="0" collapsed="false">
      <c r="A15" s="22" t="s">
        <v>67</v>
      </c>
      <c r="B15" s="23" t="s">
        <v>126</v>
      </c>
      <c r="C15" s="14" t="s">
        <v>53</v>
      </c>
      <c r="D15" s="23" t="s">
        <v>127</v>
      </c>
      <c r="E15" s="24" t="s">
        <v>124</v>
      </c>
      <c r="F15" s="22" t="n">
        <v>23.3</v>
      </c>
      <c r="G15" s="22" t="n">
        <v>66.7</v>
      </c>
      <c r="H15" s="22" t="s">
        <v>120</v>
      </c>
      <c r="I15" s="22" t="s">
        <v>121</v>
      </c>
      <c r="J15" s="22" t="n">
        <v>151</v>
      </c>
      <c r="K15" s="25" t="s">
        <v>67</v>
      </c>
      <c r="L15" s="22" t="s">
        <v>68</v>
      </c>
      <c r="M15" s="22" t="s">
        <v>69</v>
      </c>
      <c r="N15" s="22" t="s">
        <v>70</v>
      </c>
      <c r="O15" s="22" t="s">
        <v>71</v>
      </c>
      <c r="P15" s="22" t="s">
        <v>71</v>
      </c>
      <c r="Q15" s="22" t="n">
        <v>5</v>
      </c>
      <c r="R15" s="25" t="s">
        <v>62</v>
      </c>
      <c r="S15" s="25" t="n">
        <v>36.4610909090909</v>
      </c>
      <c r="T15" s="22" t="n">
        <v>56.9964680851064</v>
      </c>
      <c r="U15" s="26" t="n">
        <v>6</v>
      </c>
      <c r="V15" s="27" t="n">
        <v>1.865</v>
      </c>
      <c r="W15" s="27" t="n">
        <v>0.0122474487139159</v>
      </c>
      <c r="X15" s="27" t="n">
        <v>0.00500000000000001</v>
      </c>
      <c r="Y15" s="27" t="n">
        <v>-1.48666666666667</v>
      </c>
      <c r="Z15" s="27" t="n">
        <v>0.0344480284873702</v>
      </c>
      <c r="AA15" s="27" t="n">
        <v>0.0140633487398193</v>
      </c>
      <c r="AB15" s="27" t="n">
        <v>0.689166983333333</v>
      </c>
      <c r="AC15" s="27" t="n">
        <v>0.204659376502973</v>
      </c>
      <c r="AD15" s="27" t="n">
        <v>0.20156509320034</v>
      </c>
      <c r="AE15" s="28" t="n">
        <v>0.592666666666667</v>
      </c>
      <c r="AF15" s="28" t="n">
        <v>0.00643255608430878</v>
      </c>
      <c r="AG15" s="29" t="n">
        <v>23.2379514520819</v>
      </c>
      <c r="AH15" s="27" t="n">
        <v>0.704713829882255</v>
      </c>
      <c r="AI15" s="27" t="n">
        <f aca="false">VLOOKUP(B15,proft,2,0)</f>
        <v>25.0508900884719</v>
      </c>
      <c r="AJ15" s="27" t="n">
        <f aca="false">VLOOKUP(B15,proft,3,0)</f>
        <v>0.630332946777401</v>
      </c>
      <c r="AK15" s="27" t="s">
        <v>72</v>
      </c>
      <c r="AM15" s="33"/>
      <c r="BA15" s="30" t="n">
        <v>26.0933</v>
      </c>
      <c r="BB15" s="30" t="n">
        <v>2.111</v>
      </c>
      <c r="BC15" s="30" t="n">
        <v>0.02111</v>
      </c>
      <c r="BD15" s="31" t="n">
        <v>26.0933</v>
      </c>
      <c r="BE15" s="31" t="n">
        <v>2.111</v>
      </c>
      <c r="BF15" s="31" t="n">
        <v>0.02111</v>
      </c>
      <c r="BG15" s="14" t="n">
        <f aca="false">10^6/((BA15+273.15)^2)</f>
        <v>11.1673757506223</v>
      </c>
      <c r="BH15" s="14" t="n">
        <f aca="false">BG15*(2*($BE15/($BD15+273.15)))</f>
        <v>0.15755961927678</v>
      </c>
      <c r="BI15" s="14" t="n">
        <f aca="false">BG15*(2*($BF15/($BD15+273.15)))</f>
        <v>0.00157559619276781</v>
      </c>
      <c r="BK15" s="14" t="n">
        <f aca="false">10^6/((AG15+273.15)^2)</f>
        <v>11.3835812043346</v>
      </c>
      <c r="BL15" s="14" t="n">
        <f aca="false">BK15*(2*($AH15/($AG15+273.15)))</f>
        <v>0.0541328827233332</v>
      </c>
      <c r="BM15" s="14" t="n">
        <f aca="false">10^6/((AI15+273.15)^2)</f>
        <v>11.2455869836179</v>
      </c>
      <c r="BN15" s="14" t="n">
        <f aca="false">BM15*(2*($AJ15/($AI15+273.15)))</f>
        <v>0.0475415346984539</v>
      </c>
    </row>
    <row r="16" s="14" customFormat="true" ht="16" hidden="false" customHeight="false" outlineLevel="0" collapsed="false">
      <c r="A16" s="22" t="s">
        <v>67</v>
      </c>
      <c r="B16" s="23" t="s">
        <v>128</v>
      </c>
      <c r="C16" s="14" t="s">
        <v>53</v>
      </c>
      <c r="D16" s="23" t="s">
        <v>127</v>
      </c>
      <c r="E16" s="24" t="s">
        <v>124</v>
      </c>
      <c r="F16" s="22" t="n">
        <v>23.3</v>
      </c>
      <c r="G16" s="22" t="n">
        <v>66.7</v>
      </c>
      <c r="H16" s="22" t="s">
        <v>120</v>
      </c>
      <c r="I16" s="22" t="s">
        <v>121</v>
      </c>
      <c r="J16" s="22" t="n">
        <v>151</v>
      </c>
      <c r="K16" s="25" t="s">
        <v>67</v>
      </c>
      <c r="L16" s="22" t="s">
        <v>68</v>
      </c>
      <c r="M16" s="22" t="s">
        <v>69</v>
      </c>
      <c r="N16" s="22" t="s">
        <v>70</v>
      </c>
      <c r="O16" s="22" t="s">
        <v>71</v>
      </c>
      <c r="P16" s="22" t="s">
        <v>71</v>
      </c>
      <c r="Q16" s="22" t="n">
        <v>5</v>
      </c>
      <c r="R16" s="25" t="s">
        <v>62</v>
      </c>
      <c r="S16" s="25" t="n">
        <v>36.4610909090909</v>
      </c>
      <c r="T16" s="22" t="n">
        <v>56.9964680851064</v>
      </c>
      <c r="U16" s="26" t="n">
        <v>4</v>
      </c>
      <c r="V16" s="27" t="n">
        <v>1.905</v>
      </c>
      <c r="W16" s="27" t="n">
        <v>0.03</v>
      </c>
      <c r="X16" s="27" t="n">
        <v>0.015</v>
      </c>
      <c r="Y16" s="27" t="n">
        <v>-1.1625</v>
      </c>
      <c r="Z16" s="27" t="n">
        <v>0.0320156211871643</v>
      </c>
      <c r="AA16" s="27" t="n">
        <v>0.0160078105935821</v>
      </c>
      <c r="AB16" s="27" t="n">
        <v>0.689166983333333</v>
      </c>
      <c r="AC16" s="27" t="n">
        <v>0.204659376502973</v>
      </c>
      <c r="AD16" s="27" t="n">
        <v>0.20156509320034</v>
      </c>
      <c r="AE16" s="28" t="n">
        <v>0.603</v>
      </c>
      <c r="AF16" s="28" t="n">
        <v>0.00686779925934551</v>
      </c>
      <c r="AG16" s="29" t="n">
        <v>23.2379514520819</v>
      </c>
      <c r="AH16" s="27" t="n">
        <v>0.704713829882255</v>
      </c>
      <c r="AI16" s="27" t="n">
        <f aca="false">VLOOKUP(B16,proft,2,0)</f>
        <v>23.7863393740519</v>
      </c>
      <c r="AJ16" s="27" t="n">
        <f aca="false">VLOOKUP(B16,proft,3,0)</f>
        <v>0.151922225952099</v>
      </c>
      <c r="AK16" s="27" t="s">
        <v>72</v>
      </c>
      <c r="AM16" s="33"/>
      <c r="BA16" s="30" t="n">
        <v>24.5218</v>
      </c>
      <c r="BB16" s="30" t="n">
        <v>2.088</v>
      </c>
      <c r="BC16" s="30" t="n">
        <v>0.02088</v>
      </c>
      <c r="BD16" s="31" t="n">
        <v>24.5218</v>
      </c>
      <c r="BE16" s="31" t="n">
        <v>2.088</v>
      </c>
      <c r="BF16" s="31" t="n">
        <v>0.02088</v>
      </c>
      <c r="BG16" s="14" t="n">
        <f aca="false">10^6/((BA16+273.15)^2)</f>
        <v>11.2855989457581</v>
      </c>
      <c r="BH16" s="14" t="n">
        <f aca="false">BG16*(2*($BE16/($BD16+273.15)))</f>
        <v>0.158324238968844</v>
      </c>
      <c r="BI16" s="14" t="n">
        <f aca="false">BG16*(2*($BF16/($BD16+273.15)))</f>
        <v>0.00158324238968844</v>
      </c>
      <c r="BK16" s="14" t="n">
        <f aca="false">10^6/((AG16+273.15)^2)</f>
        <v>11.3835812043346</v>
      </c>
      <c r="BL16" s="14" t="n">
        <f aca="false">BK16*(2*($AH16/($AG16+273.15)))</f>
        <v>0.0541328827233332</v>
      </c>
      <c r="BM16" s="14" t="n">
        <f aca="false">10^6/((AI16+273.15)^2)</f>
        <v>11.341573183635</v>
      </c>
      <c r="BN16" s="14" t="n">
        <f aca="false">BM16*(2*($AJ16/($AI16+273.15)))</f>
        <v>0.0116054306285897</v>
      </c>
    </row>
    <row r="17" s="14" customFormat="true" ht="16" hidden="false" customHeight="false" outlineLevel="0" collapsed="false">
      <c r="A17" s="22" t="s">
        <v>85</v>
      </c>
      <c r="B17" s="23" t="s">
        <v>129</v>
      </c>
      <c r="C17" s="14" t="s">
        <v>53</v>
      </c>
      <c r="D17" s="23" t="s">
        <v>123</v>
      </c>
      <c r="E17" s="24" t="s">
        <v>124</v>
      </c>
      <c r="F17" s="22" t="n">
        <v>23.3</v>
      </c>
      <c r="G17" s="22" t="n">
        <v>66.7</v>
      </c>
      <c r="H17" s="22" t="s">
        <v>120</v>
      </c>
      <c r="I17" s="22" t="s">
        <v>121</v>
      </c>
      <c r="J17" s="22" t="n">
        <v>151</v>
      </c>
      <c r="K17" s="25" t="s">
        <v>85</v>
      </c>
      <c r="L17" s="22" t="s">
        <v>89</v>
      </c>
      <c r="M17" s="22" t="s">
        <v>90</v>
      </c>
      <c r="N17" s="22" t="s">
        <v>91</v>
      </c>
      <c r="O17" s="22" t="s">
        <v>92</v>
      </c>
      <c r="P17" s="22" t="s">
        <v>92</v>
      </c>
      <c r="Q17" s="22" t="n">
        <v>4</v>
      </c>
      <c r="R17" s="25" t="s">
        <v>62</v>
      </c>
      <c r="S17" s="25" t="n">
        <v>36.4778947368421</v>
      </c>
      <c r="T17" s="22" t="n">
        <v>56.9964680851064</v>
      </c>
      <c r="U17" s="26" t="n">
        <v>4</v>
      </c>
      <c r="V17" s="27" t="n">
        <v>1.885</v>
      </c>
      <c r="W17" s="27" t="n">
        <v>0.0544671154612272</v>
      </c>
      <c r="X17" s="27" t="n">
        <v>0.0272335577306136</v>
      </c>
      <c r="Y17" s="27" t="n">
        <v>-1.115</v>
      </c>
      <c r="Z17" s="27" t="n">
        <v>0.103440804327886</v>
      </c>
      <c r="AA17" s="27" t="n">
        <v>0.051720402163943</v>
      </c>
      <c r="AB17" s="27" t="n">
        <v>0.663500837142857</v>
      </c>
      <c r="AC17" s="27" t="n">
        <v>0.203815803594664</v>
      </c>
      <c r="AD17" s="27" t="n">
        <v>0.200549559886591</v>
      </c>
      <c r="AE17" s="28" t="n">
        <v>0.61675</v>
      </c>
      <c r="AF17" s="28" t="n">
        <v>0.00721543484483091</v>
      </c>
      <c r="AG17" s="29" t="n">
        <v>23.8186233922055</v>
      </c>
      <c r="AH17" s="27" t="n">
        <v>1.85407197266517</v>
      </c>
      <c r="AI17" s="27" t="n">
        <f aca="false">VLOOKUP(B17,proft,2,0)</f>
        <v>23.5068795549695</v>
      </c>
      <c r="AJ17" s="27" t="n">
        <f aca="false">VLOOKUP(B17,proft,3,0)</f>
        <v>0.213911056518601</v>
      </c>
      <c r="AK17" s="27" t="s">
        <v>63</v>
      </c>
      <c r="AM17" s="33"/>
      <c r="BA17" s="30" t="n">
        <v>23.153</v>
      </c>
      <c r="BB17" s="30" t="n">
        <v>2.259</v>
      </c>
      <c r="BC17" s="30" t="n">
        <v>0.02259</v>
      </c>
      <c r="BD17" s="31" t="n">
        <v>23.153</v>
      </c>
      <c r="BE17" s="31" t="n">
        <v>2.259</v>
      </c>
      <c r="BF17" s="31" t="n">
        <v>0.02259</v>
      </c>
      <c r="BG17" s="14" t="n">
        <f aca="false">10^6/((BA17+273.15)^2)</f>
        <v>11.3901095917105</v>
      </c>
      <c r="BH17" s="14" t="n">
        <f aca="false">BG17*(2*($BE17/($BD17+273.15)))</f>
        <v>0.173675309177929</v>
      </c>
      <c r="BI17" s="14" t="n">
        <f aca="false">BG17*(2*($BF17/($BD17+273.15)))</f>
        <v>0.00173675309177929</v>
      </c>
      <c r="BK17" s="14" t="n">
        <f aca="false">10^6/((AG17+273.15)^2)</f>
        <v>11.3391073901256</v>
      </c>
      <c r="BL17" s="14" t="n">
        <f aca="false">BK17*(2*($AH17/($AG17+273.15)))</f>
        <v>0.14158749141189</v>
      </c>
      <c r="BM17" s="14" t="n">
        <f aca="false">10^6/((AI17+273.15)^2)</f>
        <v>11.3629514633779</v>
      </c>
      <c r="BN17" s="14" t="n">
        <f aca="false">BM17*(2*($AJ17/($AI17+273.15)))</f>
        <v>0.0163870189448976</v>
      </c>
    </row>
    <row r="18" s="14" customFormat="true" ht="16" hidden="false" customHeight="false" outlineLevel="0" collapsed="false">
      <c r="A18" s="22" t="s">
        <v>130</v>
      </c>
      <c r="B18" s="23" t="s">
        <v>131</v>
      </c>
      <c r="C18" s="14" t="s">
        <v>53</v>
      </c>
      <c r="D18" s="23" t="s">
        <v>132</v>
      </c>
      <c r="E18" s="24" t="s">
        <v>133</v>
      </c>
      <c r="F18" s="22" t="n">
        <v>23.3</v>
      </c>
      <c r="G18" s="22" t="n">
        <v>66.7</v>
      </c>
      <c r="H18" s="22" t="s">
        <v>120</v>
      </c>
      <c r="I18" s="22" t="s">
        <v>121</v>
      </c>
      <c r="J18" s="22" t="n">
        <v>151</v>
      </c>
      <c r="K18" s="25" t="s">
        <v>130</v>
      </c>
      <c r="L18" s="22" t="s">
        <v>80</v>
      </c>
      <c r="M18" s="22" t="s">
        <v>134</v>
      </c>
      <c r="N18" s="22" t="s">
        <v>135</v>
      </c>
      <c r="O18" s="22" t="s">
        <v>92</v>
      </c>
      <c r="P18" s="22" t="s">
        <v>92</v>
      </c>
      <c r="Q18" s="22" t="n">
        <v>4</v>
      </c>
      <c r="R18" s="25" t="s">
        <v>62</v>
      </c>
      <c r="S18" s="25" t="n">
        <v>36.4826470588235</v>
      </c>
      <c r="T18" s="22" t="n">
        <v>62.2654680851064</v>
      </c>
      <c r="U18" s="26" t="n">
        <v>8</v>
      </c>
      <c r="V18" s="27" t="n">
        <v>1.43375</v>
      </c>
      <c r="W18" s="27" t="n">
        <v>0.0337797487937881</v>
      </c>
      <c r="X18" s="27" t="n">
        <v>0.0119429447194328</v>
      </c>
      <c r="Y18" s="27" t="n">
        <v>-1.04125</v>
      </c>
      <c r="Z18" s="27" t="n">
        <v>0.0756755291642266</v>
      </c>
      <c r="AA18" s="27" t="n">
        <v>0.0267553399209525</v>
      </c>
      <c r="AB18" s="27" t="n">
        <v>0.673166573333334</v>
      </c>
      <c r="AC18" s="27" t="n">
        <v>0.202643223233973</v>
      </c>
      <c r="AD18" s="27" t="n">
        <v>0.200442957772136</v>
      </c>
      <c r="AE18" s="28" t="n">
        <v>0.61325</v>
      </c>
      <c r="AF18" s="28" t="n">
        <v>0.00650755055959724</v>
      </c>
      <c r="AG18" s="29" t="n">
        <v>24.0330189598931</v>
      </c>
      <c r="AH18" s="27" t="n">
        <v>1.64774899407222</v>
      </c>
      <c r="AI18" s="27" t="n">
        <f aca="false">VLOOKUP(B18,proft,2,0)</f>
        <v>23.0870431186438</v>
      </c>
      <c r="AJ18" s="27" t="n">
        <f aca="false">VLOOKUP(B18,proft,3,0)</f>
        <v>0.777135848998999</v>
      </c>
      <c r="AK18" s="27" t="s">
        <v>63</v>
      </c>
      <c r="AM18" s="33"/>
      <c r="BA18" s="30" t="n">
        <v>22.8622</v>
      </c>
      <c r="BB18" s="30" t="n">
        <v>2.231</v>
      </c>
      <c r="BC18" s="30" t="n">
        <v>0.02158</v>
      </c>
      <c r="BD18" s="31" t="n">
        <v>22.8622</v>
      </c>
      <c r="BE18" s="31" t="n">
        <v>2.231</v>
      </c>
      <c r="BF18" s="31" t="n">
        <v>0.02158</v>
      </c>
      <c r="BG18" s="14" t="n">
        <f aca="false">10^6/((BA18+273.15)^2)</f>
        <v>11.4124996879978</v>
      </c>
      <c r="BH18" s="14" t="n">
        <f aca="false">BG18*(2*($BE18/($BD18+273.15)))</f>
        <v>0.172028631278867</v>
      </c>
      <c r="BI18" s="14" t="n">
        <f aca="false">BG18*(2*($BF18/($BD18+273.15)))</f>
        <v>0.00166399724921468</v>
      </c>
      <c r="BK18" s="14" t="n">
        <f aca="false">10^6/((AG18+273.15)^2)</f>
        <v>11.3227526370073</v>
      </c>
      <c r="BL18" s="14" t="n">
        <f aca="false">BK18*(2*($AH18/($AG18+273.15)))</f>
        <v>0.125559356204503</v>
      </c>
      <c r="BM18" s="14" t="n">
        <f aca="false">10^6/((AI18+273.15)^2)</f>
        <v>11.3951821493641</v>
      </c>
      <c r="BN18" s="14" t="n">
        <f aca="false">BM18*(2*($AJ18/($AI18+273.15)))</f>
        <v>0.0597872869707091</v>
      </c>
    </row>
    <row r="19" s="37" customFormat="true" ht="16" hidden="false" customHeight="false" outlineLevel="0" collapsed="false">
      <c r="A19" s="22" t="s">
        <v>100</v>
      </c>
      <c r="B19" s="23" t="s">
        <v>136</v>
      </c>
      <c r="C19" s="14" t="s">
        <v>53</v>
      </c>
      <c r="D19" s="23" t="s">
        <v>137</v>
      </c>
      <c r="E19" s="24" t="s">
        <v>138</v>
      </c>
      <c r="F19" s="22" t="n">
        <v>56.57</v>
      </c>
      <c r="G19" s="22" t="n">
        <v>9.815</v>
      </c>
      <c r="H19" s="22" t="s">
        <v>78</v>
      </c>
      <c r="I19" s="22" t="s">
        <v>79</v>
      </c>
      <c r="J19" s="22" t="n">
        <v>1683</v>
      </c>
      <c r="K19" s="25" t="s">
        <v>100</v>
      </c>
      <c r="L19" s="22" t="s">
        <v>104</v>
      </c>
      <c r="M19" s="22" t="s">
        <v>105</v>
      </c>
      <c r="N19" s="22" t="s">
        <v>106</v>
      </c>
      <c r="O19" s="22" t="s">
        <v>71</v>
      </c>
      <c r="P19" s="22" t="s">
        <v>71</v>
      </c>
      <c r="Q19" s="22" t="n">
        <v>5</v>
      </c>
      <c r="R19" s="25" t="s">
        <v>83</v>
      </c>
      <c r="S19" s="25" t="n">
        <v>34.3637142857143</v>
      </c>
      <c r="T19" s="22" t="n">
        <v>51.8466066666667</v>
      </c>
      <c r="U19" s="26" t="n">
        <v>6</v>
      </c>
      <c r="V19" s="27" t="n">
        <v>0.106666666666667</v>
      </c>
      <c r="W19" s="27" t="n">
        <v>0.0163299316185545</v>
      </c>
      <c r="X19" s="27" t="n">
        <v>0.00666666666666665</v>
      </c>
      <c r="Y19" s="27" t="n">
        <v>1.40833333333333</v>
      </c>
      <c r="Z19" s="27" t="n">
        <v>0.0563619256827396</v>
      </c>
      <c r="AA19" s="27" t="n">
        <v>0.0230096598072297</v>
      </c>
      <c r="AB19" s="27" t="n">
        <v>0.451063955714286</v>
      </c>
      <c r="AC19" s="27" t="n">
        <v>0.200255769484757</v>
      </c>
      <c r="AD19" s="27" t="n">
        <v>0.200036558520091</v>
      </c>
      <c r="AE19" s="28" t="n">
        <v>0.624166666666667</v>
      </c>
      <c r="AF19" s="28" t="n">
        <v>0.00939296427001498</v>
      </c>
      <c r="AG19" s="29" t="n">
        <v>10.7087024507069</v>
      </c>
      <c r="AH19" s="27" t="n">
        <v>0.403429550005036</v>
      </c>
      <c r="AI19" s="27" t="n">
        <f aca="false">VLOOKUP(B19,proft,2,0)</f>
        <v>10.6026433784806</v>
      </c>
      <c r="AJ19" s="27" t="n">
        <f aca="false">VLOOKUP(B19,proft,3,0)</f>
        <v>0.1038608551025</v>
      </c>
      <c r="AK19" s="27" t="s">
        <v>107</v>
      </c>
      <c r="AL19" s="14"/>
      <c r="AM19" s="33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30" t="n">
        <v>12.7913</v>
      </c>
      <c r="BB19" s="30" t="n">
        <v>2.405</v>
      </c>
      <c r="BC19" s="30" t="n">
        <v>0.02405</v>
      </c>
      <c r="BD19" s="31" t="n">
        <v>12.7913</v>
      </c>
      <c r="BE19" s="31" t="n">
        <v>2.405</v>
      </c>
      <c r="BF19" s="31" t="n">
        <v>0.02405</v>
      </c>
      <c r="BG19" s="14" t="n">
        <f aca="false">10^6/((BA19+273.15)^2)</f>
        <v>12.2305567010772</v>
      </c>
      <c r="BH19" s="14" t="n">
        <f aca="false">BG19*(2*($BE19/($BD19+273.15)))</f>
        <v>0.205737952972101</v>
      </c>
      <c r="BI19" s="14" t="n">
        <f aca="false">BG19*(2*($BF19/($BD19+273.15)))</f>
        <v>0.00205737952972101</v>
      </c>
      <c r="BK19" s="14" t="n">
        <f aca="false">10^6/((AG19+273.15)^2)</f>
        <v>12.4106798781871</v>
      </c>
      <c r="BL19" s="14" t="n">
        <f aca="false">BK19*(2*($AH19/($AG19+273.15)))</f>
        <v>0.0352769526196438</v>
      </c>
      <c r="BM19" s="14" t="n">
        <f aca="false">10^6/((AI19+273.15)^2)</f>
        <v>12.419959165739</v>
      </c>
      <c r="BN19" s="14" t="n">
        <f aca="false">BM19*(2*($AJ19/($AI19+273.15)))</f>
        <v>0.0090920568276166</v>
      </c>
    </row>
    <row r="20" s="37" customFormat="true" ht="16" hidden="false" customHeight="false" outlineLevel="0" collapsed="false">
      <c r="A20" s="22" t="s">
        <v>139</v>
      </c>
      <c r="B20" s="23" t="s">
        <v>140</v>
      </c>
      <c r="C20" s="14" t="s">
        <v>53</v>
      </c>
      <c r="D20" s="23" t="s">
        <v>141</v>
      </c>
      <c r="E20" s="24" t="s">
        <v>142</v>
      </c>
      <c r="F20" s="22" t="n">
        <v>26.69</v>
      </c>
      <c r="G20" s="22" t="n">
        <v>125.34</v>
      </c>
      <c r="H20" s="22" t="s">
        <v>56</v>
      </c>
      <c r="I20" s="22" t="s">
        <v>143</v>
      </c>
      <c r="J20" s="22" t="n">
        <v>326</v>
      </c>
      <c r="K20" s="25" t="s">
        <v>139</v>
      </c>
      <c r="L20" s="22" t="s">
        <v>144</v>
      </c>
      <c r="M20" s="22" t="s">
        <v>145</v>
      </c>
      <c r="N20" s="22" t="s">
        <v>146</v>
      </c>
      <c r="O20" s="22" t="s">
        <v>92</v>
      </c>
      <c r="P20" s="22" t="s">
        <v>92</v>
      </c>
      <c r="Q20" s="22" t="n">
        <v>4</v>
      </c>
      <c r="R20" s="25" t="s">
        <v>62</v>
      </c>
      <c r="S20" s="25" t="n">
        <v>34.718</v>
      </c>
      <c r="T20" s="22" t="n">
        <v>28.30481</v>
      </c>
      <c r="U20" s="26" t="n">
        <v>5</v>
      </c>
      <c r="V20" s="27" t="n">
        <v>0.768</v>
      </c>
      <c r="W20" s="27" t="n">
        <v>0.0228035085019828</v>
      </c>
      <c r="X20" s="27" t="n">
        <v>0.0101980390271856</v>
      </c>
      <c r="Y20" s="27" t="n">
        <v>-1.914</v>
      </c>
      <c r="Z20" s="27" t="n">
        <v>0.0250998007960223</v>
      </c>
      <c r="AA20" s="27" t="n">
        <v>0.0112249721603218</v>
      </c>
      <c r="AB20" s="27" t="n">
        <v>0.055020889</v>
      </c>
      <c r="AC20" s="27" t="n">
        <v>0.200846197440766</v>
      </c>
      <c r="AD20" s="27" t="n">
        <v>0.200423545306452</v>
      </c>
      <c r="AE20" s="28" t="n">
        <v>0.6158</v>
      </c>
      <c r="AF20" s="28" t="n">
        <v>0.0113903467901553</v>
      </c>
      <c r="AG20" s="29" t="n">
        <v>19.676251411438</v>
      </c>
      <c r="AH20" s="27" t="n">
        <v>0.324020925254294</v>
      </c>
      <c r="AI20" s="27" t="n">
        <f aca="false">VLOOKUP(B20,proft,2,0)</f>
        <v>23.7433369937115</v>
      </c>
      <c r="AJ20" s="27" t="n">
        <f aca="false">VLOOKUP(B20,proft,3,0)</f>
        <v>0.263259887695302</v>
      </c>
      <c r="AK20" s="27" t="s">
        <v>63</v>
      </c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30" t="n">
        <v>23.8994</v>
      </c>
      <c r="BB20" s="30" t="n">
        <v>2.218</v>
      </c>
      <c r="BC20" s="30" t="n">
        <v>0.02218</v>
      </c>
      <c r="BD20" s="31" t="n">
        <v>23.8994</v>
      </c>
      <c r="BE20" s="31" t="n">
        <v>2.218</v>
      </c>
      <c r="BF20" s="31" t="n">
        <v>0.02218</v>
      </c>
      <c r="BG20" s="14" t="n">
        <f aca="false">10^6/((BA20+273.15)^2)</f>
        <v>11.3329413443743</v>
      </c>
      <c r="BH20" s="14" t="n">
        <f aca="false">BG20*(2*($BE20/($BD20+273.15)))</f>
        <v>0.169240967339588</v>
      </c>
      <c r="BI20" s="14" t="n">
        <f aca="false">BG20*(2*($BF20/($BD20+273.15)))</f>
        <v>0.00169240967339588</v>
      </c>
      <c r="BK20" s="14" t="n">
        <f aca="false">10^6/((AG20+273.15)^2)</f>
        <v>11.6621865481051</v>
      </c>
      <c r="BL20" s="14" t="n">
        <f aca="false">BK20*(2*($AH20/($AG20+273.15)))</f>
        <v>0.0258091100616234</v>
      </c>
      <c r="BM20" s="14" t="n">
        <f aca="false">10^6/((AI20+273.15)^2)</f>
        <v>11.3448588751849</v>
      </c>
      <c r="BN20" s="14" t="n">
        <f aca="false">BM20*(2*($AJ20/($AI20+273.15)))</f>
        <v>0.0201193216637494</v>
      </c>
    </row>
    <row r="21" s="37" customFormat="true" ht="16" hidden="false" customHeight="false" outlineLevel="0" collapsed="false">
      <c r="A21" s="22" t="s">
        <v>100</v>
      </c>
      <c r="B21" s="38" t="s">
        <v>147</v>
      </c>
      <c r="C21" s="14" t="s">
        <v>53</v>
      </c>
      <c r="D21" s="23" t="s">
        <v>148</v>
      </c>
      <c r="E21" s="24" t="s">
        <v>149</v>
      </c>
      <c r="F21" s="22" t="n">
        <v>-53.35</v>
      </c>
      <c r="G21" s="22" t="n">
        <v>72.18</v>
      </c>
      <c r="H21" s="22" t="s">
        <v>125</v>
      </c>
      <c r="I21" s="22" t="s">
        <v>150</v>
      </c>
      <c r="J21" s="22" t="n">
        <v>958</v>
      </c>
      <c r="K21" s="25" t="s">
        <v>100</v>
      </c>
      <c r="L21" s="22" t="s">
        <v>104</v>
      </c>
      <c r="M21" s="22" t="s">
        <v>105</v>
      </c>
      <c r="N21" s="22" t="s">
        <v>151</v>
      </c>
      <c r="O21" s="22" t="s">
        <v>71</v>
      </c>
      <c r="P21" s="22" t="s">
        <v>71</v>
      </c>
      <c r="Q21" s="22" t="n">
        <v>5</v>
      </c>
      <c r="R21" s="25" t="s">
        <v>83</v>
      </c>
      <c r="S21" s="25" t="n">
        <v>33.8536666666667</v>
      </c>
      <c r="T21" s="22" t="n">
        <v>32.135932885906</v>
      </c>
      <c r="U21" s="26" t="n">
        <v>3</v>
      </c>
      <c r="V21" s="27" t="n">
        <v>0.486666666666667</v>
      </c>
      <c r="W21" s="27" t="n">
        <v>0.00577350269189626</v>
      </c>
      <c r="X21" s="27" t="n">
        <v>0.00333333333333334</v>
      </c>
      <c r="Y21" s="27" t="n">
        <v>3.3</v>
      </c>
      <c r="Z21" s="27" t="n">
        <v>0.0754983443527074</v>
      </c>
      <c r="AA21" s="27" t="n">
        <v>0.0435889894354067</v>
      </c>
      <c r="AB21" s="32" t="n">
        <v>-0.380149128571429</v>
      </c>
      <c r="AC21" s="27" t="n">
        <v>0.200388212954911</v>
      </c>
      <c r="AD21" s="27" t="n">
        <v>0.200055505116263</v>
      </c>
      <c r="AE21" s="28" t="n">
        <v>0.666333333333333</v>
      </c>
      <c r="AF21" s="28" t="n">
        <v>0.0186219702979512</v>
      </c>
      <c r="AG21" s="29" t="n">
        <v>2.769453729902</v>
      </c>
      <c r="AH21" s="27" t="n">
        <v>0.0831228297017378</v>
      </c>
      <c r="AI21" s="27" t="n">
        <f aca="false">VLOOKUP(B21,proft,2,0)</f>
        <v>2.79193711280823</v>
      </c>
      <c r="AJ21" s="27" t="n">
        <f aca="false">VLOOKUP(B21,proft,3,0)</f>
        <v>0.089419461786747</v>
      </c>
      <c r="AK21" s="39" t="s">
        <v>107</v>
      </c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30" t="n">
        <v>2.3407</v>
      </c>
      <c r="BB21" s="30" t="n">
        <v>2.429</v>
      </c>
      <c r="BC21" s="30" t="n">
        <v>0.02395</v>
      </c>
      <c r="BD21" s="31" t="n">
        <v>2.3407</v>
      </c>
      <c r="BE21" s="31" t="n">
        <v>2.429</v>
      </c>
      <c r="BF21" s="31" t="n">
        <v>0.02395</v>
      </c>
      <c r="BG21" s="14" t="n">
        <f aca="false">10^6/((BA21+273.15)^2)</f>
        <v>13.1760767195146</v>
      </c>
      <c r="BH21" s="14" t="n">
        <f aca="false">BG21*(2*($BE21/($BD21+273.15)))</f>
        <v>0.232346793207182</v>
      </c>
      <c r="BI21" s="14" t="n">
        <f aca="false">BG21*(2*($BF21/($BD21+273.15)))</f>
        <v>0.00229094512034253</v>
      </c>
      <c r="BK21" s="14" t="n">
        <f aca="false">10^6/((AG21+273.15)^2)</f>
        <v>13.1351596857954</v>
      </c>
      <c r="BL21" s="14" t="n">
        <f aca="false">BK21*(2*($AH21/($AG21+273.15)))</f>
        <v>0.00791413310593387</v>
      </c>
      <c r="BM21" s="14" t="n">
        <f aca="false">10^6/((AI21+273.15)^2)</f>
        <v>13.1330193022308</v>
      </c>
      <c r="BN21" s="14" t="n">
        <f aca="false">BM21*(2*($AJ21/($AI21+273.15)))</f>
        <v>0.00851155522011393</v>
      </c>
    </row>
    <row r="22" s="14" customFormat="true" ht="16" hidden="false" customHeight="false" outlineLevel="0" collapsed="false">
      <c r="A22" s="22" t="s">
        <v>74</v>
      </c>
      <c r="B22" s="23" t="s">
        <v>152</v>
      </c>
      <c r="C22" s="14" t="s">
        <v>53</v>
      </c>
      <c r="D22" s="23" t="s">
        <v>153</v>
      </c>
      <c r="E22" s="24" t="s">
        <v>149</v>
      </c>
      <c r="F22" s="22" t="n">
        <v>-53.35</v>
      </c>
      <c r="G22" s="22" t="n">
        <v>72.18</v>
      </c>
      <c r="H22" s="22" t="s">
        <v>120</v>
      </c>
      <c r="I22" s="22" t="s">
        <v>150</v>
      </c>
      <c r="J22" s="22" t="n">
        <v>958</v>
      </c>
      <c r="K22" s="25" t="s">
        <v>74</v>
      </c>
      <c r="L22" s="22" t="s">
        <v>80</v>
      </c>
      <c r="M22" s="22" t="s">
        <v>81</v>
      </c>
      <c r="N22" s="22" t="s">
        <v>82</v>
      </c>
      <c r="O22" s="22" t="s">
        <v>71</v>
      </c>
      <c r="P22" s="22" t="s">
        <v>71</v>
      </c>
      <c r="Q22" s="22" t="n">
        <v>5</v>
      </c>
      <c r="R22" s="25" t="s">
        <v>83</v>
      </c>
      <c r="S22" s="25" t="n">
        <v>33.86156</v>
      </c>
      <c r="T22" s="22" t="n">
        <v>32.135932885906</v>
      </c>
      <c r="U22" s="26" t="n">
        <v>3</v>
      </c>
      <c r="V22" s="27" t="n">
        <v>1.1575</v>
      </c>
      <c r="W22" s="27" t="n">
        <v>0.0309569593683445</v>
      </c>
      <c r="X22" s="27" t="n">
        <v>0.0154784796841723</v>
      </c>
      <c r="Y22" s="27" t="n">
        <v>3.2875</v>
      </c>
      <c r="Z22" s="27" t="n">
        <v>0.147280910734103</v>
      </c>
      <c r="AA22" s="27" t="n">
        <v>0.0736404553670513</v>
      </c>
      <c r="AB22" s="27" t="n">
        <v>-0.375181146</v>
      </c>
      <c r="AC22" s="27" t="n">
        <v>0.200523714291119</v>
      </c>
      <c r="AD22" s="27" t="n">
        <v>0.200052433125195</v>
      </c>
      <c r="AE22" s="28" t="n">
        <v>0.68275</v>
      </c>
      <c r="AF22" s="28" t="n">
        <v>0.0154400723228012</v>
      </c>
      <c r="AG22" s="29" t="n">
        <v>2.57459985256195</v>
      </c>
      <c r="AH22" s="27" t="n">
        <v>0.489552000728121</v>
      </c>
      <c r="AI22" s="27" t="n">
        <f aca="false">VLOOKUP(B22,proft,2,0)</f>
        <v>2.79193711280823</v>
      </c>
      <c r="AJ22" s="27" t="n">
        <f aca="false">VLOOKUP(B22,proft,3,0)</f>
        <v>0.089419461786747</v>
      </c>
      <c r="AK22" s="27" t="s">
        <v>84</v>
      </c>
      <c r="BA22" s="30" t="n">
        <v>2.1797</v>
      </c>
      <c r="BB22" s="30" t="n">
        <v>2.145</v>
      </c>
      <c r="BC22" s="30" t="n">
        <v>0.02145</v>
      </c>
      <c r="BD22" s="31" t="n">
        <v>2.1797</v>
      </c>
      <c r="BE22" s="31" t="n">
        <v>2.145</v>
      </c>
      <c r="BF22" s="31" t="n">
        <v>0.02145</v>
      </c>
      <c r="BG22" s="14" t="n">
        <f aca="false">10^6/((BA22+273.15)^2)</f>
        <v>13.1914907383055</v>
      </c>
      <c r="BH22" s="14" t="n">
        <f aca="false">BG22*(2*($BE22/($BD22+273.15)))</f>
        <v>0.205540830747031</v>
      </c>
      <c r="BI22" s="14" t="n">
        <f aca="false">BG22*(2*($BF22/($BD22+273.15)))</f>
        <v>0.00205540830747031</v>
      </c>
      <c r="BK22" s="14" t="n">
        <f aca="false">10^6/((AG22+273.15)^2)</f>
        <v>13.1537314140299</v>
      </c>
      <c r="BL22" s="14" t="n">
        <f aca="false">BK22*(2*($AH22/($AG22+273.15)))</f>
        <v>0.0467091839772151</v>
      </c>
      <c r="BM22" s="14" t="n">
        <f aca="false">10^6/((AI22+273.15)^2)</f>
        <v>13.1330193022308</v>
      </c>
      <c r="BN22" s="14" t="n">
        <f aca="false">BM22*(2*($AJ22/($AI22+273.15)))</f>
        <v>0.00851155522011393</v>
      </c>
    </row>
    <row r="23" s="37" customFormat="true" ht="16" hidden="false" customHeight="false" outlineLevel="0" collapsed="false">
      <c r="A23" s="22" t="s">
        <v>154</v>
      </c>
      <c r="B23" s="23" t="s">
        <v>155</v>
      </c>
      <c r="C23" s="14" t="s">
        <v>53</v>
      </c>
      <c r="D23" s="23" t="s">
        <v>156</v>
      </c>
      <c r="E23" s="24" t="s">
        <v>157</v>
      </c>
      <c r="F23" s="22" t="n">
        <v>24.33</v>
      </c>
      <c r="G23" s="22" t="n">
        <v>-83.25</v>
      </c>
      <c r="H23" s="22" t="s">
        <v>158</v>
      </c>
      <c r="I23" s="22" t="s">
        <v>159</v>
      </c>
      <c r="J23" s="22" t="n">
        <v>546</v>
      </c>
      <c r="K23" s="25" t="s">
        <v>154</v>
      </c>
      <c r="L23" s="22" t="s">
        <v>160</v>
      </c>
      <c r="M23" s="22" t="s">
        <v>161</v>
      </c>
      <c r="N23" s="22" t="s">
        <v>162</v>
      </c>
      <c r="O23" s="22" t="s">
        <v>71</v>
      </c>
      <c r="P23" s="22" t="s">
        <v>71</v>
      </c>
      <c r="Q23" s="22" t="n">
        <v>5</v>
      </c>
      <c r="R23" s="25" t="s">
        <v>62</v>
      </c>
      <c r="S23" s="25" t="n">
        <v>36.2192727272727</v>
      </c>
      <c r="T23" s="22" t="n">
        <v>45.456968</v>
      </c>
      <c r="U23" s="26" t="n">
        <v>3</v>
      </c>
      <c r="V23" s="27" t="n">
        <v>2.01333333333333</v>
      </c>
      <c r="W23" s="27" t="n">
        <v>0.0288675134594812</v>
      </c>
      <c r="X23" s="27" t="n">
        <v>0.0166666666666666</v>
      </c>
      <c r="Y23" s="27" t="n">
        <v>-1.76</v>
      </c>
      <c r="Z23" s="27" t="n">
        <v>0.104403065089105</v>
      </c>
      <c r="AA23" s="27" t="n">
        <v>0.0602771377334171</v>
      </c>
      <c r="AB23" s="27" t="n">
        <v>0.84408022</v>
      </c>
      <c r="AC23" s="27" t="n">
        <v>0.200143824684118</v>
      </c>
      <c r="AD23" s="27" t="n">
        <v>0.20002877320985</v>
      </c>
      <c r="AE23" s="28" t="n">
        <v>0.599666666666667</v>
      </c>
      <c r="AF23" s="28" t="n">
        <v>0.0163333333333333</v>
      </c>
      <c r="AG23" s="29" t="n">
        <v>26.6725117076527</v>
      </c>
      <c r="AH23" s="27" t="n">
        <v>0.315001585725403</v>
      </c>
      <c r="AI23" s="27" t="n">
        <f aca="false">VLOOKUP(B23,proft,2,0)</f>
        <v>27.4936464387386</v>
      </c>
      <c r="AJ23" s="27" t="n">
        <f aca="false">VLOOKUP(B23,proft,3,0)</f>
        <v>0.2823810577393</v>
      </c>
      <c r="AK23" s="27" t="s">
        <v>163</v>
      </c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30" t="n">
        <v>26.852</v>
      </c>
      <c r="BB23" s="30" t="n">
        <v>1.905</v>
      </c>
      <c r="BC23" s="30" t="n">
        <v>0.01905</v>
      </c>
      <c r="BD23" s="31" t="n">
        <v>26.852</v>
      </c>
      <c r="BE23" s="31" t="n">
        <v>1.905</v>
      </c>
      <c r="BF23" s="31" t="n">
        <v>0.01905</v>
      </c>
      <c r="BG23" s="14" t="n">
        <f aca="false">10^6/((BA23+273.15)^2)</f>
        <v>11.1109629644444</v>
      </c>
      <c r="BH23" s="14" t="n">
        <f aca="false">BG23*(2*($BE23/($BD23+273.15)))</f>
        <v>0.141108288926518</v>
      </c>
      <c r="BI23" s="14" t="n">
        <f aca="false">BG23*(2*($BF23/($BD23+273.15)))</f>
        <v>0.00141108288926518</v>
      </c>
      <c r="BK23" s="14" t="n">
        <f aca="false">10^6/((AG23+273.15)^2)</f>
        <v>11.1242700686784</v>
      </c>
      <c r="BL23" s="14" t="n">
        <f aca="false">BK23*(2*($AH23/($AG23+273.15)))</f>
        <v>0.0233749139897016</v>
      </c>
      <c r="BM23" s="14" t="n">
        <f aca="false">10^6/((AI23+273.15)^2)</f>
        <v>11.0635865966844</v>
      </c>
      <c r="BN23" s="14" t="n">
        <f aca="false">BM23*(2*($AJ23/($AI23+273.15)))</f>
        <v>0.0207830587645477</v>
      </c>
    </row>
    <row r="24" s="37" customFormat="true" ht="16" hidden="false" customHeight="false" outlineLevel="0" collapsed="false">
      <c r="A24" s="22" t="s">
        <v>67</v>
      </c>
      <c r="B24" s="23" t="s">
        <v>164</v>
      </c>
      <c r="C24" s="14" t="s">
        <v>53</v>
      </c>
      <c r="D24" s="23" t="s">
        <v>165</v>
      </c>
      <c r="E24" s="24" t="s">
        <v>157</v>
      </c>
      <c r="F24" s="22" t="n">
        <v>24.33</v>
      </c>
      <c r="G24" s="22" t="n">
        <v>-83.25</v>
      </c>
      <c r="H24" s="22" t="s">
        <v>158</v>
      </c>
      <c r="I24" s="22" t="s">
        <v>159</v>
      </c>
      <c r="J24" s="22" t="n">
        <v>546</v>
      </c>
      <c r="K24" s="25" t="s">
        <v>67</v>
      </c>
      <c r="L24" s="22" t="s">
        <v>68</v>
      </c>
      <c r="M24" s="22" t="s">
        <v>69</v>
      </c>
      <c r="N24" s="22" t="s">
        <v>162</v>
      </c>
      <c r="O24" s="22" t="s">
        <v>71</v>
      </c>
      <c r="P24" s="22" t="s">
        <v>71</v>
      </c>
      <c r="Q24" s="22" t="n">
        <v>5</v>
      </c>
      <c r="R24" s="25" t="s">
        <v>62</v>
      </c>
      <c r="S24" s="25" t="n">
        <v>36.2192727272727</v>
      </c>
      <c r="T24" s="22" t="n">
        <v>45.456968</v>
      </c>
      <c r="U24" s="26" t="n">
        <v>3</v>
      </c>
      <c r="V24" s="27" t="n">
        <v>2.33333333333333</v>
      </c>
      <c r="W24" s="27" t="n">
        <v>0.0208166599946613</v>
      </c>
      <c r="X24" s="27" t="n">
        <v>0.0120185042515466</v>
      </c>
      <c r="Y24" s="27" t="n">
        <v>-1.05</v>
      </c>
      <c r="Z24" s="27" t="n">
        <v>0.0529150262212919</v>
      </c>
      <c r="AA24" s="27" t="n">
        <v>0.030550504633039</v>
      </c>
      <c r="AB24" s="27" t="n">
        <v>0.84408022</v>
      </c>
      <c r="AC24" s="27" t="n">
        <v>0.200143824684118</v>
      </c>
      <c r="AD24" s="27" t="n">
        <v>0.20002877320985</v>
      </c>
      <c r="AE24" s="28" t="n">
        <v>0.592666666666667</v>
      </c>
      <c r="AF24" s="28" t="n">
        <v>0.00768837506311387</v>
      </c>
      <c r="AG24" s="29" t="n">
        <v>25.1756154840643</v>
      </c>
      <c r="AH24" s="27" t="n">
        <v>0.630925684651956</v>
      </c>
      <c r="AI24" s="27" t="n">
        <f aca="false">VLOOKUP(B24,proft,2,0)</f>
        <v>24.1738308377395</v>
      </c>
      <c r="AJ24" s="27" t="n">
        <f aca="false">VLOOKUP(B24,proft,3,0)</f>
        <v>0.3927612304687</v>
      </c>
      <c r="AK24" s="27" t="s">
        <v>72</v>
      </c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30" t="n">
        <v>24.6878</v>
      </c>
      <c r="BB24" s="30" t="n">
        <v>2.102</v>
      </c>
      <c r="BC24" s="30" t="n">
        <v>0.02102</v>
      </c>
      <c r="BD24" s="31" t="n">
        <v>24.6878</v>
      </c>
      <c r="BE24" s="31" t="n">
        <v>2.102</v>
      </c>
      <c r="BF24" s="31" t="n">
        <v>0.02102</v>
      </c>
      <c r="BG24" s="14" t="n">
        <f aca="false">10^6/((BA24+273.15)^2)</f>
        <v>11.2730223866222</v>
      </c>
      <c r="BH24" s="14" t="n">
        <f aca="false">BG24*(2*($BE24/($BD24+273.15)))</f>
        <v>0.159119447274187</v>
      </c>
      <c r="BI24" s="14" t="n">
        <f aca="false">BG24*(2*($BF24/($BD24+273.15)))</f>
        <v>0.00159119447274187</v>
      </c>
      <c r="BK24" s="14" t="n">
        <f aca="false">10^6/((AG24+273.15)^2)</f>
        <v>11.2361857320497</v>
      </c>
      <c r="BL24" s="14" t="n">
        <f aca="false">BK24*(2*($AH24/($AG24+273.15)))</f>
        <v>0.0475265804068957</v>
      </c>
      <c r="BM24" s="14" t="n">
        <f aca="false">10^6/((AI24+273.15)^2)</f>
        <v>11.3120303177782</v>
      </c>
      <c r="BN24" s="14" t="n">
        <f aca="false">BM24*(2*($AJ24/($AI24+273.15)))</f>
        <v>0.0298861139666566</v>
      </c>
    </row>
    <row r="25" s="37" customFormat="true" ht="16" hidden="false" customHeight="false" outlineLevel="0" collapsed="false">
      <c r="A25" s="22" t="s">
        <v>166</v>
      </c>
      <c r="B25" s="40" t="s">
        <v>167</v>
      </c>
      <c r="C25" s="14" t="s">
        <v>53</v>
      </c>
      <c r="D25" s="23" t="s">
        <v>168</v>
      </c>
      <c r="E25" s="24" t="s">
        <v>169</v>
      </c>
      <c r="F25" s="22" t="n">
        <v>24.5</v>
      </c>
      <c r="G25" s="22" t="n">
        <v>-79.2</v>
      </c>
      <c r="H25" s="22" t="s">
        <v>78</v>
      </c>
      <c r="I25" s="22" t="s">
        <v>170</v>
      </c>
      <c r="J25" s="22" t="n">
        <v>390</v>
      </c>
      <c r="K25" s="25" t="s">
        <v>171</v>
      </c>
      <c r="L25" s="22" t="s">
        <v>166</v>
      </c>
      <c r="M25" s="22"/>
      <c r="N25" s="22" t="n">
        <v>390</v>
      </c>
      <c r="O25" s="22" t="s">
        <v>172</v>
      </c>
      <c r="P25" s="22" t="s">
        <v>172</v>
      </c>
      <c r="Q25" s="22" t="n">
        <v>2</v>
      </c>
      <c r="R25" s="25" t="s">
        <v>83</v>
      </c>
      <c r="S25" s="25" t="n">
        <v>36.112</v>
      </c>
      <c r="T25" s="22" t="n">
        <v>58.8078360655738</v>
      </c>
      <c r="U25" s="41" t="n">
        <v>12</v>
      </c>
      <c r="V25" s="42" t="n">
        <v>1.3725</v>
      </c>
      <c r="W25" s="42" t="n">
        <v>0.0336087109920248</v>
      </c>
      <c r="X25" s="42" t="n">
        <v>0.00970199916918093</v>
      </c>
      <c r="Y25" s="42" t="n">
        <v>0.565833333333333</v>
      </c>
      <c r="Z25" s="42" t="n">
        <v>0.178654482850065</v>
      </c>
      <c r="AA25" s="42" t="n">
        <v>0.0515731068827093</v>
      </c>
      <c r="AB25" s="27" t="n">
        <v>0.827906056</v>
      </c>
      <c r="AC25" s="27" t="n">
        <v>0.2</v>
      </c>
      <c r="AD25" s="27" t="n">
        <v>0.2</v>
      </c>
      <c r="AE25" s="43" t="n">
        <v>0.615666666666666</v>
      </c>
      <c r="AF25" s="43" t="n">
        <v>0.00465528916091334</v>
      </c>
      <c r="AG25" s="29" t="n">
        <v>16.5000583648682</v>
      </c>
      <c r="AH25" s="27" t="n">
        <v>0.0875239513814449</v>
      </c>
      <c r="AI25" s="44" t="n">
        <v>16.5000583648682</v>
      </c>
      <c r="AJ25" s="44" t="n">
        <v>0.0875239513814449</v>
      </c>
      <c r="AK25" s="27" t="s">
        <v>63</v>
      </c>
      <c r="AL25" s="37" t="n">
        <f aca="false">IF(AND(O25="Benthic, infaunal",M25="elegans"),(0.243-SQRT(((Y25)-(AB25))*0.0012+0.053337))/0.0006,IF(O25="Benthic",(0.245-SQRT(((Y25)-(AB25))*0.0044+0.045461))/0.0022,IF(O25="Benthic, infaunal",(0.245-(SQRT(0.045461+0.0044*((Y25-0.47)-(AB25)))))/0.0022,IF(O25="Benthic, epifaunal",(0.245-SQRT(((Y25)-(AB25))*0.0044+0.045461))/0.0022))))</f>
        <v>15.6843770367355</v>
      </c>
      <c r="AM25" s="45" t="n">
        <v>-0.262072722666667</v>
      </c>
      <c r="AN25" s="45" t="n">
        <v>0.268174242317237</v>
      </c>
      <c r="AO25" s="46" t="n">
        <f aca="false">IF(NOT(M25="elegans"),(0.045461+0.0044*((AM25))),IF(M25="elegans",(0.053337+0.0012*((AM25)))))</f>
        <v>0.0443078800202667</v>
      </c>
      <c r="AP25" s="46" t="n">
        <v>0.00117996666619584</v>
      </c>
      <c r="AQ25" s="46" t="n">
        <v>0.210494370519182</v>
      </c>
      <c r="AR25" s="46" t="n">
        <v>0.00280284613618281</v>
      </c>
      <c r="AS25" s="46" t="n">
        <v>1.27402097099219</v>
      </c>
      <c r="AT25" s="45" t="n">
        <v>-0.262072722666667</v>
      </c>
      <c r="AU25" s="45" t="n">
        <v>0.206542454119087</v>
      </c>
      <c r="AV25" s="46" t="n">
        <v>0.0443078800202667</v>
      </c>
      <c r="AW25" s="46" t="n">
        <v>0.000908786798123985</v>
      </c>
      <c r="AX25" s="46" t="n">
        <v>0.210494370519182</v>
      </c>
      <c r="AY25" s="46" t="n">
        <v>0.00215869620617994</v>
      </c>
      <c r="AZ25" s="46" t="n">
        <v>0.981225548263608</v>
      </c>
      <c r="BA25" s="14"/>
      <c r="BB25" s="14"/>
      <c r="BC25" s="14"/>
      <c r="BD25" s="31" t="n">
        <f aca="false">AL25</f>
        <v>15.6843770367355</v>
      </c>
      <c r="BE25" s="31" t="n">
        <f aca="false">AS25</f>
        <v>1.27402097099219</v>
      </c>
      <c r="BF25" s="31" t="n">
        <f aca="false">AZ25</f>
        <v>0.981225548263608</v>
      </c>
      <c r="BG25" s="14" t="n">
        <f aca="false">10^6/((BD25+273.15)^2)</f>
        <v>11.986771778665</v>
      </c>
      <c r="BH25" s="14" t="n">
        <f aca="false">BG25*(2*($BE25/($BD25+273.15)))</f>
        <v>0.105745020916082</v>
      </c>
      <c r="BI25" s="14" t="n">
        <f aca="false">BG25*(2*($BF25/($BD25+273.15)))</f>
        <v>0.0814427065856876</v>
      </c>
      <c r="BK25" s="14" t="n">
        <f aca="false">10^6/((AG25+273.15)^2)</f>
        <v>11.919355124455</v>
      </c>
      <c r="BL25" s="14" t="n">
        <f aca="false">BK25*(2*($AH25/($AG25+273.15)))</f>
        <v>0.00720337544069705</v>
      </c>
      <c r="BM25" s="14" t="n">
        <f aca="false">10^6/((AI25+273.15)^2)</f>
        <v>11.919355124455</v>
      </c>
      <c r="BN25" s="14" t="n">
        <f aca="false">BM25*(2*($AJ25/($AI25+273.15)))</f>
        <v>0.00720337544069705</v>
      </c>
    </row>
    <row r="26" s="14" customFormat="true" ht="16" hidden="false" customHeight="false" outlineLevel="0" collapsed="false">
      <c r="A26" s="22" t="s">
        <v>173</v>
      </c>
      <c r="B26" s="40" t="s">
        <v>174</v>
      </c>
      <c r="C26" s="14" t="s">
        <v>53</v>
      </c>
      <c r="D26" s="23" t="s">
        <v>175</v>
      </c>
      <c r="E26" s="24" t="s">
        <v>169</v>
      </c>
      <c r="F26" s="22" t="n">
        <v>24.5</v>
      </c>
      <c r="G26" s="22" t="n">
        <v>-79.2</v>
      </c>
      <c r="H26" s="22" t="s">
        <v>78</v>
      </c>
      <c r="I26" s="22" t="s">
        <v>170</v>
      </c>
      <c r="J26" s="22" t="n">
        <v>390</v>
      </c>
      <c r="K26" s="25" t="s">
        <v>173</v>
      </c>
      <c r="L26" s="22" t="s">
        <v>176</v>
      </c>
      <c r="M26" s="22" t="s">
        <v>177</v>
      </c>
      <c r="N26" s="22" t="n">
        <v>390</v>
      </c>
      <c r="O26" s="22" t="s">
        <v>178</v>
      </c>
      <c r="P26" s="22" t="s">
        <v>178</v>
      </c>
      <c r="Q26" s="22" t="n">
        <v>1</v>
      </c>
      <c r="R26" s="25" t="s">
        <v>83</v>
      </c>
      <c r="S26" s="25" t="n">
        <v>36.112</v>
      </c>
      <c r="T26" s="22" t="n">
        <v>58.8078360655738</v>
      </c>
      <c r="U26" s="41" t="n">
        <v>3</v>
      </c>
      <c r="V26" s="42" t="n">
        <v>2.32</v>
      </c>
      <c r="W26" s="42" t="n">
        <v>0.0264575131106458</v>
      </c>
      <c r="X26" s="42" t="n">
        <v>0.0152752523165194</v>
      </c>
      <c r="Y26" s="42" t="n">
        <v>0.91</v>
      </c>
      <c r="Z26" s="42" t="n">
        <v>0.0608276253029822</v>
      </c>
      <c r="AA26" s="42" t="n">
        <v>0.0351188458428425</v>
      </c>
      <c r="AB26" s="27" t="n">
        <v>0.827906056</v>
      </c>
      <c r="AC26" s="27" t="n">
        <v>0.2</v>
      </c>
      <c r="AD26" s="27" t="n">
        <v>0.2</v>
      </c>
      <c r="AE26" s="43" t="n">
        <v>0.627666666666667</v>
      </c>
      <c r="AF26" s="43" t="n">
        <v>0.0139323763626709</v>
      </c>
      <c r="AG26" s="29" t="n">
        <v>16.5000583648682</v>
      </c>
      <c r="AH26" s="27" t="n">
        <v>0.0875239513814449</v>
      </c>
      <c r="AI26" s="44" t="n">
        <v>16.5000583648682</v>
      </c>
      <c r="AJ26" s="44" t="n">
        <v>0.0875239513814449</v>
      </c>
      <c r="AK26" s="27" t="s">
        <v>63</v>
      </c>
      <c r="AL26" s="14" t="n">
        <f aca="false">IF(AND(O26="Benthic, infaunal",M26="elegans"),(0.243-SQRT(((Y26)-(AB26))*0.0012+0.053337))/0.0006,IF(O26="Benthic",(0.245-SQRT(((Y26)-(AB26))*0.0044+0.045461))/0.0022,IF(O26="Benthic, infaunal",(0.245-(SQRT(0.045461+0.0044*((Y26-0.47)-(AB26)))))/0.0022,IF(O26="Benthic, epifaunal",(0.245-SQRT(((Y26)-(AB26))*0.0044+0.045461))/0.0022))))</f>
        <v>19.7312888212522</v>
      </c>
      <c r="AM26" s="45" t="n">
        <v>0.082093944</v>
      </c>
      <c r="AN26" s="45" t="n">
        <v>0.209045449603669</v>
      </c>
      <c r="AO26" s="46" t="n">
        <f aca="false">IF(NOT(M26="elegans"),(0.045461+0.0044*((AM26))),IF(M26="elegans",(0.053337+0.0012*((AM26)))))</f>
        <v>0.0534355127328</v>
      </c>
      <c r="AP26" s="46" t="n">
        <v>0.000250854539524402</v>
      </c>
      <c r="AQ26" s="46" t="n">
        <v>0.231161226707249</v>
      </c>
      <c r="AR26" s="46" t="n">
        <v>0.000542596487952744</v>
      </c>
      <c r="AS26" s="46" t="n">
        <v>0.90432747992124</v>
      </c>
      <c r="AT26" s="45" t="n">
        <v>0.082093944</v>
      </c>
      <c r="AU26" s="45" t="n">
        <v>0.203059925473574</v>
      </c>
      <c r="AV26" s="46" t="n">
        <v>0.0534355127328</v>
      </c>
      <c r="AW26" s="46" t="n">
        <v>0.000243671910568289</v>
      </c>
      <c r="AX26" s="46" t="n">
        <v>0.231161226707249</v>
      </c>
      <c r="AY26" s="46" t="n">
        <v>0.000527060515379778</v>
      </c>
      <c r="AZ26" s="46" t="n">
        <v>0.878434192299631</v>
      </c>
      <c r="BD26" s="31" t="n">
        <f aca="false">AL26</f>
        <v>19.7312888212522</v>
      </c>
      <c r="BE26" s="31" t="n">
        <f aca="false">AS26</f>
        <v>0.90432747992124</v>
      </c>
      <c r="BF26" s="31" t="n">
        <f aca="false">AZ26</f>
        <v>0.878434192299631</v>
      </c>
      <c r="BG26" s="14" t="n">
        <f aca="false">10^6/((BD26+273.15)^2)</f>
        <v>11.6578039107913</v>
      </c>
      <c r="BH26" s="14" t="n">
        <f aca="false">BG26*(2*($BE26/($BD26+273.15)))</f>
        <v>0.0719914370391617</v>
      </c>
      <c r="BI26" s="14" t="n">
        <f aca="false">BG26*(2*($BF26/($BD26+273.15)))</f>
        <v>0.0699301317853278</v>
      </c>
      <c r="BK26" s="14" t="n">
        <f aca="false">10^6/((AG26+273.15)^2)</f>
        <v>11.919355124455</v>
      </c>
      <c r="BL26" s="14" t="n">
        <f aca="false">BK26*(2*($AH26/($AG26+273.15)))</f>
        <v>0.00720337544069705</v>
      </c>
      <c r="BM26" s="14" t="n">
        <f aca="false">10^6/((AI26+273.15)^2)</f>
        <v>11.919355124455</v>
      </c>
      <c r="BN26" s="14" t="n">
        <f aca="false">BM26*(2*($AJ26/($AI26+273.15)))</f>
        <v>0.00720337544069705</v>
      </c>
    </row>
    <row r="27" s="14" customFormat="true" ht="16" hidden="false" customHeight="false" outlineLevel="0" collapsed="false">
      <c r="A27" s="22" t="s">
        <v>179</v>
      </c>
      <c r="B27" s="40" t="s">
        <v>180</v>
      </c>
      <c r="C27" s="14" t="s">
        <v>53</v>
      </c>
      <c r="D27" s="23" t="s">
        <v>181</v>
      </c>
      <c r="E27" s="24" t="s">
        <v>169</v>
      </c>
      <c r="F27" s="22" t="n">
        <v>24.5</v>
      </c>
      <c r="G27" s="22" t="n">
        <v>-79.2</v>
      </c>
      <c r="H27" s="22" t="s">
        <v>78</v>
      </c>
      <c r="I27" s="22" t="s">
        <v>170</v>
      </c>
      <c r="J27" s="22" t="n">
        <v>390</v>
      </c>
      <c r="K27" s="25" t="s">
        <v>179</v>
      </c>
      <c r="L27" s="22" t="s">
        <v>182</v>
      </c>
      <c r="M27" s="22" t="s">
        <v>183</v>
      </c>
      <c r="N27" s="22" t="n">
        <v>390</v>
      </c>
      <c r="O27" s="22" t="s">
        <v>172</v>
      </c>
      <c r="P27" s="22" t="s">
        <v>172</v>
      </c>
      <c r="Q27" s="22" t="n">
        <v>2</v>
      </c>
      <c r="R27" s="25" t="s">
        <v>83</v>
      </c>
      <c r="S27" s="25" t="n">
        <v>36.112</v>
      </c>
      <c r="T27" s="22" t="n">
        <v>58.8078360655738</v>
      </c>
      <c r="U27" s="41" t="n">
        <v>5</v>
      </c>
      <c r="V27" s="42" t="n">
        <v>1.506</v>
      </c>
      <c r="W27" s="42" t="n">
        <v>0.0568330889535313</v>
      </c>
      <c r="X27" s="42" t="n">
        <v>0.0254165300542777</v>
      </c>
      <c r="Y27" s="42" t="n">
        <v>0.572</v>
      </c>
      <c r="Z27" s="42" t="n">
        <v>0.0601664358259653</v>
      </c>
      <c r="AA27" s="42" t="n">
        <v>0.0269072480941474</v>
      </c>
      <c r="AB27" s="27" t="n">
        <v>0.827906056</v>
      </c>
      <c r="AC27" s="27" t="n">
        <v>0.2</v>
      </c>
      <c r="AD27" s="27" t="n">
        <v>0.2</v>
      </c>
      <c r="AE27" s="43" t="n">
        <v>0.6308</v>
      </c>
      <c r="AF27" s="43" t="n">
        <v>0.0107861021689951</v>
      </c>
      <c r="AG27" s="29" t="n">
        <v>16.5000583648682</v>
      </c>
      <c r="AH27" s="27" t="n">
        <v>0.0875239513814449</v>
      </c>
      <c r="AI27" s="44" t="n">
        <v>16.5000583648682</v>
      </c>
      <c r="AJ27" s="44" t="n">
        <v>0.0875239513814449</v>
      </c>
      <c r="AK27" s="27" t="s">
        <v>63</v>
      </c>
      <c r="AL27" s="14" t="n">
        <f aca="false">IF(AND(O27="Benthic, infaunal",M27="elegans"),(0.243-SQRT(((Y27)-(AB27))*0.0012+0.053337))/0.0006,IF(O27="Benthic",(0.245-SQRT(((Y27)-(AB27))*0.0044+0.045461))/0.0022,IF(O27="Benthic, infaunal",(0.245-(SQRT(0.045461+0.0044*((Y27-0.47)-(AB27)))))/0.0022,IF(O27="Benthic, epifaunal",(0.245-SQRT(((Y27)-(AB27))*0.0044+0.045461))/0.0022))))</f>
        <v>15.6550854084035</v>
      </c>
      <c r="AM27" s="45" t="n">
        <v>-0.255906056</v>
      </c>
      <c r="AN27" s="45" t="n">
        <v>0.208854016001608</v>
      </c>
      <c r="AO27" s="46" t="n">
        <f aca="false">IF(NOT(M27="elegans"),(0.045461+0.0044*((AM27))),IF(M27="elegans",(0.053337+0.0012*((AM27)))))</f>
        <v>0.0443350133536</v>
      </c>
      <c r="AP27" s="46" t="n">
        <v>0.000918957670407076</v>
      </c>
      <c r="AQ27" s="46" t="n">
        <v>0.210558812101512</v>
      </c>
      <c r="AR27" s="46" t="n">
        <v>0.00218218763022855</v>
      </c>
      <c r="AS27" s="46" t="n">
        <v>0.991903468285705</v>
      </c>
      <c r="AT27" s="45" t="n">
        <v>-0.255906056</v>
      </c>
      <c r="AU27" s="45" t="n">
        <v>0.201801883043742</v>
      </c>
      <c r="AV27" s="46" t="n">
        <v>0.0443350133536</v>
      </c>
      <c r="AW27" s="46" t="n">
        <v>0.000887928285392464</v>
      </c>
      <c r="AX27" s="46" t="n">
        <v>0.210558812101512</v>
      </c>
      <c r="AY27" s="46" t="n">
        <v>0.00210850421440539</v>
      </c>
      <c r="AZ27" s="46" t="n">
        <v>0.958411006547905</v>
      </c>
      <c r="BD27" s="31" t="n">
        <f aca="false">AL27</f>
        <v>15.6550854084035</v>
      </c>
      <c r="BE27" s="31" t="n">
        <f aca="false">AS27</f>
        <v>0.991903468285705</v>
      </c>
      <c r="BF27" s="31" t="n">
        <f aca="false">AZ27</f>
        <v>0.958411006547905</v>
      </c>
      <c r="BG27" s="14" t="n">
        <f aca="false">10^6/((BD27+273.15)^2)</f>
        <v>11.9892033831422</v>
      </c>
      <c r="BH27" s="14" t="n">
        <f aca="false">BG27*(2*($BE27/($BD27+273.15)))</f>
        <v>0.0823540375052927</v>
      </c>
      <c r="BI27" s="14" t="n">
        <f aca="false">BG27*(2*($BF27/($BD27+273.15)))</f>
        <v>0.0795732835929524</v>
      </c>
      <c r="BK27" s="14" t="n">
        <f aca="false">10^6/((AG27+273.15)^2)</f>
        <v>11.919355124455</v>
      </c>
      <c r="BL27" s="14" t="n">
        <f aca="false">BK27*(2*($AH27/($AG27+273.15)))</f>
        <v>0.00720337544069705</v>
      </c>
      <c r="BM27" s="14" t="n">
        <f aca="false">10^6/((AI27+273.15)^2)</f>
        <v>11.919355124455</v>
      </c>
      <c r="BN27" s="14" t="n">
        <f aca="false">BM27*(2*($AJ27/($AI27+273.15)))</f>
        <v>0.00720337544069705</v>
      </c>
    </row>
    <row r="28" s="14" customFormat="true" ht="16" hidden="false" customHeight="false" outlineLevel="0" collapsed="false">
      <c r="A28" s="22" t="s">
        <v>184</v>
      </c>
      <c r="B28" s="40" t="s">
        <v>185</v>
      </c>
      <c r="C28" s="14" t="s">
        <v>53</v>
      </c>
      <c r="D28" s="23" t="s">
        <v>186</v>
      </c>
      <c r="E28" s="24" t="s">
        <v>169</v>
      </c>
      <c r="F28" s="22" t="n">
        <v>24.5</v>
      </c>
      <c r="G28" s="22" t="n">
        <v>-79.2</v>
      </c>
      <c r="H28" s="22" t="s">
        <v>78</v>
      </c>
      <c r="I28" s="22" t="s">
        <v>170</v>
      </c>
      <c r="J28" s="22" t="n">
        <v>390</v>
      </c>
      <c r="K28" s="25" t="s">
        <v>187</v>
      </c>
      <c r="L28" s="22" t="s">
        <v>184</v>
      </c>
      <c r="M28" s="22"/>
      <c r="N28" s="22" t="n">
        <v>390</v>
      </c>
      <c r="O28" s="22" t="s">
        <v>178</v>
      </c>
      <c r="P28" s="22" t="s">
        <v>178</v>
      </c>
      <c r="Q28" s="22" t="n">
        <v>1</v>
      </c>
      <c r="R28" s="25" t="s">
        <v>83</v>
      </c>
      <c r="S28" s="25" t="n">
        <v>36.112</v>
      </c>
      <c r="T28" s="22" t="n">
        <v>58.8078360655738</v>
      </c>
      <c r="U28" s="41" t="n">
        <v>11</v>
      </c>
      <c r="V28" s="42" t="n">
        <v>0.400909090909091</v>
      </c>
      <c r="W28" s="42" t="n">
        <v>0.0356243022260213</v>
      </c>
      <c r="X28" s="42" t="n">
        <v>0.0107411312638123</v>
      </c>
      <c r="Y28" s="42" t="n">
        <v>1.22636363636364</v>
      </c>
      <c r="Z28" s="42" t="n">
        <v>0.162189563614477</v>
      </c>
      <c r="AA28" s="42" t="n">
        <v>0.0489019934018816</v>
      </c>
      <c r="AB28" s="27" t="n">
        <v>0.827906056</v>
      </c>
      <c r="AC28" s="27" t="n">
        <v>0.2</v>
      </c>
      <c r="AD28" s="27" t="n">
        <v>0.2</v>
      </c>
      <c r="AE28" s="43" t="n">
        <v>0.622454545454546</v>
      </c>
      <c r="AF28" s="43" t="n">
        <v>0.0105091852779657</v>
      </c>
      <c r="AG28" s="29" t="n">
        <v>16.5000583648682</v>
      </c>
      <c r="AH28" s="27" t="n">
        <v>0.0875239513814449</v>
      </c>
      <c r="AI28" s="44" t="n">
        <v>16.5000583648682</v>
      </c>
      <c r="AJ28" s="44" t="n">
        <v>0.0875239513814449</v>
      </c>
      <c r="AK28" s="27" t="s">
        <v>63</v>
      </c>
      <c r="AL28" s="14" t="n">
        <f aca="false">IF(AND(O28="Benthic, infaunal",M28="elegans"),(0.243-SQRT(((Y28)-(AB28))*0.0012+0.053337))/0.0006,IF(O28="Benthic",(0.245-SQRT(((Y28)-(AB28))*0.0044+0.045461))/0.0022,IF(O28="Benthic, infaunal",(0.245-(SQRT(0.045461+0.0044*((Y28-0.47)-(AB28)))))/0.0022,IF(O28="Benthic, epifaunal",(0.245-SQRT(((Y28)-(AB28))*0.0044+0.045461))/0.0022))))</f>
        <v>14.7834622504389</v>
      </c>
      <c r="AM28" s="45" t="n">
        <v>0.398457580363636</v>
      </c>
      <c r="AN28" s="45" t="n">
        <v>0.257498455423434</v>
      </c>
      <c r="AO28" s="46" t="n">
        <f aca="false">IF(NOT(M28="elegans"),(0.045461+0.0044*((AM28))),IF(M28="elegans",(0.053337+0.0012*((AM28)))))</f>
        <v>0.0472142133536</v>
      </c>
      <c r="AP28" s="46" t="n">
        <v>0.00113299320386311</v>
      </c>
      <c r="AQ28" s="46" t="n">
        <v>0.217288318493195</v>
      </c>
      <c r="AR28" s="46" t="n">
        <v>0.00260711945243986</v>
      </c>
      <c r="AS28" s="46" t="n">
        <v>1.18505429656357</v>
      </c>
      <c r="AT28" s="45" t="n">
        <v>0.398457580363636</v>
      </c>
      <c r="AU28" s="45" t="n">
        <v>0.205891731156639</v>
      </c>
      <c r="AV28" s="46" t="n">
        <v>0.0472142133536</v>
      </c>
      <c r="AW28" s="46" t="n">
        <v>0.000905923617089211</v>
      </c>
      <c r="AX28" s="46" t="n">
        <v>0.217288318493195</v>
      </c>
      <c r="AY28" s="46" t="n">
        <v>0.00208461187276753</v>
      </c>
      <c r="AZ28" s="46" t="n">
        <v>0.947550851257967</v>
      </c>
      <c r="BD28" s="31" t="n">
        <f aca="false">AL28</f>
        <v>14.7834622504389</v>
      </c>
      <c r="BE28" s="31" t="n">
        <f aca="false">AS28</f>
        <v>1.18505429656357</v>
      </c>
      <c r="BF28" s="31" t="n">
        <f aca="false">AZ28</f>
        <v>0.947550851257967</v>
      </c>
      <c r="BG28" s="14" t="n">
        <f aca="false">10^6/((BD28+273.15)^2)</f>
        <v>12.0618999310927</v>
      </c>
      <c r="BH28" s="14" t="n">
        <f aca="false">BG28*(2*($BE28/($BD28+273.15)))</f>
        <v>0.0992868715316498</v>
      </c>
      <c r="BI28" s="14" t="n">
        <f aca="false">BG28*(2*($BF28/($BD28+273.15)))</f>
        <v>0.0793882271144597</v>
      </c>
      <c r="BK28" s="14" t="n">
        <f aca="false">10^6/((AG28+273.15)^2)</f>
        <v>11.919355124455</v>
      </c>
      <c r="BL28" s="14" t="n">
        <f aca="false">BK28*(2*($AH28/($AG28+273.15)))</f>
        <v>0.00720337544069705</v>
      </c>
      <c r="BM28" s="14" t="n">
        <f aca="false">10^6/((AI28+273.15)^2)</f>
        <v>11.919355124455</v>
      </c>
      <c r="BN28" s="14" t="n">
        <f aca="false">BM28*(2*($AJ28/($AI28+273.15)))</f>
        <v>0.00720337544069705</v>
      </c>
    </row>
    <row r="29" s="14" customFormat="true" ht="16" hidden="false" customHeight="false" outlineLevel="0" collapsed="false">
      <c r="A29" s="22" t="s">
        <v>166</v>
      </c>
      <c r="B29" s="40" t="s">
        <v>188</v>
      </c>
      <c r="C29" s="14" t="s">
        <v>53</v>
      </c>
      <c r="D29" s="23" t="s">
        <v>189</v>
      </c>
      <c r="E29" s="24" t="s">
        <v>190</v>
      </c>
      <c r="F29" s="22" t="n">
        <v>24.2</v>
      </c>
      <c r="G29" s="22" t="n">
        <v>-83.3</v>
      </c>
      <c r="H29" s="22" t="s">
        <v>158</v>
      </c>
      <c r="I29" s="22" t="s">
        <v>191</v>
      </c>
      <c r="J29" s="22" t="n">
        <v>750</v>
      </c>
      <c r="K29" s="25" t="s">
        <v>171</v>
      </c>
      <c r="L29" s="22" t="s">
        <v>166</v>
      </c>
      <c r="M29" s="22"/>
      <c r="N29" s="22" t="n">
        <v>750</v>
      </c>
      <c r="O29" s="22" t="s">
        <v>172</v>
      </c>
      <c r="P29" s="22" t="s">
        <v>172</v>
      </c>
      <c r="Q29" s="22" t="n">
        <v>2</v>
      </c>
      <c r="R29" s="25" t="s">
        <v>83</v>
      </c>
      <c r="S29" s="25" t="n">
        <v>34.901</v>
      </c>
      <c r="T29" s="22" t="n">
        <v>44.9214701195219</v>
      </c>
      <c r="U29" s="41" t="n">
        <v>9</v>
      </c>
      <c r="V29" s="42" t="n">
        <v>0.767777777777778</v>
      </c>
      <c r="W29" s="42" t="n">
        <v>0.0253859103528797</v>
      </c>
      <c r="X29" s="42" t="n">
        <v>0.00846197011762657</v>
      </c>
      <c r="Y29" s="42" t="n">
        <v>2.28444444444444</v>
      </c>
      <c r="Z29" s="42" t="n">
        <v>0.0729916281348606</v>
      </c>
      <c r="AA29" s="42" t="n">
        <v>0.0243305427116202</v>
      </c>
      <c r="AB29" s="27" t="n">
        <v>0.22499483</v>
      </c>
      <c r="AC29" s="27" t="n">
        <v>0.2</v>
      </c>
      <c r="AD29" s="27" t="n">
        <v>0.2</v>
      </c>
      <c r="AE29" s="43" t="n">
        <v>0.671777777777778</v>
      </c>
      <c r="AF29" s="43" t="n">
        <v>0.00752731650903298</v>
      </c>
      <c r="AG29" s="29" t="n">
        <v>6.75129127502441</v>
      </c>
      <c r="AH29" s="27" t="n">
        <v>0.0743986049334386</v>
      </c>
      <c r="AI29" s="44" t="n">
        <v>6.75129127502441</v>
      </c>
      <c r="AJ29" s="44" t="n">
        <v>0.0743986049334386</v>
      </c>
      <c r="AK29" s="27" t="s">
        <v>63</v>
      </c>
      <c r="AL29" s="14" t="n">
        <f aca="false">IF(AND(O29="Benthic, infaunal",M29="elegans"),(0.243-SQRT(((Y29)-(AB29))*0.0012+0.053337))/0.0006,IF(O29="Benthic",(0.245-SQRT(((Y29)-(AB29))*0.0044+0.045461))/0.0022,IF(O29="Benthic, infaunal",(0.245-(SQRT(0.045461+0.0044*((Y29-0.47)-(AB29)))))/0.0022,IF(O29="Benthic, epifaunal",(0.245-SQRT(((Y29)-(AB29))*0.0044+0.045461))/0.0022))))</f>
        <v>5.22695317981182</v>
      </c>
      <c r="AM29" s="45" t="n">
        <v>2.05944961444444</v>
      </c>
      <c r="AN29" s="45" t="n">
        <v>0.212903212229825</v>
      </c>
      <c r="AO29" s="46" t="n">
        <f aca="false">IF(NOT(M29="elegans"),(0.045461+0.0044*((AM29))),IF(M29="elegans",(0.053337+0.0012*((AM29)))))</f>
        <v>0.0545225783035556</v>
      </c>
      <c r="AP29" s="46" t="n">
        <v>0.000936774133811229</v>
      </c>
      <c r="AQ29" s="46" t="n">
        <v>0.233500703004414</v>
      </c>
      <c r="AR29" s="46" t="n">
        <v>0.00200593429004263</v>
      </c>
      <c r="AS29" s="46" t="n">
        <v>0.911788313655741</v>
      </c>
      <c r="AT29" s="45" t="n">
        <v>2.05944961444444</v>
      </c>
      <c r="AU29" s="45" t="n">
        <v>0.201474502874786</v>
      </c>
      <c r="AV29" s="46" t="n">
        <v>0.0545225783035556</v>
      </c>
      <c r="AW29" s="46" t="n">
        <v>0.000886487812649057</v>
      </c>
      <c r="AX29" s="46" t="n">
        <v>0.233500703004414</v>
      </c>
      <c r="AY29" s="46" t="n">
        <v>0.00189825512566508</v>
      </c>
      <c r="AZ29" s="46" t="n">
        <v>0.862843238938672</v>
      </c>
      <c r="BD29" s="31" t="n">
        <f aca="false">AL29</f>
        <v>5.22695317981182</v>
      </c>
      <c r="BE29" s="31" t="n">
        <f aca="false">AS29</f>
        <v>0.911788313655741</v>
      </c>
      <c r="BF29" s="31" t="n">
        <f aca="false">AZ29</f>
        <v>0.862843238938672</v>
      </c>
      <c r="BG29" s="14" t="n">
        <f aca="false">10^6/((BD29+273.15)^2)</f>
        <v>12.9042701262756</v>
      </c>
      <c r="BH29" s="14" t="n">
        <f aca="false">BG29*(2*($BE29/($BD29+273.15)))</f>
        <v>0.0845325919620581</v>
      </c>
      <c r="BI29" s="14" t="n">
        <f aca="false">BG29*(2*($BF29/($BD29+273.15)))</f>
        <v>0.0799948566482311</v>
      </c>
      <c r="BK29" s="14" t="n">
        <f aca="false">10^6/((AG29+273.15)^2)</f>
        <v>12.7640999404495</v>
      </c>
      <c r="BL29" s="14" t="n">
        <f aca="false">BK29*(2*($AH29/($AG29+273.15)))</f>
        <v>0.00678547229614129</v>
      </c>
      <c r="BM29" s="14" t="n">
        <f aca="false">10^6/((AI29+273.15)^2)</f>
        <v>12.7640999404495</v>
      </c>
      <c r="BN29" s="14" t="n">
        <f aca="false">BM29*(2*($AJ29/($AI29+273.15)))</f>
        <v>0.00678547229614129</v>
      </c>
    </row>
    <row r="30" s="14" customFormat="true" ht="16" hidden="false" customHeight="false" outlineLevel="0" collapsed="false">
      <c r="A30" s="22" t="s">
        <v>173</v>
      </c>
      <c r="B30" s="40" t="s">
        <v>192</v>
      </c>
      <c r="C30" s="14" t="s">
        <v>53</v>
      </c>
      <c r="D30" s="23" t="s">
        <v>193</v>
      </c>
      <c r="E30" s="24" t="s">
        <v>190</v>
      </c>
      <c r="F30" s="22" t="n">
        <v>24.2</v>
      </c>
      <c r="G30" s="22" t="n">
        <v>-83.3</v>
      </c>
      <c r="H30" s="22" t="s">
        <v>158</v>
      </c>
      <c r="I30" s="22" t="s">
        <v>191</v>
      </c>
      <c r="J30" s="22" t="n">
        <v>750</v>
      </c>
      <c r="K30" s="25" t="s">
        <v>173</v>
      </c>
      <c r="L30" s="22" t="s">
        <v>176</v>
      </c>
      <c r="M30" s="22" t="s">
        <v>177</v>
      </c>
      <c r="N30" s="22" t="n">
        <v>750</v>
      </c>
      <c r="O30" s="22" t="s">
        <v>178</v>
      </c>
      <c r="P30" s="22" t="s">
        <v>178</v>
      </c>
      <c r="Q30" s="22" t="n">
        <v>1</v>
      </c>
      <c r="R30" s="25" t="s">
        <v>83</v>
      </c>
      <c r="S30" s="25" t="n">
        <v>34.901</v>
      </c>
      <c r="T30" s="22" t="n">
        <v>44.9214701195219</v>
      </c>
      <c r="U30" s="41" t="n">
        <v>10</v>
      </c>
      <c r="V30" s="42" t="n">
        <v>1.905</v>
      </c>
      <c r="W30" s="42" t="n">
        <v>0.0452769256906871</v>
      </c>
      <c r="X30" s="42" t="n">
        <v>0.0143178210632763</v>
      </c>
      <c r="Y30" s="42" t="n">
        <v>2.482</v>
      </c>
      <c r="Z30" s="42" t="n">
        <v>0.0646013415753368</v>
      </c>
      <c r="AA30" s="42" t="n">
        <v>0.0204287379280594</v>
      </c>
      <c r="AB30" s="27" t="n">
        <v>0.22499483</v>
      </c>
      <c r="AC30" s="27" t="n">
        <v>0.2</v>
      </c>
      <c r="AD30" s="27" t="n">
        <v>0.2</v>
      </c>
      <c r="AE30" s="43" t="n">
        <v>0.6422</v>
      </c>
      <c r="AF30" s="43" t="n">
        <v>0.00780000000000001</v>
      </c>
      <c r="AG30" s="29" t="n">
        <v>6.75129127502441</v>
      </c>
      <c r="AH30" s="27" t="n">
        <v>0.0743986049334386</v>
      </c>
      <c r="AI30" s="44" t="n">
        <v>6.75129127502441</v>
      </c>
      <c r="AJ30" s="44" t="n">
        <v>0.0743986049334386</v>
      </c>
      <c r="AK30" s="27" t="s">
        <v>63</v>
      </c>
      <c r="AL30" s="14" t="n">
        <f aca="false">IF(AND(O30="Benthic, infaunal",M30="elegans"),(0.243-SQRT(((Y30)-(AB30))*0.0012+0.053337))/0.0006,IF(O30="Benthic",(0.245-SQRT(((Y30)-(AB30))*0.0044+0.045461))/0.0022,IF(O30="Benthic, infaunal",(0.245-(SQRT(0.045461+0.0044*((Y30-0.47)-(AB30)))))/0.0022,IF(O30="Benthic, epifaunal",(0.245-SQRT(((Y30)-(AB30))*0.0044+0.045461))/0.0022))))</f>
        <v>10.4348166652309</v>
      </c>
      <c r="AM30" s="45" t="n">
        <v>2.25700517</v>
      </c>
      <c r="AN30" s="45" t="n">
        <v>0.210174530648538</v>
      </c>
      <c r="AO30" s="46" t="n">
        <f aca="false">IF(NOT(M30="elegans"),(0.045461+0.0044*((AM30))),IF(M30="elegans",(0.053337+0.0012*((AM30)))))</f>
        <v>0.056045406204</v>
      </c>
      <c r="AP30" s="46" t="n">
        <v>0.000252209436778246</v>
      </c>
      <c r="AQ30" s="46" t="n">
        <v>0.236739110000862</v>
      </c>
      <c r="AR30" s="46" t="n">
        <v>0.000532673787565832</v>
      </c>
      <c r="AS30" s="46" t="n">
        <v>0.887789645943053</v>
      </c>
      <c r="AT30" s="45" t="n">
        <v>2.25700517</v>
      </c>
      <c r="AU30" s="45" t="n">
        <v>0.201040626076754</v>
      </c>
      <c r="AV30" s="46" t="n">
        <v>0.056045406204</v>
      </c>
      <c r="AW30" s="46" t="n">
        <v>0.000241248751292105</v>
      </c>
      <c r="AX30" s="46" t="n">
        <v>0.236739110000862</v>
      </c>
      <c r="AY30" s="46" t="n">
        <v>0.000509524495743917</v>
      </c>
      <c r="AZ30" s="46" t="n">
        <v>0.849207492906528</v>
      </c>
      <c r="BD30" s="31" t="n">
        <f aca="false">AL30</f>
        <v>10.4348166652309</v>
      </c>
      <c r="BE30" s="31" t="n">
        <f aca="false">AS30</f>
        <v>0.887789645943053</v>
      </c>
      <c r="BF30" s="31" t="n">
        <f aca="false">AZ30</f>
        <v>0.849207492906528</v>
      </c>
      <c r="BG30" s="14" t="n">
        <f aca="false">10^6/((BD30+273.15)^2)</f>
        <v>12.434663886032</v>
      </c>
      <c r="BH30" s="14" t="n">
        <f aca="false">BG30*(2*($BE30/($BD30+273.15)))</f>
        <v>0.0778558314836231</v>
      </c>
      <c r="BI30" s="14" t="n">
        <f aca="false">BG30*(2*($BF30/($BD30+273.15)))</f>
        <v>0.0744723209653221</v>
      </c>
      <c r="BK30" s="14" t="n">
        <f aca="false">10^6/((AG30+273.15)^2)</f>
        <v>12.7640999404495</v>
      </c>
      <c r="BL30" s="14" t="n">
        <f aca="false">BK30*(2*($AH30/($AG30+273.15)))</f>
        <v>0.00678547229614129</v>
      </c>
      <c r="BM30" s="14" t="n">
        <f aca="false">10^6/((AI30+273.15)^2)</f>
        <v>12.7640999404495</v>
      </c>
      <c r="BN30" s="14" t="n">
        <f aca="false">BM30*(2*($AJ30/($AI30+273.15)))</f>
        <v>0.00678547229614129</v>
      </c>
    </row>
    <row r="31" s="14" customFormat="true" ht="16" hidden="false" customHeight="false" outlineLevel="0" collapsed="false">
      <c r="A31" s="22" t="s">
        <v>184</v>
      </c>
      <c r="B31" s="40" t="s">
        <v>194</v>
      </c>
      <c r="C31" s="14" t="s">
        <v>53</v>
      </c>
      <c r="D31" s="23" t="s">
        <v>195</v>
      </c>
      <c r="E31" s="24" t="s">
        <v>190</v>
      </c>
      <c r="F31" s="22" t="n">
        <v>24.2</v>
      </c>
      <c r="G31" s="22" t="n">
        <v>-83.3</v>
      </c>
      <c r="H31" s="22" t="s">
        <v>158</v>
      </c>
      <c r="I31" s="22" t="s">
        <v>191</v>
      </c>
      <c r="J31" s="22" t="n">
        <v>750</v>
      </c>
      <c r="K31" s="25" t="s">
        <v>187</v>
      </c>
      <c r="L31" s="22" t="s">
        <v>184</v>
      </c>
      <c r="M31" s="22"/>
      <c r="N31" s="22" t="n">
        <v>750</v>
      </c>
      <c r="O31" s="22" t="s">
        <v>178</v>
      </c>
      <c r="P31" s="22" t="s">
        <v>178</v>
      </c>
      <c r="Q31" s="22" t="n">
        <v>1</v>
      </c>
      <c r="R31" s="25" t="s">
        <v>83</v>
      </c>
      <c r="S31" s="25" t="n">
        <v>34.901</v>
      </c>
      <c r="T31" s="22" t="n">
        <v>44.9214701195219</v>
      </c>
      <c r="U31" s="41" t="n">
        <v>8</v>
      </c>
      <c r="V31" s="42" t="n">
        <v>-0.12</v>
      </c>
      <c r="W31" s="42" t="n">
        <v>0.0272554057547698</v>
      </c>
      <c r="X31" s="42" t="n">
        <v>0.0096362411165943</v>
      </c>
      <c r="Y31" s="42" t="n">
        <v>2.885</v>
      </c>
      <c r="Z31" s="42" t="n">
        <v>0.186700677173766</v>
      </c>
      <c r="AA31" s="42" t="n">
        <v>0.0660086574408453</v>
      </c>
      <c r="AB31" s="27" t="n">
        <v>0.22499483</v>
      </c>
      <c r="AC31" s="27" t="n">
        <v>0.2</v>
      </c>
      <c r="AD31" s="27" t="n">
        <v>0.2</v>
      </c>
      <c r="AE31" s="43" t="n">
        <v>0.662625</v>
      </c>
      <c r="AF31" s="43" t="n">
        <v>0.00977412308817815</v>
      </c>
      <c r="AG31" s="29" t="n">
        <v>6.75129127502441</v>
      </c>
      <c r="AH31" s="27" t="n">
        <v>0.0743986049334386</v>
      </c>
      <c r="AI31" s="44" t="n">
        <v>6.75129127502441</v>
      </c>
      <c r="AJ31" s="44" t="n">
        <v>0.0743986049334386</v>
      </c>
      <c r="AK31" s="27" t="s">
        <v>63</v>
      </c>
      <c r="AL31" s="14" t="n">
        <f aca="false">IF(AND(O31="Benthic, infaunal",M31="elegans"),(0.243-SQRT(((Y31)-(AB31))*0.0012+0.053337))/0.0006,IF(O31="Benthic",(0.245-SQRT(((Y31)-(AB31))*0.0044+0.045461))/0.0022,IF(O31="Benthic, infaunal",(0.245-(SQRT(0.045461+0.0044*((Y31-0.47)-(AB31)))))/0.0022,IF(O31="Benthic, epifaunal",(0.245-SQRT(((Y31)-(AB31))*0.0044+0.045461))/0.0022))))</f>
        <v>4.6692954361513</v>
      </c>
      <c r="AM31" s="45" t="n">
        <v>2.66000517</v>
      </c>
      <c r="AN31" s="45" t="n">
        <v>0.273600334168551</v>
      </c>
      <c r="AO31" s="46" t="n">
        <f aca="false">IF(NOT(M31="elegans"),(0.045461+0.0044*((AM31))),IF(M31="elegans",(0.053337+0.0012*((AM31)))))</f>
        <v>0.057165022748</v>
      </c>
      <c r="AP31" s="46" t="n">
        <v>0.00120384147034163</v>
      </c>
      <c r="AQ31" s="46" t="n">
        <v>0.239092080061218</v>
      </c>
      <c r="AR31" s="46" t="n">
        <v>0.00251752686670631</v>
      </c>
      <c r="AS31" s="46" t="n">
        <v>1.14433039395741</v>
      </c>
      <c r="AT31" s="45" t="n">
        <v>2.66000517</v>
      </c>
      <c r="AU31" s="45" t="n">
        <v>0.210611355005239</v>
      </c>
      <c r="AV31" s="46" t="n">
        <v>0.057165022748</v>
      </c>
      <c r="AW31" s="46" t="n">
        <v>0.000926689962023052</v>
      </c>
      <c r="AX31" s="46" t="n">
        <v>0.239092080061218</v>
      </c>
      <c r="AY31" s="46" t="n">
        <v>0.00193793529627953</v>
      </c>
      <c r="AZ31" s="46" t="n">
        <v>0.880879680127059</v>
      </c>
      <c r="BD31" s="31" t="n">
        <f aca="false">AL31</f>
        <v>4.6692954361513</v>
      </c>
      <c r="BE31" s="31" t="n">
        <f aca="false">AS31</f>
        <v>1.14433039395741</v>
      </c>
      <c r="BF31" s="31" t="n">
        <f aca="false">AZ31</f>
        <v>0.880879680127059</v>
      </c>
      <c r="BG31" s="14" t="n">
        <f aca="false">10^6/((BD31+273.15)^2)</f>
        <v>12.9561267726431</v>
      </c>
      <c r="BH31" s="14" t="n">
        <f aca="false">BG31*(2*($BE31/($BD31+273.15)))</f>
        <v>0.106731892978313</v>
      </c>
      <c r="BI31" s="14" t="n">
        <f aca="false">BG31*(2*($BF31/($BD31+273.15)))</f>
        <v>0.0821597995146766</v>
      </c>
      <c r="BK31" s="14" t="n">
        <f aca="false">10^6/((AG31+273.15)^2)</f>
        <v>12.7640999404495</v>
      </c>
      <c r="BL31" s="14" t="n">
        <f aca="false">BK31*(2*($AH31/($AG31+273.15)))</f>
        <v>0.00678547229614129</v>
      </c>
      <c r="BM31" s="14" t="n">
        <f aca="false">10^6/((AI31+273.15)^2)</f>
        <v>12.7640999404495</v>
      </c>
      <c r="BN31" s="14" t="n">
        <f aca="false">BM31*(2*($AJ31/($AI31+273.15)))</f>
        <v>0.00678547229614129</v>
      </c>
    </row>
    <row r="32" s="14" customFormat="true" ht="16" hidden="false" customHeight="false" outlineLevel="0" collapsed="false">
      <c r="A32" s="22" t="s">
        <v>166</v>
      </c>
      <c r="B32" s="40" t="s">
        <v>196</v>
      </c>
      <c r="C32" s="14" t="s">
        <v>53</v>
      </c>
      <c r="D32" s="23" t="s">
        <v>197</v>
      </c>
      <c r="E32" s="24" t="s">
        <v>198</v>
      </c>
      <c r="F32" s="22" t="n">
        <v>24.2</v>
      </c>
      <c r="G32" s="22" t="n">
        <v>-83.3</v>
      </c>
      <c r="H32" s="22" t="s">
        <v>158</v>
      </c>
      <c r="I32" s="22" t="s">
        <v>159</v>
      </c>
      <c r="J32" s="22" t="n">
        <v>648</v>
      </c>
      <c r="K32" s="25" t="s">
        <v>171</v>
      </c>
      <c r="L32" s="22" t="s">
        <v>166</v>
      </c>
      <c r="M32" s="22"/>
      <c r="N32" s="22" t="n">
        <v>648</v>
      </c>
      <c r="O32" s="22" t="s">
        <v>172</v>
      </c>
      <c r="P32" s="22" t="s">
        <v>172</v>
      </c>
      <c r="Q32" s="22" t="n">
        <v>2</v>
      </c>
      <c r="R32" s="25" t="s">
        <v>83</v>
      </c>
      <c r="S32" s="25" t="n">
        <v>34.9565</v>
      </c>
      <c r="T32" s="22" t="n">
        <v>44.9304103585657</v>
      </c>
      <c r="U32" s="41" t="n">
        <v>5</v>
      </c>
      <c r="V32" s="42" t="n">
        <v>0.842</v>
      </c>
      <c r="W32" s="42" t="n">
        <v>0.0130384048104053</v>
      </c>
      <c r="X32" s="42" t="n">
        <v>0.00583095189484531</v>
      </c>
      <c r="Y32" s="42" t="n">
        <v>2.194</v>
      </c>
      <c r="Z32" s="42" t="n">
        <v>0.0313049516849971</v>
      </c>
      <c r="AA32" s="42" t="n">
        <v>0.014</v>
      </c>
      <c r="AB32" s="27" t="n">
        <v>0.2899595268</v>
      </c>
      <c r="AC32" s="27" t="n">
        <v>0.2</v>
      </c>
      <c r="AD32" s="27" t="n">
        <v>0.2</v>
      </c>
      <c r="AE32" s="43" t="n">
        <v>0.6612</v>
      </c>
      <c r="AF32" s="43" t="n">
        <v>0.00721387551874858</v>
      </c>
      <c r="AG32" s="29" t="n">
        <v>7.75941673278809</v>
      </c>
      <c r="AH32" s="27" t="n">
        <v>0.0743986049334386</v>
      </c>
      <c r="AI32" s="44" t="n">
        <v>7.75941673278809</v>
      </c>
      <c r="AJ32" s="44" t="n">
        <v>0.0743986049334386</v>
      </c>
      <c r="AK32" s="27" t="s">
        <v>63</v>
      </c>
      <c r="AL32" s="14" t="n">
        <f aca="false">IF(AND(O32="Benthic, infaunal",M32="elegans"),(0.243-SQRT(((Y32)-(AB32))*0.0012+0.053337))/0.0006,IF(O32="Benthic",(0.245-SQRT(((Y32)-(AB32))*0.0044+0.045461))/0.0022,IF(O32="Benthic, infaunal",(0.245-(SQRT(0.045461+0.0044*((Y32-0.47)-(AB32)))))/0.0022,IF(O32="Benthic, epifaunal",(0.245-SQRT(((Y32)-(AB32))*0.0044+0.045461))/0.0022))))</f>
        <v>5.89461494137894</v>
      </c>
      <c r="AM32" s="45" t="n">
        <v>1.9040404732</v>
      </c>
      <c r="AN32" s="45" t="n">
        <v>0.202435174809123</v>
      </c>
      <c r="AO32" s="46" t="n">
        <f aca="false">IF(NOT(M32="elegans"),(0.045461+0.0044*((AM32))),IF(M32="elegans",(0.053337+0.0012*((AM32)))))</f>
        <v>0.05383877808208</v>
      </c>
      <c r="AP32" s="46" t="n">
        <v>0.000890714769160139</v>
      </c>
      <c r="AQ32" s="46" t="n">
        <v>0.232031847128966</v>
      </c>
      <c r="AR32" s="46" t="n">
        <v>0.00191938042165623</v>
      </c>
      <c r="AS32" s="46" t="n">
        <v>0.872445646207378</v>
      </c>
      <c r="AT32" s="45" t="n">
        <v>1.9040404732</v>
      </c>
      <c r="AU32" s="45" t="n">
        <v>0.200489401216124</v>
      </c>
      <c r="AV32" s="46" t="n">
        <v>0.05383877808208</v>
      </c>
      <c r="AW32" s="46" t="n">
        <v>0.000882153365350946</v>
      </c>
      <c r="AX32" s="46" t="n">
        <v>0.232031847128966</v>
      </c>
      <c r="AY32" s="46" t="n">
        <v>0.00190093165284469</v>
      </c>
      <c r="AZ32" s="46" t="n">
        <v>0.864059842202133</v>
      </c>
      <c r="BD32" s="31" t="n">
        <f aca="false">AL32</f>
        <v>5.89461494137894</v>
      </c>
      <c r="BE32" s="31" t="n">
        <f aca="false">AS32</f>
        <v>0.872445646207378</v>
      </c>
      <c r="BF32" s="31" t="n">
        <f aca="false">AZ32</f>
        <v>0.864059842202133</v>
      </c>
      <c r="BG32" s="14" t="n">
        <f aca="false">10^6/((BD32+273.15)^2)</f>
        <v>12.8425926739012</v>
      </c>
      <c r="BH32" s="14" t="n">
        <f aca="false">BG32*(2*($BE32/($BD32+273.15)))</f>
        <v>0.0803058970818243</v>
      </c>
      <c r="BI32" s="14" t="n">
        <f aca="false">BG32*(2*($BF32/($BD32+273.15)))</f>
        <v>0.0795340100120441</v>
      </c>
      <c r="BK32" s="14" t="n">
        <f aca="false">10^6/((AG32+273.15)^2)</f>
        <v>12.6726489361301</v>
      </c>
      <c r="BL32" s="14" t="n">
        <f aca="false">BK32*(2*($AH32/($AG32+273.15)))</f>
        <v>0.00671267921613435</v>
      </c>
      <c r="BM32" s="14" t="n">
        <f aca="false">10^6/((AI32+273.15)^2)</f>
        <v>12.6726489361301</v>
      </c>
      <c r="BN32" s="14" t="n">
        <f aca="false">BM32*(2*($AJ32/($AI32+273.15)))</f>
        <v>0.00671267921613435</v>
      </c>
    </row>
    <row r="33" s="14" customFormat="true" ht="16" hidden="false" customHeight="false" outlineLevel="0" collapsed="false">
      <c r="A33" s="22" t="s">
        <v>173</v>
      </c>
      <c r="B33" s="40" t="s">
        <v>199</v>
      </c>
      <c r="C33" s="14" t="s">
        <v>53</v>
      </c>
      <c r="D33" s="23" t="s">
        <v>200</v>
      </c>
      <c r="E33" s="24" t="s">
        <v>201</v>
      </c>
      <c r="F33" s="22" t="n">
        <v>24.2</v>
      </c>
      <c r="G33" s="22" t="n">
        <v>-83.3</v>
      </c>
      <c r="H33" s="22" t="s">
        <v>158</v>
      </c>
      <c r="I33" s="22" t="s">
        <v>191</v>
      </c>
      <c r="J33" s="22" t="n">
        <v>648</v>
      </c>
      <c r="K33" s="25" t="s">
        <v>173</v>
      </c>
      <c r="L33" s="22" t="s">
        <v>176</v>
      </c>
      <c r="M33" s="22" t="s">
        <v>177</v>
      </c>
      <c r="N33" s="22" t="n">
        <v>648</v>
      </c>
      <c r="O33" s="22" t="s">
        <v>178</v>
      </c>
      <c r="P33" s="22" t="s">
        <v>178</v>
      </c>
      <c r="Q33" s="22" t="n">
        <v>1</v>
      </c>
      <c r="R33" s="25" t="s">
        <v>83</v>
      </c>
      <c r="S33" s="25" t="n">
        <v>34.9565</v>
      </c>
      <c r="T33" s="22" t="n">
        <v>44.9304103585657</v>
      </c>
      <c r="U33" s="41" t="n">
        <v>4</v>
      </c>
      <c r="V33" s="42" t="n">
        <v>2.055</v>
      </c>
      <c r="W33" s="42" t="n">
        <v>0.0238047614284761</v>
      </c>
      <c r="X33" s="42" t="n">
        <v>0.011902380714238</v>
      </c>
      <c r="Y33" s="42" t="n">
        <v>2.655</v>
      </c>
      <c r="Z33" s="42" t="n">
        <v>0.0387298334620741</v>
      </c>
      <c r="AA33" s="42" t="n">
        <v>0.0193649167310371</v>
      </c>
      <c r="AB33" s="27" t="n">
        <v>0.2899595268</v>
      </c>
      <c r="AC33" s="27" t="n">
        <v>0.2</v>
      </c>
      <c r="AD33" s="27" t="n">
        <v>0.2</v>
      </c>
      <c r="AE33" s="43" t="n">
        <v>0.6635</v>
      </c>
      <c r="AF33" s="43" t="n">
        <v>0.00870344759276461</v>
      </c>
      <c r="AG33" s="29" t="n">
        <v>7.75941673278809</v>
      </c>
      <c r="AH33" s="27" t="n">
        <v>0.0743986049334386</v>
      </c>
      <c r="AI33" s="44" t="n">
        <v>7.75941673278809</v>
      </c>
      <c r="AJ33" s="44" t="n">
        <v>0.0743986049334386</v>
      </c>
      <c r="AK33" s="27" t="s">
        <v>63</v>
      </c>
      <c r="AL33" s="14" t="n">
        <f aca="false">IF(AND(O33="Benthic, infaunal",M33="elegans"),(0.243-SQRT(((Y33)-(AB33))*0.0012+0.053337))/0.0006,IF(O33="Benthic",(0.245-SQRT(((Y33)-(AB33))*0.0044+0.045461))/0.0022,IF(O33="Benthic, infaunal",(0.245-(SQRT(0.045461+0.0044*((Y33-0.47)-(AB33)))))/0.0022,IF(O33="Benthic, epifaunal",(0.245-SQRT(((Y33)-(AB33))*0.0044+0.045461))/0.0022))))</f>
        <v>9.97873275311705</v>
      </c>
      <c r="AM33" s="45" t="n">
        <v>2.3650404732</v>
      </c>
      <c r="AN33" s="45" t="n">
        <v>0.203715487874634</v>
      </c>
      <c r="AO33" s="46" t="n">
        <f aca="false">IF(NOT(M33="elegans"),(0.045461+0.0044*((AM33))),IF(M33="elegans",(0.053337+0.0012*((AM33)))))</f>
        <v>0.05617504856784</v>
      </c>
      <c r="AP33" s="46" t="n">
        <v>0.00024445858544956</v>
      </c>
      <c r="AQ33" s="46" t="n">
        <v>0.23701276034813</v>
      </c>
      <c r="AR33" s="46" t="n">
        <v>0.000515707646057735</v>
      </c>
      <c r="AS33" s="46" t="n">
        <v>0.859512743429559</v>
      </c>
      <c r="AT33" s="45" t="n">
        <v>2.3650404732</v>
      </c>
      <c r="AU33" s="45" t="n">
        <v>0.200935312974101</v>
      </c>
      <c r="AV33" s="46" t="n">
        <v>0.05617504856784</v>
      </c>
      <c r="AW33" s="46" t="n">
        <v>0.000241122375568921</v>
      </c>
      <c r="AX33" s="46" t="n">
        <v>0.23701276034813</v>
      </c>
      <c r="AY33" s="46" t="n">
        <v>0.00050866960752399</v>
      </c>
      <c r="AZ33" s="46" t="n">
        <v>0.84778267920665</v>
      </c>
      <c r="BD33" s="31" t="n">
        <f aca="false">AL33</f>
        <v>9.97873275311705</v>
      </c>
      <c r="BE33" s="31" t="n">
        <f aca="false">AS33</f>
        <v>0.859512743429559</v>
      </c>
      <c r="BF33" s="31" t="n">
        <f aca="false">AZ33</f>
        <v>0.84778267920665</v>
      </c>
      <c r="BG33" s="14" t="n">
        <f aca="false">10^6/((BD33+273.15)^2)</f>
        <v>12.4747574358631</v>
      </c>
      <c r="BH33" s="14" t="n">
        <f aca="false">BG33*(2*($BE33/($BD33+273.15)))</f>
        <v>0.0757409033202333</v>
      </c>
      <c r="BI33" s="14" t="n">
        <f aca="false">BG33*(2*($BF33/($BD33+273.15)))</f>
        <v>0.074707241321573</v>
      </c>
      <c r="BK33" s="14" t="n">
        <f aca="false">10^6/((AG33+273.15)^2)</f>
        <v>12.6726489361301</v>
      </c>
      <c r="BL33" s="14" t="n">
        <f aca="false">BK33*(2*($AH33/($AG33+273.15)))</f>
        <v>0.00671267921613435</v>
      </c>
      <c r="BM33" s="14" t="n">
        <f aca="false">10^6/((AI33+273.15)^2)</f>
        <v>12.6726489361301</v>
      </c>
      <c r="BN33" s="14" t="n">
        <f aca="false">BM33*(2*($AJ33/($AI33+273.15)))</f>
        <v>0.00671267921613435</v>
      </c>
    </row>
    <row r="34" s="14" customFormat="true" ht="16" hidden="false" customHeight="false" outlineLevel="0" collapsed="false">
      <c r="A34" s="22" t="s">
        <v>184</v>
      </c>
      <c r="B34" s="40" t="s">
        <v>202</v>
      </c>
      <c r="C34" s="14" t="s">
        <v>53</v>
      </c>
      <c r="D34" s="23" t="s">
        <v>203</v>
      </c>
      <c r="E34" s="24" t="s">
        <v>201</v>
      </c>
      <c r="F34" s="22" t="n">
        <v>24.2</v>
      </c>
      <c r="G34" s="22" t="n">
        <v>-83.3</v>
      </c>
      <c r="H34" s="22" t="s">
        <v>158</v>
      </c>
      <c r="I34" s="22" t="s">
        <v>191</v>
      </c>
      <c r="J34" s="22" t="n">
        <v>648</v>
      </c>
      <c r="K34" s="25" t="s">
        <v>187</v>
      </c>
      <c r="L34" s="22" t="s">
        <v>184</v>
      </c>
      <c r="M34" s="22"/>
      <c r="N34" s="22" t="n">
        <v>648</v>
      </c>
      <c r="O34" s="22" t="s">
        <v>178</v>
      </c>
      <c r="P34" s="22" t="s">
        <v>178</v>
      </c>
      <c r="Q34" s="22" t="n">
        <v>1</v>
      </c>
      <c r="R34" s="25" t="s">
        <v>83</v>
      </c>
      <c r="S34" s="25" t="n">
        <v>34.9565</v>
      </c>
      <c r="T34" s="22" t="n">
        <v>44.9304103585657</v>
      </c>
      <c r="U34" s="41" t="n">
        <v>7</v>
      </c>
      <c r="V34" s="42" t="n">
        <v>-0.228571428571429</v>
      </c>
      <c r="W34" s="42" t="n">
        <v>0.0448807944925859</v>
      </c>
      <c r="X34" s="42" t="n">
        <v>0.0169633458386257</v>
      </c>
      <c r="Y34" s="42" t="n">
        <v>2.74571428571429</v>
      </c>
      <c r="Z34" s="42" t="n">
        <v>0.0830375703837612</v>
      </c>
      <c r="AA34" s="42" t="n">
        <v>0.0313852515300649</v>
      </c>
      <c r="AB34" s="27" t="n">
        <v>0.2899595268</v>
      </c>
      <c r="AC34" s="27" t="n">
        <v>0.2</v>
      </c>
      <c r="AD34" s="27" t="n">
        <v>0.2</v>
      </c>
      <c r="AE34" s="43" t="n">
        <v>0.661714285714286</v>
      </c>
      <c r="AF34" s="43" t="n">
        <v>0.0171112804420752</v>
      </c>
      <c r="AG34" s="29" t="n">
        <v>7.75941673278809</v>
      </c>
      <c r="AH34" s="27" t="n">
        <v>0.0743986049334386</v>
      </c>
      <c r="AI34" s="44" t="n">
        <v>7.75941673278809</v>
      </c>
      <c r="AJ34" s="44" t="n">
        <v>0.0743986049334386</v>
      </c>
      <c r="AK34" s="27" t="s">
        <v>63</v>
      </c>
      <c r="AL34" s="14" t="n">
        <f aca="false">IF(AND(O34="Benthic, infaunal",M34="elegans"),(0.243-SQRT(((Y34)-(AB34))*0.0012+0.053337))/0.0006,IF(O34="Benthic",(0.245-SQRT(((Y34)-(AB34))*0.0044+0.045461))/0.0022,IF(O34="Benthic, infaunal",(0.245-(SQRT(0.045461+0.0044*((Y34-0.47)-(AB34)))))/0.0022,IF(O34="Benthic, epifaunal",(0.245-SQRT(((Y34)-(AB34))*0.0044+0.045461))/0.0022))))</f>
        <v>5.54303253784868</v>
      </c>
      <c r="AM34" s="45" t="n">
        <v>2.45575475891429</v>
      </c>
      <c r="AN34" s="45" t="n">
        <v>0.216553083781409</v>
      </c>
      <c r="AO34" s="46" t="n">
        <f aca="false">IF(NOT(M34="elegans"),(0.045461+0.0044*((AM34))),IF(M34="elegans",(0.053337+0.0012*((AM34)))))</f>
        <v>0.0562663209392229</v>
      </c>
      <c r="AP34" s="46" t="n">
        <v>0.000952833568638201</v>
      </c>
      <c r="AQ34" s="46" t="n">
        <v>0.23720522957815</v>
      </c>
      <c r="AR34" s="46" t="n">
        <v>0.00200845818267316</v>
      </c>
      <c r="AS34" s="46" t="n">
        <v>0.912935537578709</v>
      </c>
      <c r="AT34" s="45" t="n">
        <v>2.45575475891429</v>
      </c>
      <c r="AU34" s="45" t="n">
        <v>0.202447608070842</v>
      </c>
      <c r="AV34" s="46" t="n">
        <v>0.0562663209392229</v>
      </c>
      <c r="AW34" s="46" t="n">
        <v>0.000890769475511707</v>
      </c>
      <c r="AX34" s="46" t="n">
        <v>0.23720522957815</v>
      </c>
      <c r="AY34" s="46" t="n">
        <v>0.00187763456374016</v>
      </c>
      <c r="AZ34" s="46" t="n">
        <v>0.853470256245526</v>
      </c>
      <c r="BD34" s="31" t="n">
        <f aca="false">AL34</f>
        <v>5.54303253784868</v>
      </c>
      <c r="BE34" s="31" t="n">
        <f aca="false">AS34</f>
        <v>0.912935537578709</v>
      </c>
      <c r="BF34" s="31" t="n">
        <f aca="false">AZ34</f>
        <v>0.853470256245526</v>
      </c>
      <c r="BG34" s="14" t="n">
        <f aca="false">10^6/((BD34+273.15)^2)</f>
        <v>12.8750160009578</v>
      </c>
      <c r="BH34" s="14" t="n">
        <f aca="false">BG34*(2*($BE34/($BD34+273.15)))</f>
        <v>0.0843512989695756</v>
      </c>
      <c r="BI34" s="14" t="n">
        <f aca="false">BG34*(2*($BF34/($BD34+273.15)))</f>
        <v>0.0788569639178931</v>
      </c>
      <c r="BK34" s="14" t="n">
        <f aca="false">10^6/((AG34+273.15)^2)</f>
        <v>12.6726489361301</v>
      </c>
      <c r="BL34" s="14" t="n">
        <f aca="false">BK34*(2*($AH34/($AG34+273.15)))</f>
        <v>0.00671267921613435</v>
      </c>
      <c r="BM34" s="14" t="n">
        <f aca="false">10^6/((AI34+273.15)^2)</f>
        <v>12.6726489361301</v>
      </c>
      <c r="BN34" s="14" t="n">
        <f aca="false">BM34*(2*($AJ34/($AI34+273.15)))</f>
        <v>0.00671267921613435</v>
      </c>
    </row>
    <row r="35" s="14" customFormat="true" ht="16" hidden="false" customHeight="false" outlineLevel="0" collapsed="false">
      <c r="A35" s="22" t="s">
        <v>166</v>
      </c>
      <c r="B35" s="40" t="s">
        <v>204</v>
      </c>
      <c r="C35" s="14" t="s">
        <v>53</v>
      </c>
      <c r="D35" s="23" t="s">
        <v>197</v>
      </c>
      <c r="E35" s="24" t="s">
        <v>201</v>
      </c>
      <c r="F35" s="22" t="n">
        <v>24.2</v>
      </c>
      <c r="G35" s="22" t="n">
        <v>-83.3</v>
      </c>
      <c r="H35" s="22" t="s">
        <v>158</v>
      </c>
      <c r="I35" s="22" t="s">
        <v>191</v>
      </c>
      <c r="J35" s="22" t="n">
        <v>648</v>
      </c>
      <c r="K35" s="25" t="s">
        <v>171</v>
      </c>
      <c r="L35" s="22" t="s">
        <v>166</v>
      </c>
      <c r="M35" s="22"/>
      <c r="N35" s="22" t="n">
        <v>648</v>
      </c>
      <c r="O35" s="22" t="s">
        <v>172</v>
      </c>
      <c r="P35" s="22" t="s">
        <v>172</v>
      </c>
      <c r="Q35" s="22" t="n">
        <v>2</v>
      </c>
      <c r="R35" s="25" t="s">
        <v>83</v>
      </c>
      <c r="S35" s="25" t="n">
        <v>34.9565</v>
      </c>
      <c r="T35" s="22" t="n">
        <v>44.9304103585657</v>
      </c>
      <c r="U35" s="41" t="n">
        <v>6</v>
      </c>
      <c r="V35" s="42" t="n">
        <v>0.705</v>
      </c>
      <c r="W35" s="42" t="n">
        <v>0.0242899156029822</v>
      </c>
      <c r="X35" s="42" t="n">
        <v>0.00991631652042901</v>
      </c>
      <c r="Y35" s="42" t="n">
        <v>2.23333333333333</v>
      </c>
      <c r="Z35" s="42" t="n">
        <v>0.0488535225614966</v>
      </c>
      <c r="AA35" s="42" t="n">
        <v>0.0199443670688688</v>
      </c>
      <c r="AB35" s="27" t="n">
        <v>0.2899595268</v>
      </c>
      <c r="AC35" s="27" t="n">
        <v>0.2</v>
      </c>
      <c r="AD35" s="27" t="n">
        <v>0.2</v>
      </c>
      <c r="AE35" s="43" t="n">
        <v>0.640833333333333</v>
      </c>
      <c r="AF35" s="43" t="n">
        <v>0.00723609778203081</v>
      </c>
      <c r="AG35" s="29" t="n">
        <v>7.75941673278809</v>
      </c>
      <c r="AH35" s="27" t="n">
        <v>0.0743986049334386</v>
      </c>
      <c r="AI35" s="27" t="n">
        <f aca="false">VLOOKUP(B35,proft,2,0)</f>
        <v>5.93071822300222</v>
      </c>
      <c r="AJ35" s="27" t="n">
        <f aca="false">VLOOKUP(B35,proft,3,0)</f>
        <v>0.42315149307251</v>
      </c>
      <c r="AK35" s="27" t="s">
        <v>63</v>
      </c>
      <c r="AL35" s="14" t="n">
        <f aca="false">IF(AND(O35="Benthic, infaunal",M35="elegans"),(0.243-SQRT(((Y35)-(AB35))*0.0012+0.053337))/0.0006,IF(O35="Benthic",(0.245-SQRT(((Y35)-(AB35))*0.0044+0.045461))/0.0022,IF(O35="Benthic, infaunal",(0.245-(SQRT(0.045461+0.0044*((Y35-0.47)-(AB35)))))/0.0022,IF(O35="Benthic, epifaunal",(0.245-SQRT(((Y35)-(AB35))*0.0044+0.045461))/0.0022))))</f>
        <v>5.72523399249971</v>
      </c>
      <c r="AM35" s="45" t="n">
        <v>1.94337380653333</v>
      </c>
      <c r="AN35" s="45" t="n">
        <v>0.205880224078629</v>
      </c>
      <c r="AO35" s="46" t="n">
        <f aca="false">IF(NOT(M35="elegans"),(0.045461+0.0044*((AM35))),IF(M35="elegans",(0.053337+0.0012*((AM35)))))</f>
        <v>0.0540118447487467</v>
      </c>
      <c r="AP35" s="46" t="n">
        <v>0.00090587298594597</v>
      </c>
      <c r="AQ35" s="46" t="n">
        <v>0.232404485216501</v>
      </c>
      <c r="AR35" s="46" t="n">
        <v>0.00194891459410107</v>
      </c>
      <c r="AS35" s="46" t="n">
        <v>0.885870270045941</v>
      </c>
      <c r="AT35" s="45" t="n">
        <v>1.94337380653333</v>
      </c>
      <c r="AU35" s="45" t="n">
        <v>0.200991984362008</v>
      </c>
      <c r="AV35" s="46" t="n">
        <v>0.0540118447487467</v>
      </c>
      <c r="AW35" s="46" t="n">
        <v>0.000884364731192837</v>
      </c>
      <c r="AX35" s="46" t="n">
        <v>0.232404485216501</v>
      </c>
      <c r="AY35" s="46" t="n">
        <v>0.00190264127297068</v>
      </c>
      <c r="AZ35" s="46" t="n">
        <v>0.8648369422594</v>
      </c>
      <c r="BD35" s="31" t="n">
        <f aca="false">AL35</f>
        <v>5.72523399249971</v>
      </c>
      <c r="BE35" s="31" t="n">
        <f aca="false">AS35</f>
        <v>0.885870270045941</v>
      </c>
      <c r="BF35" s="31" t="n">
        <f aca="false">AZ35</f>
        <v>0.8648369422594</v>
      </c>
      <c r="BG35" s="14" t="n">
        <f aca="false">10^6/((BD35+273.15)^2)</f>
        <v>12.8581978684326</v>
      </c>
      <c r="BH35" s="14" t="n">
        <f aca="false">BG35*(2*($BE35/($BD35+273.15)))</f>
        <v>0.0816902602281195</v>
      </c>
      <c r="BI35" s="14" t="n">
        <f aca="false">BG35*(2*($BF35/($BD35+273.15)))</f>
        <v>0.0797506782391486</v>
      </c>
      <c r="BK35" s="14" t="n">
        <f aca="false">10^6/((AG35+273.15)^2)</f>
        <v>12.6726489361301</v>
      </c>
      <c r="BL35" s="14" t="n">
        <f aca="false">BK35*(2*($AH35/($AG35+273.15)))</f>
        <v>0.00671267921613435</v>
      </c>
      <c r="BM35" s="14" t="n">
        <f aca="false">10^6/((AI35+273.15)^2)</f>
        <v>12.8392701244083</v>
      </c>
      <c r="BN35" s="14" t="n">
        <f aca="false">BM35*(2*($AJ35/($AI35+273.15)))</f>
        <v>0.0389346591745788</v>
      </c>
    </row>
    <row r="36" s="14" customFormat="true" ht="16" hidden="false" customHeight="false" outlineLevel="0" collapsed="false">
      <c r="A36" s="22" t="s">
        <v>154</v>
      </c>
      <c r="B36" s="23" t="s">
        <v>205</v>
      </c>
      <c r="C36" s="14" t="s">
        <v>53</v>
      </c>
      <c r="D36" s="23" t="s">
        <v>206</v>
      </c>
      <c r="E36" s="24" t="s">
        <v>207</v>
      </c>
      <c r="F36" s="22" t="n">
        <v>0</v>
      </c>
      <c r="G36" s="22" t="n">
        <v>-156</v>
      </c>
      <c r="H36" s="22" t="s">
        <v>56</v>
      </c>
      <c r="I36" s="22" t="s">
        <v>208</v>
      </c>
      <c r="J36" s="22" t="n">
        <v>3050</v>
      </c>
      <c r="K36" s="25" t="s">
        <v>154</v>
      </c>
      <c r="L36" s="22" t="s">
        <v>160</v>
      </c>
      <c r="M36" s="22" t="s">
        <v>161</v>
      </c>
      <c r="N36" s="22" t="s">
        <v>162</v>
      </c>
      <c r="O36" s="22" t="s">
        <v>71</v>
      </c>
      <c r="P36" s="22" t="s">
        <v>71</v>
      </c>
      <c r="Q36" s="22" t="n">
        <v>5</v>
      </c>
      <c r="R36" s="25" t="s">
        <v>62</v>
      </c>
      <c r="S36" s="25" t="n">
        <v>35.1607272727273</v>
      </c>
      <c r="T36" s="22" t="n">
        <v>-5.31611739130435</v>
      </c>
      <c r="U36" s="26" t="n">
        <v>3</v>
      </c>
      <c r="V36" s="27" t="n">
        <v>1.56666666666667</v>
      </c>
      <c r="W36" s="27" t="n">
        <v>0.0404145188432738</v>
      </c>
      <c r="X36" s="27" t="n">
        <v>0.0233333333333334</v>
      </c>
      <c r="Y36" s="27" t="n">
        <v>-0.513333333333333</v>
      </c>
      <c r="Z36" s="27" t="n">
        <v>0.0152752523165195</v>
      </c>
      <c r="AA36" s="27" t="n">
        <v>0.00881917103688198</v>
      </c>
      <c r="AB36" s="27" t="n">
        <v>0.399574824</v>
      </c>
      <c r="AC36" s="27" t="n">
        <v>0.222421984069211</v>
      </c>
      <c r="AD36" s="27" t="n">
        <v>0.20468099032264</v>
      </c>
      <c r="AE36" s="28" t="n">
        <v>0.604333333333333</v>
      </c>
      <c r="AF36" s="28" t="n">
        <v>0.00296273147243853</v>
      </c>
      <c r="AG36" s="29" t="n">
        <v>27.0522008375688</v>
      </c>
      <c r="AH36" s="27" t="n">
        <v>0.0931819674294649</v>
      </c>
      <c r="AI36" s="27" t="n">
        <f aca="false">VLOOKUP(B36,proft,2,0)</f>
        <v>18.5318543247938</v>
      </c>
      <c r="AJ36" s="27" t="n">
        <f aca="false">VLOOKUP(B36,proft,3,0)</f>
        <v>3.3219356536865</v>
      </c>
      <c r="AK36" s="27" t="s">
        <v>163</v>
      </c>
      <c r="BA36" s="30" t="n">
        <v>20.427</v>
      </c>
      <c r="BB36" s="30" t="n">
        <v>1.897</v>
      </c>
      <c r="BC36" s="30" t="n">
        <v>0.01805</v>
      </c>
      <c r="BD36" s="31" t="n">
        <v>20.427</v>
      </c>
      <c r="BE36" s="31" t="n">
        <v>1.897</v>
      </c>
      <c r="BF36" s="31" t="n">
        <v>0.01805</v>
      </c>
      <c r="BG36" s="14" t="n">
        <f aca="false">10^6/((BA36+273.15)^2)</f>
        <v>11.6026166548692</v>
      </c>
      <c r="BH36" s="14" t="n">
        <f aca="false">BG36*(2*($BE36/($BD36+273.15)))</f>
        <v>0.149944742226311</v>
      </c>
      <c r="BI36" s="14" t="n">
        <f aca="false">BG36*(2*($BF36/($BD36+273.15)))</f>
        <v>0.00142672777922241</v>
      </c>
      <c r="BK36" s="14" t="n">
        <f aca="false">10^6/((AG36+273.15)^2)</f>
        <v>11.0961484003532</v>
      </c>
      <c r="BL36" s="14" t="n">
        <f aca="false">BK36*(2*($AH36/($AG36+273.15)))</f>
        <v>0.00688843010443929</v>
      </c>
      <c r="BM36" s="14" t="n">
        <f aca="false">10^6/((AI36+273.15)^2)</f>
        <v>11.7538779137726</v>
      </c>
      <c r="BN36" s="14" t="n">
        <f aca="false">BM36*(2*($AJ36/($AI36+273.15)))</f>
        <v>0.267727495090328</v>
      </c>
    </row>
    <row r="37" s="14" customFormat="true" ht="16" hidden="false" customHeight="false" outlineLevel="0" collapsed="false">
      <c r="A37" s="22" t="s">
        <v>154</v>
      </c>
      <c r="B37" s="23" t="s">
        <v>209</v>
      </c>
      <c r="C37" s="14" t="s">
        <v>53</v>
      </c>
      <c r="D37" s="23" t="s">
        <v>206</v>
      </c>
      <c r="E37" s="24" t="s">
        <v>207</v>
      </c>
      <c r="F37" s="22" t="n">
        <v>0</v>
      </c>
      <c r="G37" s="22" t="n">
        <v>-156</v>
      </c>
      <c r="H37" s="22" t="s">
        <v>56</v>
      </c>
      <c r="I37" s="22" t="s">
        <v>208</v>
      </c>
      <c r="J37" s="22" t="n">
        <v>3050</v>
      </c>
      <c r="K37" s="25" t="s">
        <v>154</v>
      </c>
      <c r="L37" s="22" t="s">
        <v>160</v>
      </c>
      <c r="M37" s="22" t="s">
        <v>161</v>
      </c>
      <c r="N37" s="22" t="s">
        <v>162</v>
      </c>
      <c r="O37" s="22" t="s">
        <v>71</v>
      </c>
      <c r="P37" s="22" t="s">
        <v>71</v>
      </c>
      <c r="Q37" s="22" t="n">
        <v>5</v>
      </c>
      <c r="R37" s="25" t="s">
        <v>62</v>
      </c>
      <c r="S37" s="25" t="n">
        <v>35.1607272727273</v>
      </c>
      <c r="T37" s="22" t="n">
        <v>-5.31611739130435</v>
      </c>
      <c r="U37" s="26" t="n">
        <v>4</v>
      </c>
      <c r="V37" s="27" t="n">
        <v>1.74</v>
      </c>
      <c r="W37" s="27" t="n">
        <v>0.0535412613473634</v>
      </c>
      <c r="X37" s="27" t="n">
        <v>0.0267706306736817</v>
      </c>
      <c r="Y37" s="27" t="n">
        <v>-1.6475</v>
      </c>
      <c r="Z37" s="27" t="n">
        <v>0.0287228132326901</v>
      </c>
      <c r="AA37" s="27" t="n">
        <v>0.014361406616345</v>
      </c>
      <c r="AB37" s="27" t="n">
        <v>0.399574824</v>
      </c>
      <c r="AC37" s="27" t="n">
        <v>0.222421984069211</v>
      </c>
      <c r="AD37" s="27" t="n">
        <v>0.20468099032264</v>
      </c>
      <c r="AE37" s="28" t="n">
        <v>0.5795</v>
      </c>
      <c r="AF37" s="28" t="n">
        <v>0.013003204733193</v>
      </c>
      <c r="AG37" s="29" t="n">
        <v>27.0522008375688</v>
      </c>
      <c r="AH37" s="27" t="n">
        <v>0.0931819674294649</v>
      </c>
      <c r="AI37" s="27" t="n">
        <f aca="false">VLOOKUP(B37,proft,2,0)</f>
        <v>23.8653467820226</v>
      </c>
      <c r="AJ37" s="27" t="n">
        <f aca="false">VLOOKUP(B37,proft,3,0)</f>
        <v>3.0497035980225</v>
      </c>
      <c r="AK37" s="27" t="s">
        <v>163</v>
      </c>
      <c r="BA37" s="30" t="n">
        <v>24.701</v>
      </c>
      <c r="BB37" s="30" t="n">
        <v>1.907</v>
      </c>
      <c r="BC37" s="30" t="n">
        <v>0.01907</v>
      </c>
      <c r="BD37" s="31" t="n">
        <v>24.701</v>
      </c>
      <c r="BE37" s="31" t="n">
        <v>1.907</v>
      </c>
      <c r="BF37" s="31" t="n">
        <v>0.01907</v>
      </c>
      <c r="BG37" s="14" t="n">
        <f aca="false">10^6/((BA37+273.15)^2)</f>
        <v>11.2720232253087</v>
      </c>
      <c r="BH37" s="14" t="n">
        <f aca="false">BG37*(2*($BE37/($BD37+273.15)))</f>
        <v>0.144338936519694</v>
      </c>
      <c r="BI37" s="14" t="n">
        <f aca="false">BG37*(2*($BF37/($BD37+273.15)))</f>
        <v>0.00144338936519694</v>
      </c>
      <c r="BK37" s="14" t="n">
        <f aca="false">10^6/((AG37+273.15)^2)</f>
        <v>11.0961484003532</v>
      </c>
      <c r="BL37" s="14" t="n">
        <f aca="false">BK37*(2*($AH37/($AG37+273.15)))</f>
        <v>0.00688843010443929</v>
      </c>
      <c r="BM37" s="14" t="n">
        <f aca="false">10^6/((AI37+273.15)^2)</f>
        <v>11.3355401679665</v>
      </c>
      <c r="BN37" s="14" t="n">
        <f aca="false">BM37*(2*($AJ37/($AI37+273.15)))</f>
        <v>0.232782837724184</v>
      </c>
    </row>
    <row r="38" s="14" customFormat="true" ht="16" hidden="false" customHeight="false" outlineLevel="0" collapsed="false">
      <c r="A38" s="22" t="s">
        <v>67</v>
      </c>
      <c r="B38" s="23" t="s">
        <v>210</v>
      </c>
      <c r="C38" s="14" t="s">
        <v>53</v>
      </c>
      <c r="D38" s="23" t="s">
        <v>211</v>
      </c>
      <c r="E38" s="24" t="s">
        <v>207</v>
      </c>
      <c r="F38" s="22" t="n">
        <v>0</v>
      </c>
      <c r="G38" s="22" t="n">
        <v>-156</v>
      </c>
      <c r="H38" s="22" t="s">
        <v>56</v>
      </c>
      <c r="I38" s="22" t="s">
        <v>208</v>
      </c>
      <c r="J38" s="22" t="n">
        <v>3050</v>
      </c>
      <c r="K38" s="25" t="s">
        <v>67</v>
      </c>
      <c r="L38" s="22" t="s">
        <v>68</v>
      </c>
      <c r="M38" s="22" t="s">
        <v>69</v>
      </c>
      <c r="N38" s="22" t="s">
        <v>70</v>
      </c>
      <c r="O38" s="22" t="s">
        <v>71</v>
      </c>
      <c r="P38" s="22" t="s">
        <v>71</v>
      </c>
      <c r="Q38" s="22" t="n">
        <v>5</v>
      </c>
      <c r="R38" s="25" t="s">
        <v>62</v>
      </c>
      <c r="S38" s="25" t="n">
        <v>35.187</v>
      </c>
      <c r="T38" s="22" t="n">
        <v>-5.31611739130435</v>
      </c>
      <c r="U38" s="26" t="n">
        <v>8</v>
      </c>
      <c r="V38" s="27" t="n">
        <v>2.2675</v>
      </c>
      <c r="W38" s="27" t="n">
        <v>0.0777817459305202</v>
      </c>
      <c r="X38" s="27" t="n">
        <v>0.0275</v>
      </c>
      <c r="Y38" s="27" t="n">
        <v>-1.275</v>
      </c>
      <c r="Z38" s="27" t="n">
        <v>0.0509901951359279</v>
      </c>
      <c r="AA38" s="27" t="n">
        <v>0.01802775637732</v>
      </c>
      <c r="AB38" s="27" t="n">
        <v>0.324139543333333</v>
      </c>
      <c r="AC38" s="27" t="n">
        <v>0.239696840952221</v>
      </c>
      <c r="AD38" s="27" t="n">
        <v>0.214051843846668</v>
      </c>
      <c r="AE38" s="28" t="n">
        <v>0.632</v>
      </c>
      <c r="AF38" s="28" t="n">
        <v>0.0118246111382755</v>
      </c>
      <c r="AG38" s="29" t="n">
        <v>26.3530342795632</v>
      </c>
      <c r="AH38" s="27" t="n">
        <v>0.501473293025532</v>
      </c>
      <c r="AI38" s="27" t="n">
        <f aca="false">VLOOKUP(B38,proft,2,0)</f>
        <v>22.3627952391225</v>
      </c>
      <c r="AJ38" s="27" t="n">
        <f aca="false">VLOOKUP(B38,proft,3,0)</f>
        <v>2.9489555358887</v>
      </c>
      <c r="AK38" s="27" t="s">
        <v>72</v>
      </c>
      <c r="BA38" s="30" t="n">
        <v>23.258</v>
      </c>
      <c r="BB38" s="30" t="n">
        <v>2.124</v>
      </c>
      <c r="BC38" s="30" t="n">
        <v>0.02092</v>
      </c>
      <c r="BD38" s="31" t="n">
        <v>23.258</v>
      </c>
      <c r="BE38" s="31" t="n">
        <v>2.124</v>
      </c>
      <c r="BF38" s="31" t="n">
        <v>0.02092</v>
      </c>
      <c r="BG38" s="14" t="n">
        <f aca="false">10^6/((BA38+273.15)^2)</f>
        <v>11.3820413231242</v>
      </c>
      <c r="BH38" s="14" t="n">
        <f aca="false">BG38*(2*($BE38/($BD38+273.15)))</f>
        <v>0.163122829143045</v>
      </c>
      <c r="BI38" s="14" t="n">
        <f aca="false">BG38*(2*($BF38/($BD38+273.15)))</f>
        <v>0.00160665234730344</v>
      </c>
      <c r="BK38" s="14" t="n">
        <f aca="false">10^6/((AG38+273.15)^2)</f>
        <v>11.1480150613515</v>
      </c>
      <c r="BL38" s="14" t="n">
        <f aca="false">BK38*(2*($AH38/($AG38+273.15)))</f>
        <v>0.0373313868886946</v>
      </c>
      <c r="BM38" s="14" t="n">
        <f aca="false">10^6/((AI38+273.15)^2)</f>
        <v>11.4511056143475</v>
      </c>
      <c r="BN38" s="14" t="n">
        <f aca="false">BM38*(2*($AJ38/($AI38+273.15)))</f>
        <v>0.228543750643022</v>
      </c>
    </row>
    <row r="39" s="14" customFormat="true" ht="16" hidden="false" customHeight="false" outlineLevel="0" collapsed="false">
      <c r="A39" s="22" t="s">
        <v>67</v>
      </c>
      <c r="B39" s="23" t="s">
        <v>212</v>
      </c>
      <c r="C39" s="14" t="s">
        <v>53</v>
      </c>
      <c r="D39" s="23" t="s">
        <v>211</v>
      </c>
      <c r="E39" s="24" t="s">
        <v>207</v>
      </c>
      <c r="F39" s="22" t="n">
        <v>0</v>
      </c>
      <c r="G39" s="22" t="n">
        <v>-156</v>
      </c>
      <c r="H39" s="22" t="s">
        <v>56</v>
      </c>
      <c r="I39" s="22" t="s">
        <v>208</v>
      </c>
      <c r="J39" s="22" t="n">
        <v>3050</v>
      </c>
      <c r="K39" s="25" t="s">
        <v>67</v>
      </c>
      <c r="L39" s="22" t="s">
        <v>68</v>
      </c>
      <c r="M39" s="22" t="s">
        <v>69</v>
      </c>
      <c r="N39" s="22" t="s">
        <v>70</v>
      </c>
      <c r="O39" s="22" t="s">
        <v>71</v>
      </c>
      <c r="P39" s="22" t="s">
        <v>71</v>
      </c>
      <c r="Q39" s="22" t="n">
        <v>5</v>
      </c>
      <c r="R39" s="25" t="s">
        <v>62</v>
      </c>
      <c r="S39" s="25" t="n">
        <v>35.187</v>
      </c>
      <c r="T39" s="22" t="n">
        <v>-5.31611739130435</v>
      </c>
      <c r="U39" s="26" t="n">
        <v>5</v>
      </c>
      <c r="V39" s="27" t="n">
        <v>2.17</v>
      </c>
      <c r="W39" s="27" t="n">
        <v>0.0282842712474619</v>
      </c>
      <c r="X39" s="27" t="n">
        <v>0.0126491106406735</v>
      </c>
      <c r="Y39" s="27" t="n">
        <v>-0.09</v>
      </c>
      <c r="Z39" s="27" t="n">
        <v>0.0754983443527075</v>
      </c>
      <c r="AA39" s="27" t="n">
        <v>0.0337638860322683</v>
      </c>
      <c r="AB39" s="27" t="n">
        <v>0.324139543333333</v>
      </c>
      <c r="AC39" s="27" t="n">
        <v>0.239696840952221</v>
      </c>
      <c r="AD39" s="27" t="n">
        <v>0.214051843846668</v>
      </c>
      <c r="AE39" s="28" t="n">
        <v>0.6092</v>
      </c>
      <c r="AF39" s="28" t="n">
        <v>0.0134885136319759</v>
      </c>
      <c r="AG39" s="29" t="n">
        <v>26.3530342795632</v>
      </c>
      <c r="AH39" s="27" t="n">
        <v>0.501473293025532</v>
      </c>
      <c r="AI39" s="27" t="n">
        <f aca="false">VLOOKUP(B39,proft,2,0)</f>
        <v>16.2889640480297</v>
      </c>
      <c r="AJ39" s="27" t="n">
        <f aca="false">VLOOKUP(B39,proft,3,0)</f>
        <v>2.7022895812988</v>
      </c>
      <c r="AK39" s="27" t="s">
        <v>72</v>
      </c>
      <c r="BA39" s="30" t="n">
        <v>17.4066</v>
      </c>
      <c r="BB39" s="30" t="n">
        <v>2.151</v>
      </c>
      <c r="BC39" s="30" t="n">
        <v>0.02151</v>
      </c>
      <c r="BD39" s="31" t="n">
        <v>17.4066</v>
      </c>
      <c r="BE39" s="31" t="n">
        <v>2.151</v>
      </c>
      <c r="BF39" s="31" t="n">
        <v>0.02151</v>
      </c>
      <c r="BG39" s="14" t="n">
        <f aca="false">10^6/((BA39+273.15)^2)</f>
        <v>11.8450939637763</v>
      </c>
      <c r="BH39" s="14" t="n">
        <f aca="false">BG39*(2*($BE39/($BD39+273.15)))</f>
        <v>0.175379234999878</v>
      </c>
      <c r="BI39" s="14" t="n">
        <f aca="false">BG39*(2*($BF39/($BD39+273.15)))</f>
        <v>0.00175379234999878</v>
      </c>
      <c r="BK39" s="14" t="n">
        <f aca="false">10^6/((AG39+273.15)^2)</f>
        <v>11.1480150613515</v>
      </c>
      <c r="BL39" s="14" t="n">
        <f aca="false">BK39*(2*($AH39/($AG39+273.15)))</f>
        <v>0.0373313868886946</v>
      </c>
      <c r="BM39" s="14" t="n">
        <f aca="false">10^6/((AI39+273.15)^2)</f>
        <v>11.9367475696113</v>
      </c>
      <c r="BN39" s="14" t="n">
        <f aca="false">BM39*(2*($AJ39/($AI39+273.15)))</f>
        <v>0.22289016061156</v>
      </c>
    </row>
    <row r="40" s="14" customFormat="true" ht="16" hidden="false" customHeight="false" outlineLevel="0" collapsed="false">
      <c r="A40" s="22" t="s">
        <v>154</v>
      </c>
      <c r="B40" s="23" t="s">
        <v>213</v>
      </c>
      <c r="C40" s="14" t="s">
        <v>53</v>
      </c>
      <c r="D40" s="23" t="s">
        <v>214</v>
      </c>
      <c r="E40" s="24" t="s">
        <v>215</v>
      </c>
      <c r="F40" s="22" t="n">
        <v>7</v>
      </c>
      <c r="G40" s="22" t="n">
        <v>-161</v>
      </c>
      <c r="H40" s="22" t="s">
        <v>56</v>
      </c>
      <c r="I40" s="22" t="s">
        <v>208</v>
      </c>
      <c r="J40" s="22" t="n">
        <v>2855</v>
      </c>
      <c r="K40" s="25" t="s">
        <v>154</v>
      </c>
      <c r="L40" s="22" t="s">
        <v>160</v>
      </c>
      <c r="M40" s="22" t="s">
        <v>161</v>
      </c>
      <c r="N40" s="22" t="s">
        <v>162</v>
      </c>
      <c r="O40" s="22" t="s">
        <v>71</v>
      </c>
      <c r="P40" s="22" t="s">
        <v>71</v>
      </c>
      <c r="Q40" s="22" t="n">
        <v>5</v>
      </c>
      <c r="R40" s="25" t="s">
        <v>62</v>
      </c>
      <c r="S40" s="25" t="n">
        <v>34.4701818181818</v>
      </c>
      <c r="T40" s="22" t="n">
        <v>9.48991020408163</v>
      </c>
      <c r="U40" s="26" t="n">
        <v>4</v>
      </c>
      <c r="V40" s="27" t="n">
        <v>1.52</v>
      </c>
      <c r="W40" s="27" t="n">
        <v>0.105514611942296</v>
      </c>
      <c r="X40" s="27" t="n">
        <v>0.0527573059711481</v>
      </c>
      <c r="Y40" s="27" t="n">
        <v>-1.0675</v>
      </c>
      <c r="Z40" s="27" t="n">
        <v>0.323251707909899</v>
      </c>
      <c r="AA40" s="27" t="n">
        <v>0.16162585395495</v>
      </c>
      <c r="AB40" s="27" t="n">
        <v>0.24942589</v>
      </c>
      <c r="AC40" s="27" t="n">
        <v>0.205249291640743</v>
      </c>
      <c r="AD40" s="27" t="n">
        <v>0.20106082249858</v>
      </c>
      <c r="AE40" s="28" t="n">
        <v>0.608</v>
      </c>
      <c r="AF40" s="28" t="n">
        <v>0.0163605215890774</v>
      </c>
      <c r="AG40" s="29" t="n">
        <v>27.869815826416</v>
      </c>
      <c r="AH40" s="27" t="n">
        <v>0.0379710596368685</v>
      </c>
      <c r="AI40" s="27" t="n">
        <f aca="false">VLOOKUP(B40,proft,2,0)</f>
        <v>20.2418077062873</v>
      </c>
      <c r="AJ40" s="27" t="n">
        <f aca="false">VLOOKUP(B40,proft,3,0)</f>
        <v>3.308032989502</v>
      </c>
      <c r="AK40" s="27" t="s">
        <v>163</v>
      </c>
      <c r="BA40" s="30" t="n">
        <v>21.975</v>
      </c>
      <c r="BB40" s="30" t="n">
        <v>1.921</v>
      </c>
      <c r="BC40" s="30" t="n">
        <v>0.01921</v>
      </c>
      <c r="BD40" s="31" t="n">
        <v>21.975</v>
      </c>
      <c r="BE40" s="31" t="n">
        <v>1.921</v>
      </c>
      <c r="BF40" s="31" t="n">
        <v>0.01921</v>
      </c>
      <c r="BG40" s="14" t="n">
        <f aca="false">10^6/((BA40+273.15)^2)</f>
        <v>11.4812189681936</v>
      </c>
      <c r="BH40" s="14" t="n">
        <f aca="false">BG40*(2*($BE40/($BD40+273.15)))</f>
        <v>0.149464949685048</v>
      </c>
      <c r="BI40" s="14" t="n">
        <f aca="false">BG40*(2*($BF40/($BD40+273.15)))</f>
        <v>0.00149464949685048</v>
      </c>
      <c r="BK40" s="14" t="n">
        <f aca="false">10^6/((AG40+273.15)^2)</f>
        <v>11.035952653726</v>
      </c>
      <c r="BL40" s="14" t="n">
        <f aca="false">BK40*(2*($AH40/($AG40+273.15)))</f>
        <v>0.00278418093648647</v>
      </c>
      <c r="BM40" s="14" t="n">
        <f aca="false">10^6/((AI40+273.15)^2)</f>
        <v>11.6172686886468</v>
      </c>
      <c r="BN40" s="14" t="n">
        <f aca="false">BM40*(2*($AJ40/($AI40+273.15)))</f>
        <v>0.26197260496397</v>
      </c>
    </row>
    <row r="41" s="14" customFormat="true" ht="16" hidden="false" customHeight="false" outlineLevel="0" collapsed="false">
      <c r="A41" s="22" t="s">
        <v>154</v>
      </c>
      <c r="B41" s="23" t="s">
        <v>216</v>
      </c>
      <c r="C41" s="14" t="s">
        <v>53</v>
      </c>
      <c r="D41" s="23" t="s">
        <v>214</v>
      </c>
      <c r="E41" s="24" t="s">
        <v>215</v>
      </c>
      <c r="F41" s="22" t="n">
        <v>7</v>
      </c>
      <c r="G41" s="22" t="n">
        <v>-161</v>
      </c>
      <c r="H41" s="22" t="s">
        <v>56</v>
      </c>
      <c r="I41" s="22" t="s">
        <v>208</v>
      </c>
      <c r="J41" s="22" t="n">
        <v>2855</v>
      </c>
      <c r="K41" s="25" t="s">
        <v>154</v>
      </c>
      <c r="L41" s="22" t="s">
        <v>160</v>
      </c>
      <c r="M41" s="22" t="s">
        <v>161</v>
      </c>
      <c r="N41" s="22" t="s">
        <v>162</v>
      </c>
      <c r="O41" s="22" t="s">
        <v>71</v>
      </c>
      <c r="P41" s="22" t="s">
        <v>71</v>
      </c>
      <c r="Q41" s="22" t="n">
        <v>5</v>
      </c>
      <c r="R41" s="25" t="s">
        <v>62</v>
      </c>
      <c r="S41" s="25" t="n">
        <v>34.4701818181818</v>
      </c>
      <c r="T41" s="22" t="n">
        <v>9.48991020408163</v>
      </c>
      <c r="U41" s="26" t="n">
        <v>4</v>
      </c>
      <c r="V41" s="27" t="n">
        <v>1.52</v>
      </c>
      <c r="W41" s="27" t="n">
        <v>0.033665016461207</v>
      </c>
      <c r="X41" s="27" t="n">
        <v>0.0168325082306035</v>
      </c>
      <c r="Y41" s="27" t="n">
        <v>-2.075</v>
      </c>
      <c r="Z41" s="27" t="n">
        <v>0.111504857891185</v>
      </c>
      <c r="AA41" s="27" t="n">
        <v>0.0557524289455925</v>
      </c>
      <c r="AB41" s="27" t="n">
        <v>0.24942589</v>
      </c>
      <c r="AC41" s="27" t="n">
        <v>0.205249291640743</v>
      </c>
      <c r="AD41" s="27" t="n">
        <v>0.20106082249858</v>
      </c>
      <c r="AE41" s="28" t="n">
        <v>0.59075</v>
      </c>
      <c r="AF41" s="28" t="n">
        <v>0.00843973735768281</v>
      </c>
      <c r="AG41" s="29" t="n">
        <v>27.869815826416</v>
      </c>
      <c r="AH41" s="27" t="n">
        <v>0.0379710596368685</v>
      </c>
      <c r="AI41" s="27" t="n">
        <f aca="false">VLOOKUP(B41,proft,2,0)</f>
        <v>25.5317945622265</v>
      </c>
      <c r="AJ41" s="27" t="n">
        <f aca="false">VLOOKUP(B41,proft,3,0)</f>
        <v>4.5296878814697</v>
      </c>
      <c r="AK41" s="27" t="s">
        <v>163</v>
      </c>
      <c r="BA41" s="30" t="n">
        <v>25.785</v>
      </c>
      <c r="BB41" s="30" t="n">
        <v>1.907</v>
      </c>
      <c r="BC41" s="30" t="n">
        <v>0.01907</v>
      </c>
      <c r="BD41" s="31" t="n">
        <v>25.785</v>
      </c>
      <c r="BE41" s="31" t="n">
        <v>1.907</v>
      </c>
      <c r="BF41" s="31" t="n">
        <v>0.01907</v>
      </c>
      <c r="BG41" s="14" t="n">
        <f aca="false">10^6/((BA41+273.15)^2)</f>
        <v>11.190422080589</v>
      </c>
      <c r="BH41" s="14" t="n">
        <f aca="false">BG41*(2*($BE41/($BD41+273.15)))</f>
        <v>0.142774415225271</v>
      </c>
      <c r="BI41" s="14" t="n">
        <f aca="false">BG41*(2*($BF41/($BD41+273.15)))</f>
        <v>0.00142774415225271</v>
      </c>
      <c r="BK41" s="14" t="n">
        <f aca="false">10^6/((AG41+273.15)^2)</f>
        <v>11.035952653726</v>
      </c>
      <c r="BL41" s="14" t="n">
        <f aca="false">BK41*(2*($AH41/($AG41+273.15)))</f>
        <v>0.00278418093648647</v>
      </c>
      <c r="BM41" s="14" t="n">
        <f aca="false">10^6/((AI41+273.15)^2)</f>
        <v>11.2094033295515</v>
      </c>
      <c r="BN41" s="14" t="n">
        <f aca="false">BM41*(2*($AJ41/($AI41+273.15)))</f>
        <v>0.339994598564641</v>
      </c>
    </row>
    <row r="42" s="14" customFormat="true" ht="16" hidden="false" customHeight="false" outlineLevel="0" collapsed="false">
      <c r="A42" s="22" t="s">
        <v>67</v>
      </c>
      <c r="B42" s="23" t="s">
        <v>217</v>
      </c>
      <c r="C42" s="14" t="s">
        <v>53</v>
      </c>
      <c r="D42" s="23" t="s">
        <v>218</v>
      </c>
      <c r="E42" s="24" t="s">
        <v>215</v>
      </c>
      <c r="F42" s="22" t="n">
        <v>7</v>
      </c>
      <c r="G42" s="22" t="n">
        <v>-161</v>
      </c>
      <c r="H42" s="22" t="s">
        <v>56</v>
      </c>
      <c r="I42" s="22" t="s">
        <v>208</v>
      </c>
      <c r="J42" s="22" t="n">
        <v>2855</v>
      </c>
      <c r="K42" s="25" t="s">
        <v>67</v>
      </c>
      <c r="L42" s="22" t="s">
        <v>68</v>
      </c>
      <c r="M42" s="22" t="s">
        <v>69</v>
      </c>
      <c r="N42" s="22" t="s">
        <v>70</v>
      </c>
      <c r="O42" s="22" t="s">
        <v>71</v>
      </c>
      <c r="P42" s="22" t="s">
        <v>71</v>
      </c>
      <c r="Q42" s="22" t="n">
        <v>5</v>
      </c>
      <c r="R42" s="25" t="s">
        <v>62</v>
      </c>
      <c r="S42" s="25" t="n">
        <v>34.7274545454545</v>
      </c>
      <c r="T42" s="22" t="n">
        <v>9.48991020408163</v>
      </c>
      <c r="U42" s="26" t="n">
        <v>7</v>
      </c>
      <c r="V42" s="27" t="n">
        <v>2.37714285714286</v>
      </c>
      <c r="W42" s="27" t="n">
        <v>0.0221466970556829</v>
      </c>
      <c r="X42" s="27" t="n">
        <v>0.0083706646815462</v>
      </c>
      <c r="Y42" s="27" t="n">
        <v>-0.587142857142857</v>
      </c>
      <c r="Z42" s="27" t="n">
        <v>0.039880774697543</v>
      </c>
      <c r="AA42" s="27" t="n">
        <v>0.0150735159917566</v>
      </c>
      <c r="AB42" s="27" t="n">
        <v>0.190623866666667</v>
      </c>
      <c r="AC42" s="27" t="n">
        <v>0.227295543483026</v>
      </c>
      <c r="AD42" s="27" t="n">
        <v>0.209494044535276</v>
      </c>
      <c r="AE42" s="28" t="n">
        <v>0.636571428571429</v>
      </c>
      <c r="AF42" s="28" t="n">
        <v>0.0125827870764885</v>
      </c>
      <c r="AG42" s="29" t="n">
        <v>26.909346147017</v>
      </c>
      <c r="AH42" s="27" t="n">
        <v>0.845391489817126</v>
      </c>
      <c r="AI42" s="27" t="n">
        <f aca="false">VLOOKUP(B42,proft,2,0)</f>
        <v>18.0365409022331</v>
      </c>
      <c r="AJ42" s="27" t="n">
        <f aca="false">VLOOKUP(B42,proft,3,0)</f>
        <v>5.9172954559326</v>
      </c>
      <c r="AK42" s="27" t="s">
        <v>72</v>
      </c>
      <c r="BA42" s="30" t="n">
        <v>19.2096</v>
      </c>
      <c r="BB42" s="30" t="n">
        <v>2.106</v>
      </c>
      <c r="BC42" s="30" t="n">
        <v>0.02358</v>
      </c>
      <c r="BD42" s="31" t="n">
        <v>19.2096</v>
      </c>
      <c r="BE42" s="31" t="n">
        <v>2.106</v>
      </c>
      <c r="BF42" s="31" t="n">
        <v>0.02358</v>
      </c>
      <c r="BG42" s="14" t="n">
        <f aca="false">10^6/((BA42+273.15)^2)</f>
        <v>11.6994455886348</v>
      </c>
      <c r="BH42" s="14" t="n">
        <f aca="false">BG42*(2*($BE42/($BD42+273.15)))</f>
        <v>0.168552921878843</v>
      </c>
      <c r="BI42" s="14" t="n">
        <f aca="false">BG42*(2*($BF42/($BD42+273.15)))</f>
        <v>0.00188721647573747</v>
      </c>
      <c r="BK42" s="14" t="n">
        <f aca="false">10^6/((AG42+273.15)^2)</f>
        <v>11.1067164043085</v>
      </c>
      <c r="BL42" s="14" t="n">
        <f aca="false">BK42*(2*($AH42/($AG42+273.15)))</f>
        <v>0.0625844430349069</v>
      </c>
      <c r="BM42" s="14" t="n">
        <f aca="false">10^6/((AI42+273.15)^2)</f>
        <v>11.7938990288786</v>
      </c>
      <c r="BN42" s="14" t="n">
        <f aca="false">BM42*(2*($AJ42/($AI42+273.15)))</f>
        <v>0.479335239294201</v>
      </c>
    </row>
    <row r="43" s="14" customFormat="true" ht="16" hidden="false" customHeight="false" outlineLevel="0" collapsed="false">
      <c r="A43" s="22" t="s">
        <v>67</v>
      </c>
      <c r="B43" s="23" t="s">
        <v>219</v>
      </c>
      <c r="C43" s="14" t="s">
        <v>53</v>
      </c>
      <c r="D43" s="23" t="s">
        <v>218</v>
      </c>
      <c r="E43" s="24" t="s">
        <v>215</v>
      </c>
      <c r="F43" s="22" t="n">
        <v>7</v>
      </c>
      <c r="G43" s="22" t="n">
        <v>-161</v>
      </c>
      <c r="H43" s="22" t="s">
        <v>56</v>
      </c>
      <c r="I43" s="22" t="s">
        <v>208</v>
      </c>
      <c r="J43" s="22" t="n">
        <v>2855</v>
      </c>
      <c r="K43" s="25" t="s">
        <v>67</v>
      </c>
      <c r="L43" s="22" t="s">
        <v>68</v>
      </c>
      <c r="M43" s="22" t="s">
        <v>69</v>
      </c>
      <c r="N43" s="22" t="s">
        <v>70</v>
      </c>
      <c r="O43" s="22" t="s">
        <v>71</v>
      </c>
      <c r="P43" s="22" t="s">
        <v>71</v>
      </c>
      <c r="Q43" s="22" t="n">
        <v>5</v>
      </c>
      <c r="R43" s="25" t="s">
        <v>62</v>
      </c>
      <c r="S43" s="25" t="n">
        <v>34.7274545454545</v>
      </c>
      <c r="T43" s="22" t="n">
        <v>9.48991020408163</v>
      </c>
      <c r="U43" s="26" t="n">
        <v>3</v>
      </c>
      <c r="V43" s="27" t="n">
        <v>2.48333333333333</v>
      </c>
      <c r="W43" s="27" t="n">
        <v>0.00577350269189639</v>
      </c>
      <c r="X43" s="27" t="n">
        <v>0.00333333333333341</v>
      </c>
      <c r="Y43" s="27" t="n">
        <v>-1.64333333333333</v>
      </c>
      <c r="Z43" s="27" t="n">
        <v>0.086216781042517</v>
      </c>
      <c r="AA43" s="27" t="n">
        <v>0.0497772817435602</v>
      </c>
      <c r="AB43" s="27" t="n">
        <v>0.190623866666667</v>
      </c>
      <c r="AC43" s="27" t="n">
        <v>0.227295543483026</v>
      </c>
      <c r="AD43" s="27" t="n">
        <v>0.209494044535276</v>
      </c>
      <c r="AE43" s="28" t="n">
        <v>0.614666666666667</v>
      </c>
      <c r="AF43" s="28" t="n">
        <v>0.0141931125706959</v>
      </c>
      <c r="AG43" s="29" t="n">
        <v>26.909346147017</v>
      </c>
      <c r="AH43" s="27" t="n">
        <v>0.845391489817126</v>
      </c>
      <c r="AI43" s="27" t="n">
        <f aca="false">VLOOKUP(B43,proft,2,0)</f>
        <v>23.3980996127621</v>
      </c>
      <c r="AJ43" s="27" t="n">
        <f aca="false">VLOOKUP(B43,proft,3,0)</f>
        <v>1.103048324585</v>
      </c>
      <c r="AK43" s="27" t="s">
        <v>72</v>
      </c>
      <c r="BA43" s="30" t="n">
        <v>24.4149</v>
      </c>
      <c r="BB43" s="30" t="n">
        <v>2.121</v>
      </c>
      <c r="BC43" s="30" t="n">
        <v>0.02121</v>
      </c>
      <c r="BD43" s="31" t="n">
        <v>24.4149</v>
      </c>
      <c r="BE43" s="31" t="n">
        <v>2.121</v>
      </c>
      <c r="BF43" s="31" t="n">
        <v>0.02121</v>
      </c>
      <c r="BG43" s="14" t="n">
        <f aca="false">10^6/((BA43+273.15)^2)</f>
        <v>11.2937090906845</v>
      </c>
      <c r="BH43" s="14" t="n">
        <f aca="false">BG43*(2*($BE43/($BD43+273.15)))</f>
        <v>0.160999882589256</v>
      </c>
      <c r="BI43" s="14" t="n">
        <f aca="false">BG43*(2*($BF43/($BD43+273.15)))</f>
        <v>0.00160999882589256</v>
      </c>
      <c r="BK43" s="14" t="n">
        <f aca="false">10^6/((AG43+273.15)^2)</f>
        <v>11.1067164043085</v>
      </c>
      <c r="BL43" s="14" t="n">
        <f aca="false">BK43*(2*($AH43/($AG43+273.15)))</f>
        <v>0.0625844430349069</v>
      </c>
      <c r="BM43" s="14" t="n">
        <f aca="false">10^6/((AI43+273.15)^2)</f>
        <v>11.3712893209561</v>
      </c>
      <c r="BN43" s="14" t="n">
        <f aca="false">BM43*(2*($AJ43/($AI43+273.15)))</f>
        <v>0.084593910062016</v>
      </c>
    </row>
    <row r="44" s="14" customFormat="true" ht="16" hidden="false" customHeight="false" outlineLevel="0" collapsed="false">
      <c r="A44" s="22" t="s">
        <v>67</v>
      </c>
      <c r="B44" s="23" t="s">
        <v>220</v>
      </c>
      <c r="C44" s="14" t="s">
        <v>53</v>
      </c>
      <c r="D44" s="23" t="s">
        <v>221</v>
      </c>
      <c r="E44" s="24" t="s">
        <v>222</v>
      </c>
      <c r="F44" s="22" t="n">
        <v>-2.18</v>
      </c>
      <c r="G44" s="22" t="n">
        <v>157</v>
      </c>
      <c r="H44" s="22" t="s">
        <v>56</v>
      </c>
      <c r="I44" s="22" t="s">
        <v>57</v>
      </c>
      <c r="J44" s="22" t="n">
        <v>1614</v>
      </c>
      <c r="K44" s="25" t="s">
        <v>67</v>
      </c>
      <c r="L44" s="22" t="s">
        <v>68</v>
      </c>
      <c r="M44" s="22" t="s">
        <v>69</v>
      </c>
      <c r="N44" s="22" t="s">
        <v>70</v>
      </c>
      <c r="O44" s="22" t="s">
        <v>71</v>
      </c>
      <c r="P44" s="22" t="s">
        <v>71</v>
      </c>
      <c r="Q44" s="22" t="n">
        <v>5</v>
      </c>
      <c r="R44" s="25" t="s">
        <v>62</v>
      </c>
      <c r="S44" s="25" t="n">
        <v>35.1515454545455</v>
      </c>
      <c r="T44" s="22" t="n">
        <v>11.0624545454545</v>
      </c>
      <c r="U44" s="26" t="n">
        <v>20</v>
      </c>
      <c r="V44" s="27" t="n">
        <v>2.2775</v>
      </c>
      <c r="W44" s="27" t="n">
        <v>0.045868806049657</v>
      </c>
      <c r="X44" s="27" t="n">
        <v>0.0102565768373787</v>
      </c>
      <c r="Y44" s="27" t="n">
        <v>-1.938</v>
      </c>
      <c r="Z44" s="27" t="n">
        <v>0.0743108690782035</v>
      </c>
      <c r="AA44" s="27" t="n">
        <v>0.016616415472595</v>
      </c>
      <c r="AB44" s="27" t="n">
        <v>0.2775805</v>
      </c>
      <c r="AC44" s="27" t="n">
        <v>0.213740658863378</v>
      </c>
      <c r="AD44" s="27" t="n">
        <v>0.204682737630177</v>
      </c>
      <c r="AE44" s="28" t="n">
        <v>0.59585</v>
      </c>
      <c r="AF44" s="28" t="n">
        <v>0.00547062730935811</v>
      </c>
      <c r="AG44" s="29" t="n">
        <v>28.5023571361195</v>
      </c>
      <c r="AH44" s="27" t="n">
        <v>0.555061269892677</v>
      </c>
      <c r="AI44" s="27" t="n">
        <f aca="false">VLOOKUP(B44,proft,2,0)</f>
        <v>25.9747604476677</v>
      </c>
      <c r="AJ44" s="27" t="n">
        <f aca="false">VLOOKUP(B44,proft,3,0)</f>
        <v>1.6231651306152</v>
      </c>
      <c r="AK44" s="27" t="s">
        <v>72</v>
      </c>
      <c r="AM44" s="33"/>
      <c r="BA44" s="47" t="n">
        <v>26.3125</v>
      </c>
      <c r="BB44" s="47" t="n">
        <v>2.094</v>
      </c>
      <c r="BC44" s="47" t="n">
        <v>0.02094</v>
      </c>
      <c r="BD44" s="31" t="n">
        <v>26.3125</v>
      </c>
      <c r="BE44" s="31" t="n">
        <v>2.094</v>
      </c>
      <c r="BF44" s="31" t="n">
        <v>0.02094</v>
      </c>
      <c r="BG44" s="14" t="n">
        <f aca="false">10^6/((BA44+273.15)^2)</f>
        <v>11.1510331844311</v>
      </c>
      <c r="BH44" s="14" t="n">
        <f aca="false">BG44*(2*($BE44/($BD44+273.15)))</f>
        <v>0.155947829783019</v>
      </c>
      <c r="BI44" s="14" t="n">
        <f aca="false">BG44*(2*($BF44/($BD44+273.15)))</f>
        <v>0.00155947829783019</v>
      </c>
      <c r="BK44" s="14" t="n">
        <f aca="false">10^6/((AG44+273.15)^2)</f>
        <v>10.9897181271607</v>
      </c>
      <c r="BL44" s="14" t="n">
        <f aca="false">BK44*(2*($AH44/($AG44+273.15)))</f>
        <v>0.0404436879415585</v>
      </c>
      <c r="BM44" s="14" t="n">
        <f aca="false">10^6/((AI44+273.15)^2)</f>
        <v>11.1762284983416</v>
      </c>
      <c r="BN44" s="14" t="n">
        <f aca="false">BM44*(2*($AJ44/($AI44+273.15)))</f>
        <v>0.121292963933488</v>
      </c>
    </row>
    <row r="45" s="14" customFormat="true" ht="16" hidden="false" customHeight="false" outlineLevel="0" collapsed="false">
      <c r="A45" s="22" t="s">
        <v>223</v>
      </c>
      <c r="B45" s="40" t="s">
        <v>224</v>
      </c>
      <c r="C45" s="14" t="s">
        <v>53</v>
      </c>
      <c r="D45" s="36" t="s">
        <v>225</v>
      </c>
      <c r="E45" s="24" t="s">
        <v>222</v>
      </c>
      <c r="F45" s="22" t="n">
        <v>-2.18</v>
      </c>
      <c r="G45" s="22" t="n">
        <v>157</v>
      </c>
      <c r="H45" s="22" t="s">
        <v>56</v>
      </c>
      <c r="I45" s="22" t="s">
        <v>57</v>
      </c>
      <c r="J45" s="22" t="n">
        <v>1614</v>
      </c>
      <c r="K45" s="25" t="s">
        <v>223</v>
      </c>
      <c r="L45" s="22" t="s">
        <v>226</v>
      </c>
      <c r="M45" s="22" t="s">
        <v>227</v>
      </c>
      <c r="N45" s="22" t="s">
        <v>228</v>
      </c>
      <c r="O45" s="22" t="s">
        <v>92</v>
      </c>
      <c r="P45" s="22" t="s">
        <v>92</v>
      </c>
      <c r="Q45" s="22" t="n">
        <v>4</v>
      </c>
      <c r="R45" s="25" t="s">
        <v>62</v>
      </c>
      <c r="S45" s="25" t="n">
        <v>34.9421739130435</v>
      </c>
      <c r="T45" s="22" t="n">
        <v>11.0624545454545</v>
      </c>
      <c r="U45" s="41" t="n">
        <v>6</v>
      </c>
      <c r="V45" s="42" t="n">
        <v>2.07833333333333</v>
      </c>
      <c r="W45" s="42" t="n">
        <v>0.0978604448521806</v>
      </c>
      <c r="X45" s="42" t="n">
        <v>0.0399513593149359</v>
      </c>
      <c r="Y45" s="42" t="n">
        <v>-1.59166666666667</v>
      </c>
      <c r="Z45" s="42" t="n">
        <v>0.21848722311995</v>
      </c>
      <c r="AA45" s="42" t="n">
        <v>0.0891970353269162</v>
      </c>
      <c r="AB45" s="27" t="n">
        <v>0.3054444</v>
      </c>
      <c r="AC45" s="27" t="n">
        <v>0.207122174674524</v>
      </c>
      <c r="AD45" s="27" t="n">
        <v>0.207122174674524</v>
      </c>
      <c r="AE45" s="43" t="n">
        <v>0.599666666666667</v>
      </c>
      <c r="AF45" s="43" t="n">
        <v>0.00817176711475417</v>
      </c>
      <c r="AG45" s="29" t="n">
        <v>28.5787642935048</v>
      </c>
      <c r="AH45" s="27" t="n">
        <v>1.22761404596313</v>
      </c>
      <c r="AI45" s="27" t="n">
        <f aca="false">VLOOKUP(B45,proft,2,0)</f>
        <v>24.2709489519619</v>
      </c>
      <c r="AJ45" s="27" t="n">
        <f aca="false">VLOOKUP(B45,proft,3,0)</f>
        <v>2.0227680206299</v>
      </c>
      <c r="AK45" s="27" t="s">
        <v>63</v>
      </c>
      <c r="BA45" s="30" t="n">
        <v>23.5743</v>
      </c>
      <c r="BB45" s="30" t="n">
        <v>2.237</v>
      </c>
      <c r="BC45" s="30" t="n">
        <v>0.02237</v>
      </c>
      <c r="BD45" s="31" t="n">
        <v>23.5743</v>
      </c>
      <c r="BE45" s="31" t="n">
        <v>2.237</v>
      </c>
      <c r="BF45" s="31" t="n">
        <v>0.02237</v>
      </c>
      <c r="BG45" s="14" t="n">
        <f aca="false">10^6/((BA45+273.15)^2)</f>
        <v>11.3577883661185</v>
      </c>
      <c r="BH45" s="14" t="n">
        <f aca="false">BG45*(2*($BE45/($BD45+273.15)))</f>
        <v>0.171252388665216</v>
      </c>
      <c r="BI45" s="14" t="n">
        <f aca="false">BG45*(2*($BF45/($BD45+273.15)))</f>
        <v>0.00171252388665216</v>
      </c>
      <c r="BK45" s="14" t="n">
        <f aca="false">10^6/((AG45+273.15)^2)</f>
        <v>10.9841529513893</v>
      </c>
      <c r="BL45" s="14" t="n">
        <f aca="false">BK45*(2*($AH45/($AG45+273.15)))</f>
        <v>0.0893802781959238</v>
      </c>
      <c r="BM45" s="14" t="n">
        <f aca="false">10^6/((AI45+273.15)^2)</f>
        <v>11.3046439941811</v>
      </c>
      <c r="BN45" s="14" t="n">
        <f aca="false">BM45*(2*($AJ45/($AI45+273.15)))</f>
        <v>0.153766386911292</v>
      </c>
    </row>
    <row r="46" s="14" customFormat="true" ht="16" hidden="false" customHeight="false" outlineLevel="0" collapsed="false">
      <c r="A46" s="22" t="s">
        <v>229</v>
      </c>
      <c r="B46" s="40" t="s">
        <v>230</v>
      </c>
      <c r="C46" s="14" t="s">
        <v>53</v>
      </c>
      <c r="D46" s="36" t="s">
        <v>231</v>
      </c>
      <c r="E46" s="24" t="s">
        <v>222</v>
      </c>
      <c r="F46" s="22" t="n">
        <v>-2.18</v>
      </c>
      <c r="G46" s="22" t="n">
        <v>157</v>
      </c>
      <c r="H46" s="22" t="s">
        <v>56</v>
      </c>
      <c r="I46" s="22" t="s">
        <v>57</v>
      </c>
      <c r="J46" s="22" t="n">
        <v>1614</v>
      </c>
      <c r="K46" s="25" t="s">
        <v>229</v>
      </c>
      <c r="L46" s="22" t="s">
        <v>58</v>
      </c>
      <c r="M46" s="22" t="s">
        <v>232</v>
      </c>
      <c r="N46" s="22" t="s">
        <v>233</v>
      </c>
      <c r="O46" s="22" t="s">
        <v>61</v>
      </c>
      <c r="P46" s="22" t="s">
        <v>61</v>
      </c>
      <c r="Q46" s="22" t="n">
        <v>3</v>
      </c>
      <c r="R46" s="25" t="s">
        <v>234</v>
      </c>
      <c r="S46" s="25" t="n">
        <v>35.219875</v>
      </c>
      <c r="T46" s="22" t="n">
        <v>11.0624545454545</v>
      </c>
      <c r="U46" s="41" t="n">
        <v>5</v>
      </c>
      <c r="V46" s="42" t="n">
        <v>1.736</v>
      </c>
      <c r="W46" s="42" t="n">
        <v>0.0928977932999487</v>
      </c>
      <c r="X46" s="42" t="n">
        <v>0.041545156155682</v>
      </c>
      <c r="Y46" s="42" t="n">
        <v>-0.386</v>
      </c>
      <c r="Z46" s="42" t="n">
        <v>0.15274161188098</v>
      </c>
      <c r="AA46" s="42" t="n">
        <v>0.0683081254317522</v>
      </c>
      <c r="AB46" s="27" t="n">
        <v>0.272355646</v>
      </c>
      <c r="AC46" s="27" t="n">
        <v>0.231242300874694</v>
      </c>
      <c r="AD46" s="27" t="n">
        <v>0.206626717398222</v>
      </c>
      <c r="AE46" s="43" t="n">
        <v>0.5978</v>
      </c>
      <c r="AF46" s="43" t="n">
        <v>0.00461952378498044</v>
      </c>
      <c r="AG46" s="29" t="n">
        <v>17.302487373352</v>
      </c>
      <c r="AH46" s="27" t="n">
        <v>5.98384420626632</v>
      </c>
      <c r="AI46" s="27" t="n">
        <f aca="false">VLOOKUP(B46,proft,2,0)</f>
        <v>18.1611346345033</v>
      </c>
      <c r="AJ46" s="27" t="n">
        <f aca="false">VLOOKUP(B46,proft,3,0)</f>
        <v>3.6172599792481</v>
      </c>
      <c r="AK46" s="27" t="s">
        <v>63</v>
      </c>
      <c r="BA46" s="30" t="n">
        <v>18.8361</v>
      </c>
      <c r="BB46" s="30" t="n">
        <v>2.257</v>
      </c>
      <c r="BC46" s="30" t="n">
        <v>0.02257</v>
      </c>
      <c r="BD46" s="31" t="n">
        <v>18.8361</v>
      </c>
      <c r="BE46" s="31" t="n">
        <v>2.257</v>
      </c>
      <c r="BF46" s="31" t="n">
        <v>0.02257</v>
      </c>
      <c r="BG46" s="14" t="n">
        <f aca="false">10^6/((BA46+273.15)^2)</f>
        <v>11.7293959030534</v>
      </c>
      <c r="BH46" s="14" t="n">
        <f aca="false">BG46*(2*($BE46/($BD46+273.15)))</f>
        <v>0.18133223844006</v>
      </c>
      <c r="BI46" s="14" t="n">
        <f aca="false">BG46*(2*($BF46/($BD46+273.15)))</f>
        <v>0.0018133223844006</v>
      </c>
      <c r="BK46" s="14" t="n">
        <f aca="false">10^6/((AG46+273.15)^2)</f>
        <v>11.8535872280689</v>
      </c>
      <c r="BL46" s="14" t="n">
        <f aca="false">BK46*(2*($AH46/($AG46+273.15)))</f>
        <v>0.488410479108607</v>
      </c>
      <c r="BM46" s="14" t="n">
        <f aca="false">10^6/((AI46+273.15)^2)</f>
        <v>11.7838126883138</v>
      </c>
      <c r="BN46" s="14" t="n">
        <f aca="false">BM46*(2*($AJ46/($AI46+273.15)))</f>
        <v>0.29264321869381</v>
      </c>
    </row>
    <row r="47" s="14" customFormat="true" ht="16" hidden="false" customHeight="false" outlineLevel="0" collapsed="false">
      <c r="A47" s="22" t="s">
        <v>130</v>
      </c>
      <c r="B47" s="40" t="s">
        <v>235</v>
      </c>
      <c r="C47" s="14" t="s">
        <v>53</v>
      </c>
      <c r="D47" s="36" t="s">
        <v>236</v>
      </c>
      <c r="E47" s="24" t="s">
        <v>222</v>
      </c>
      <c r="F47" s="22" t="n">
        <v>-2.18</v>
      </c>
      <c r="G47" s="22" t="n">
        <v>157</v>
      </c>
      <c r="H47" s="22" t="s">
        <v>56</v>
      </c>
      <c r="I47" s="22" t="s">
        <v>57</v>
      </c>
      <c r="J47" s="22" t="n">
        <v>1614</v>
      </c>
      <c r="K47" s="25" t="s">
        <v>130</v>
      </c>
      <c r="L47" s="22" t="s">
        <v>80</v>
      </c>
      <c r="M47" s="22" t="s">
        <v>134</v>
      </c>
      <c r="N47" s="22" t="s">
        <v>135</v>
      </c>
      <c r="O47" s="22" t="s">
        <v>92</v>
      </c>
      <c r="P47" s="22" t="s">
        <v>92</v>
      </c>
      <c r="Q47" s="22" t="n">
        <v>4</v>
      </c>
      <c r="R47" s="25" t="s">
        <v>62</v>
      </c>
      <c r="S47" s="25" t="n">
        <v>35.0327647058824</v>
      </c>
      <c r="T47" s="22" t="n">
        <v>11.0624545454545</v>
      </c>
      <c r="U47" s="41" t="n">
        <v>6</v>
      </c>
      <c r="V47" s="42" t="n">
        <v>1.50833333333333</v>
      </c>
      <c r="W47" s="42" t="n">
        <v>0.101275202624664</v>
      </c>
      <c r="X47" s="42" t="n">
        <v>0.0413454283379003</v>
      </c>
      <c r="Y47" s="42" t="n">
        <v>-0.701666666666667</v>
      </c>
      <c r="Z47" s="42" t="n">
        <v>0.194053257294658</v>
      </c>
      <c r="AA47" s="42" t="n">
        <v>0.0792219105494882</v>
      </c>
      <c r="AB47" s="27" t="n">
        <v>0.295722386666667</v>
      </c>
      <c r="AC47" s="27" t="n">
        <v>0.208013619032277</v>
      </c>
      <c r="AD47" s="27" t="n">
        <v>0.201357751983423</v>
      </c>
      <c r="AE47" s="43" t="n">
        <v>0.599</v>
      </c>
      <c r="AF47" s="43" t="n">
        <v>0.00673795221116921</v>
      </c>
      <c r="AG47" s="29" t="n">
        <v>28.5982984655044</v>
      </c>
      <c r="AH47" s="27" t="n">
        <v>0.829347066633247</v>
      </c>
      <c r="AI47" s="27" t="n">
        <f aca="false">VLOOKUP(B47,proft,2,0)</f>
        <v>19.7486055079291</v>
      </c>
      <c r="AJ47" s="27" t="n">
        <f aca="false">VLOOKUP(B47,proft,3,0)</f>
        <v>3.0948581695557</v>
      </c>
      <c r="AK47" s="27" t="s">
        <v>63</v>
      </c>
      <c r="BA47" s="30" t="n">
        <v>20.1174</v>
      </c>
      <c r="BB47" s="30" t="n">
        <v>2.247</v>
      </c>
      <c r="BC47" s="30" t="n">
        <v>0.02247</v>
      </c>
      <c r="BD47" s="31" t="n">
        <v>20.1174</v>
      </c>
      <c r="BE47" s="31" t="n">
        <v>2.247</v>
      </c>
      <c r="BF47" s="31" t="n">
        <v>0.02247</v>
      </c>
      <c r="BG47" s="14" t="n">
        <f aca="false">10^6/((BA47+273.15)^2)</f>
        <v>11.6271271611762</v>
      </c>
      <c r="BH47" s="14" t="n">
        <f aca="false">BG47*(2*($BE47/($BD47+273.15)))</f>
        <v>0.17817292158053</v>
      </c>
      <c r="BI47" s="14" t="n">
        <f aca="false">BG47*(2*($BF47/($BD47+273.15)))</f>
        <v>0.0017817292158053</v>
      </c>
      <c r="BK47" s="14" t="n">
        <f aca="false">10^6/((AG47+273.15)^2)</f>
        <v>10.9827308430364</v>
      </c>
      <c r="BL47" s="14" t="n">
        <f aca="false">BK47*(2*($AH47/($AG47+273.15)))</f>
        <v>0.0603714795053665</v>
      </c>
      <c r="BM47" s="14" t="n">
        <f aca="false">10^6/((AI47+273.15)^2)</f>
        <v>11.6564254913227</v>
      </c>
      <c r="BN47" s="14" t="n">
        <f aca="false">BM47*(2*($AJ47/($AI47+273.15)))</f>
        <v>0.246330866595135</v>
      </c>
    </row>
    <row r="48" s="14" customFormat="true" ht="16" hidden="false" customHeight="false" outlineLevel="0" collapsed="false">
      <c r="A48" s="22" t="s">
        <v>139</v>
      </c>
      <c r="B48" s="40" t="s">
        <v>237</v>
      </c>
      <c r="C48" s="14" t="s">
        <v>53</v>
      </c>
      <c r="D48" s="36" t="s">
        <v>238</v>
      </c>
      <c r="E48" s="24" t="s">
        <v>222</v>
      </c>
      <c r="F48" s="22" t="n">
        <v>-2.18</v>
      </c>
      <c r="G48" s="22" t="n">
        <v>157</v>
      </c>
      <c r="H48" s="22" t="s">
        <v>56</v>
      </c>
      <c r="I48" s="22" t="s">
        <v>57</v>
      </c>
      <c r="J48" s="22" t="n">
        <v>1614</v>
      </c>
      <c r="K48" s="25" t="s">
        <v>139</v>
      </c>
      <c r="L48" s="22" t="s">
        <v>144</v>
      </c>
      <c r="M48" s="22" t="s">
        <v>145</v>
      </c>
      <c r="N48" s="22" t="s">
        <v>146</v>
      </c>
      <c r="O48" s="22" t="s">
        <v>92</v>
      </c>
      <c r="P48" s="22" t="s">
        <v>92</v>
      </c>
      <c r="Q48" s="22" t="n">
        <v>4</v>
      </c>
      <c r="R48" s="25" t="s">
        <v>62</v>
      </c>
      <c r="S48" s="25" t="n">
        <v>35.4555</v>
      </c>
      <c r="T48" s="22" t="n">
        <v>11.0624545454545</v>
      </c>
      <c r="U48" s="41" t="n">
        <v>9</v>
      </c>
      <c r="V48" s="42" t="n">
        <v>1.36888888888889</v>
      </c>
      <c r="W48" s="42" t="n">
        <v>0.105882534495124</v>
      </c>
      <c r="X48" s="42" t="n">
        <v>0.0352941781650413</v>
      </c>
      <c r="Y48" s="42" t="n">
        <v>-1.27444444444444</v>
      </c>
      <c r="Z48" s="42" t="n">
        <v>0.220233461984727</v>
      </c>
      <c r="AA48" s="42" t="n">
        <v>0.073411153994909</v>
      </c>
      <c r="AB48" s="27" t="n">
        <v>0.328630955</v>
      </c>
      <c r="AC48" s="27" t="n">
        <v>0.204401488845292</v>
      </c>
      <c r="AD48" s="27" t="n">
        <v>0.202212720472986</v>
      </c>
      <c r="AE48" s="43" t="n">
        <v>0.578111111111111</v>
      </c>
      <c r="AF48" s="43" t="n">
        <v>0.00981416839240941</v>
      </c>
      <c r="AG48" s="29" t="n">
        <v>20.9899876912435</v>
      </c>
      <c r="AH48" s="27" t="n">
        <v>3.3381035758626</v>
      </c>
      <c r="AI48" s="27" t="n">
        <f aca="false">VLOOKUP(B48,proft,2,0)</f>
        <v>22.6703696394383</v>
      </c>
      <c r="AJ48" s="27" t="n">
        <f aca="false">VLOOKUP(B48,proft,3,0)</f>
        <v>3.0118083953858</v>
      </c>
      <c r="AK48" s="27" t="s">
        <v>63</v>
      </c>
      <c r="BA48" s="30" t="n">
        <v>22.4704</v>
      </c>
      <c r="BB48" s="30" t="n">
        <v>2.238</v>
      </c>
      <c r="BC48" s="30" t="n">
        <v>0.02238</v>
      </c>
      <c r="BD48" s="31" t="n">
        <v>22.4704</v>
      </c>
      <c r="BE48" s="31" t="n">
        <v>2.238</v>
      </c>
      <c r="BF48" s="31" t="n">
        <v>0.02238</v>
      </c>
      <c r="BG48" s="14" t="n">
        <f aca="false">10^6/((BA48+273.15)^2)</f>
        <v>11.4427708091418</v>
      </c>
      <c r="BH48" s="14" t="n">
        <f aca="false">BG48*(2*($BE48/($BD48+273.15)))</f>
        <v>0.173255438872684</v>
      </c>
      <c r="BI48" s="14" t="n">
        <f aca="false">BG48*(2*($BF48/($BD48+273.15)))</f>
        <v>0.00173255438872684</v>
      </c>
      <c r="BK48" s="14" t="n">
        <f aca="false">10^6/((AG48+273.15)^2)</f>
        <v>11.5582440476376</v>
      </c>
      <c r="BL48" s="14" t="n">
        <f aca="false">BK48*(2*($AH48/($AG48+273.15)))</f>
        <v>0.26234186034312</v>
      </c>
      <c r="BM48" s="14" t="n">
        <f aca="false">10^6/((AI48+273.15)^2)</f>
        <v>11.4273057932549</v>
      </c>
      <c r="BN48" s="14" t="n">
        <f aca="false">BM48*(2*($AJ48/($AI48+273.15)))</f>
        <v>0.232687529710784</v>
      </c>
    </row>
    <row r="49" s="14" customFormat="true" ht="16" hidden="false" customHeight="false" outlineLevel="0" collapsed="false">
      <c r="A49" s="22" t="s">
        <v>67</v>
      </c>
      <c r="B49" s="40" t="s">
        <v>239</v>
      </c>
      <c r="C49" s="14" t="s">
        <v>53</v>
      </c>
      <c r="D49" s="36" t="s">
        <v>240</v>
      </c>
      <c r="E49" s="24" t="s">
        <v>241</v>
      </c>
      <c r="F49" s="22" t="n">
        <v>-2.18</v>
      </c>
      <c r="G49" s="22" t="n">
        <v>157</v>
      </c>
      <c r="H49" s="22" t="s">
        <v>56</v>
      </c>
      <c r="I49" s="22" t="s">
        <v>57</v>
      </c>
      <c r="J49" s="22" t="n">
        <v>1616</v>
      </c>
      <c r="K49" s="25" t="s">
        <v>67</v>
      </c>
      <c r="L49" s="22" t="s">
        <v>68</v>
      </c>
      <c r="M49" s="22" t="s">
        <v>69</v>
      </c>
      <c r="N49" s="22" t="s">
        <v>70</v>
      </c>
      <c r="O49" s="22" t="s">
        <v>71</v>
      </c>
      <c r="P49" s="22" t="s">
        <v>71</v>
      </c>
      <c r="Q49" s="22" t="n">
        <v>5</v>
      </c>
      <c r="R49" s="25" t="s">
        <v>62</v>
      </c>
      <c r="S49" s="25" t="n">
        <v>35.1515454545455</v>
      </c>
      <c r="T49" s="22" t="n">
        <v>8.82750197628458</v>
      </c>
      <c r="U49" s="41" t="n">
        <v>9</v>
      </c>
      <c r="V49" s="42" t="n">
        <v>2.23111111111111</v>
      </c>
      <c r="W49" s="42" t="n">
        <v>0.110390720221906</v>
      </c>
      <c r="X49" s="42" t="n">
        <v>0.0367969067406353</v>
      </c>
      <c r="Y49" s="42" t="n">
        <v>-1.98444444444444</v>
      </c>
      <c r="Z49" s="42" t="n">
        <v>0.117272237881682</v>
      </c>
      <c r="AA49" s="42" t="n">
        <v>0.0390907459605606</v>
      </c>
      <c r="AB49" s="27" t="n">
        <v>0.2775805</v>
      </c>
      <c r="AC49" s="27" t="n">
        <v>0.213740658863378</v>
      </c>
      <c r="AD49" s="27" t="n">
        <v>0.204682737630177</v>
      </c>
      <c r="AE49" s="43" t="n">
        <v>0.590555555555556</v>
      </c>
      <c r="AF49" s="43" t="n">
        <v>0.00729556773952346</v>
      </c>
      <c r="AG49" s="29" t="n">
        <v>28.5023571361195</v>
      </c>
      <c r="AH49" s="27" t="n">
        <v>0.555061269892677</v>
      </c>
      <c r="AI49" s="27" t="n">
        <f aca="false">VLOOKUP(B49,proft,2,0)</f>
        <v>26.1914700620286</v>
      </c>
      <c r="AJ49" s="27" t="n">
        <f aca="false">VLOOKUP(B49,proft,3,0)</f>
        <v>1.6231651306152</v>
      </c>
      <c r="AK49" s="27" t="s">
        <v>72</v>
      </c>
      <c r="BA49" s="30" t="n">
        <v>26.5066</v>
      </c>
      <c r="BB49" s="30" t="n">
        <v>2.093</v>
      </c>
      <c r="BC49" s="30" t="n">
        <v>0.02093</v>
      </c>
      <c r="BD49" s="31" t="n">
        <v>26.5066</v>
      </c>
      <c r="BE49" s="31" t="n">
        <v>2.093</v>
      </c>
      <c r="BF49" s="31" t="n">
        <v>0.02093</v>
      </c>
      <c r="BG49" s="14" t="n">
        <f aca="false">10^6/((BA49+273.15)^2)</f>
        <v>11.1365918902946</v>
      </c>
      <c r="BH49" s="14" t="n">
        <f aca="false">BG49*(2*($BE49/($BD49+273.15)))</f>
        <v>0.155570655386109</v>
      </c>
      <c r="BI49" s="14" t="n">
        <f aca="false">BG49*(2*($BF49/($BD49+273.15)))</f>
        <v>0.00155570655386109</v>
      </c>
      <c r="BK49" s="14" t="n">
        <f aca="false">10^6/((AG49+273.15)^2)</f>
        <v>10.9897181271607</v>
      </c>
      <c r="BL49" s="14" t="n">
        <f aca="false">BK49*(2*($AH49/($AG49+273.15)))</f>
        <v>0.0404436879415585</v>
      </c>
      <c r="BM49" s="14" t="n">
        <f aca="false">10^6/((AI49+273.15)^2)</f>
        <v>11.1600521933356</v>
      </c>
      <c r="BN49" s="14" t="n">
        <f aca="false">BM49*(2*($AJ49/($AI49+273.15)))</f>
        <v>0.121029722826673</v>
      </c>
    </row>
    <row r="50" s="14" customFormat="true" ht="16" hidden="false" customHeight="false" outlineLevel="0" collapsed="false">
      <c r="A50" s="22" t="s">
        <v>223</v>
      </c>
      <c r="B50" s="40" t="s">
        <v>242</v>
      </c>
      <c r="C50" s="14" t="s">
        <v>53</v>
      </c>
      <c r="D50" s="36" t="s">
        <v>243</v>
      </c>
      <c r="E50" s="24" t="s">
        <v>241</v>
      </c>
      <c r="F50" s="22" t="n">
        <v>-2.18</v>
      </c>
      <c r="G50" s="22" t="n">
        <v>157</v>
      </c>
      <c r="H50" s="22" t="s">
        <v>56</v>
      </c>
      <c r="I50" s="22" t="s">
        <v>57</v>
      </c>
      <c r="J50" s="22" t="n">
        <v>1616</v>
      </c>
      <c r="K50" s="25" t="s">
        <v>223</v>
      </c>
      <c r="L50" s="22" t="s">
        <v>226</v>
      </c>
      <c r="M50" s="22" t="s">
        <v>227</v>
      </c>
      <c r="N50" s="22" t="s">
        <v>228</v>
      </c>
      <c r="O50" s="22" t="s">
        <v>92</v>
      </c>
      <c r="P50" s="22" t="s">
        <v>92</v>
      </c>
      <c r="Q50" s="22" t="n">
        <v>4</v>
      </c>
      <c r="R50" s="25" t="s">
        <v>62</v>
      </c>
      <c r="S50" s="25" t="n">
        <v>34.9421739130435</v>
      </c>
      <c r="T50" s="22" t="n">
        <v>8.82750197628458</v>
      </c>
      <c r="U50" s="41" t="n">
        <v>6</v>
      </c>
      <c r="V50" s="42" t="n">
        <v>1.97333333333333</v>
      </c>
      <c r="W50" s="42" t="n">
        <v>0.0602218122167265</v>
      </c>
      <c r="X50" s="42" t="n">
        <v>0.0245854518861144</v>
      </c>
      <c r="Y50" s="42" t="n">
        <v>-1.61833333333333</v>
      </c>
      <c r="Z50" s="42" t="n">
        <v>0.146207614940764</v>
      </c>
      <c r="AA50" s="42" t="n">
        <v>0.0596890088523656</v>
      </c>
      <c r="AB50" s="27" t="n">
        <v>0.3054444</v>
      </c>
      <c r="AC50" s="27" t="n">
        <v>0.207122174674524</v>
      </c>
      <c r="AD50" s="27" t="n">
        <v>0.200803827775021</v>
      </c>
      <c r="AE50" s="43" t="n">
        <v>0.593666666666667</v>
      </c>
      <c r="AF50" s="43" t="n">
        <v>0.00719104381234819</v>
      </c>
      <c r="AG50" s="29" t="n">
        <v>28.5787642935048</v>
      </c>
      <c r="AH50" s="27" t="n">
        <v>1.22761404596313</v>
      </c>
      <c r="AI50" s="27" t="n">
        <f aca="false">VLOOKUP(B50,proft,2,0)</f>
        <v>24.3961115207536</v>
      </c>
      <c r="AJ50" s="27" t="n">
        <f aca="false">VLOOKUP(B50,proft,3,0)</f>
        <v>2.0227680206299</v>
      </c>
      <c r="AK50" s="27" t="s">
        <v>63</v>
      </c>
      <c r="BA50" s="30" t="n">
        <v>23.7015</v>
      </c>
      <c r="BB50" s="30" t="n">
        <v>2.188</v>
      </c>
      <c r="BC50" s="30" t="n">
        <v>0.02188</v>
      </c>
      <c r="BD50" s="31" t="n">
        <v>23.7015</v>
      </c>
      <c r="BE50" s="31" t="n">
        <v>2.188</v>
      </c>
      <c r="BF50" s="31" t="n">
        <v>0.02188</v>
      </c>
      <c r="BG50" s="14" t="n">
        <f aca="false">10^6/((BA50+273.15)^2)</f>
        <v>11.3480568932911</v>
      </c>
      <c r="BH50" s="14" t="n">
        <f aca="false">BG50*(2*($BE50/($BD50+273.15)))</f>
        <v>0.167285989678482</v>
      </c>
      <c r="BI50" s="14" t="n">
        <f aca="false">BG50*(2*($BF50/($BD50+273.15)))</f>
        <v>0.00167285989678482</v>
      </c>
      <c r="BK50" s="14" t="n">
        <f aca="false">10^6/((AG50+273.15)^2)</f>
        <v>10.9841529513893</v>
      </c>
      <c r="BL50" s="14" t="n">
        <f aca="false">BK50*(2*($AH50/($AG50+273.15)))</f>
        <v>0.0893802781959238</v>
      </c>
      <c r="BM50" s="14" t="n">
        <f aca="false">10^6/((AI50+273.15)^2)</f>
        <v>11.2951354129253</v>
      </c>
      <c r="BN50" s="14" t="n">
        <f aca="false">BM50*(2*($AJ50/($AI50+273.15)))</f>
        <v>0.153572423347606</v>
      </c>
    </row>
    <row r="51" s="14" customFormat="true" ht="16" hidden="false" customHeight="false" outlineLevel="0" collapsed="false">
      <c r="A51" s="22" t="s">
        <v>139</v>
      </c>
      <c r="B51" s="40" t="s">
        <v>244</v>
      </c>
      <c r="C51" s="14" t="s">
        <v>53</v>
      </c>
      <c r="D51" s="36" t="s">
        <v>245</v>
      </c>
      <c r="E51" s="24" t="s">
        <v>241</v>
      </c>
      <c r="F51" s="22" t="n">
        <v>-2.18</v>
      </c>
      <c r="G51" s="22" t="n">
        <v>157</v>
      </c>
      <c r="H51" s="22" t="s">
        <v>56</v>
      </c>
      <c r="I51" s="22" t="s">
        <v>57</v>
      </c>
      <c r="J51" s="22" t="n">
        <v>1614</v>
      </c>
      <c r="K51" s="25" t="s">
        <v>139</v>
      </c>
      <c r="L51" s="22" t="s">
        <v>144</v>
      </c>
      <c r="M51" s="22" t="s">
        <v>145</v>
      </c>
      <c r="N51" s="22" t="s">
        <v>146</v>
      </c>
      <c r="O51" s="22" t="s">
        <v>92</v>
      </c>
      <c r="P51" s="22" t="s">
        <v>92</v>
      </c>
      <c r="Q51" s="22" t="n">
        <v>4</v>
      </c>
      <c r="R51" s="25" t="s">
        <v>62</v>
      </c>
      <c r="S51" s="25" t="n">
        <v>35.4555</v>
      </c>
      <c r="T51" s="22" t="n">
        <v>8.82750197628458</v>
      </c>
      <c r="U51" s="41" t="n">
        <v>6</v>
      </c>
      <c r="V51" s="42" t="n">
        <v>1.33</v>
      </c>
      <c r="W51" s="42" t="n">
        <v>0.0701427116670007</v>
      </c>
      <c r="X51" s="42" t="n">
        <v>0.0286356421265527</v>
      </c>
      <c r="Y51" s="42" t="n">
        <v>-1.31333333333333</v>
      </c>
      <c r="Z51" s="42" t="n">
        <v>0.0952190457139047</v>
      </c>
      <c r="AA51" s="42" t="n">
        <v>0.038873012632302</v>
      </c>
      <c r="AB51" s="27" t="n">
        <v>0.328630955</v>
      </c>
      <c r="AC51" s="27" t="n">
        <v>0.204401488845292</v>
      </c>
      <c r="AD51" s="27" t="n">
        <v>0.202212720472986</v>
      </c>
      <c r="AE51" s="43" t="n">
        <v>0.606833333333333</v>
      </c>
      <c r="AF51" s="43" t="n">
        <v>0.00613958015213129</v>
      </c>
      <c r="AG51" s="29" t="n">
        <v>20.9899876912435</v>
      </c>
      <c r="AH51" s="27" t="n">
        <v>3.3381035758626</v>
      </c>
      <c r="AI51" s="27" t="n">
        <f aca="false">VLOOKUP(B51,proft,2,0)</f>
        <v>22.8702847982255</v>
      </c>
      <c r="AJ51" s="27" t="n">
        <f aca="false">VLOOKUP(B51,proft,3,0)</f>
        <v>3.0118083953858</v>
      </c>
      <c r="AK51" s="27" t="s">
        <v>63</v>
      </c>
      <c r="BA51" s="30" t="n">
        <v>22.629</v>
      </c>
      <c r="BB51" s="30" t="n">
        <v>2.244</v>
      </c>
      <c r="BC51" s="30" t="n">
        <v>0.02244</v>
      </c>
      <c r="BD51" s="31" t="n">
        <v>22.629</v>
      </c>
      <c r="BE51" s="31" t="n">
        <v>2.244</v>
      </c>
      <c r="BF51" s="31" t="n">
        <v>0.02244</v>
      </c>
      <c r="BG51" s="14" t="n">
        <f aca="false">10^6/((BA51+273.15)^2)</f>
        <v>11.43050261643</v>
      </c>
      <c r="BH51" s="14" t="n">
        <f aca="false">BG51*(2*($BE51/($BD51+273.15)))</f>
        <v>0.173440628788853</v>
      </c>
      <c r="BI51" s="14" t="n">
        <f aca="false">BG51*(2*($BF51/($BD51+273.15)))</f>
        <v>0.00173440628788853</v>
      </c>
      <c r="BK51" s="14" t="n">
        <f aca="false">10^6/((AG51+273.15)^2)</f>
        <v>11.5582440476376</v>
      </c>
      <c r="BL51" s="14" t="n">
        <f aca="false">BK51*(2*($AH51/($AG51+273.15)))</f>
        <v>0.26234186034312</v>
      </c>
      <c r="BM51" s="14" t="n">
        <f aca="false">10^6/((AI51+273.15)^2)</f>
        <v>11.4118763084392</v>
      </c>
      <c r="BN51" s="14" t="n">
        <f aca="false">BM51*(2*($AJ51/($AI51+273.15)))</f>
        <v>0.232216416495169</v>
      </c>
    </row>
    <row r="52" s="14" customFormat="true" ht="16" hidden="false" customHeight="false" outlineLevel="0" collapsed="false">
      <c r="A52" s="22" t="s">
        <v>67</v>
      </c>
      <c r="B52" s="40" t="s">
        <v>246</v>
      </c>
      <c r="C52" s="14" t="s">
        <v>53</v>
      </c>
      <c r="D52" s="36" t="s">
        <v>247</v>
      </c>
      <c r="E52" s="24" t="s">
        <v>248</v>
      </c>
      <c r="F52" s="22" t="n">
        <v>-0.997</v>
      </c>
      <c r="G52" s="22" t="n">
        <v>157.8</v>
      </c>
      <c r="H52" s="22" t="s">
        <v>56</v>
      </c>
      <c r="I52" s="22" t="s">
        <v>57</v>
      </c>
      <c r="J52" s="22" t="n">
        <v>2015</v>
      </c>
      <c r="K52" s="25" t="s">
        <v>67</v>
      </c>
      <c r="L52" s="22" t="s">
        <v>68</v>
      </c>
      <c r="M52" s="22" t="s">
        <v>69</v>
      </c>
      <c r="N52" s="22" t="s">
        <v>70</v>
      </c>
      <c r="O52" s="22" t="s">
        <v>71</v>
      </c>
      <c r="P52" s="22" t="s">
        <v>71</v>
      </c>
      <c r="Q52" s="22" t="n">
        <v>5</v>
      </c>
      <c r="R52" s="25" t="s">
        <v>62</v>
      </c>
      <c r="S52" s="25" t="n">
        <v>34.9866363636364</v>
      </c>
      <c r="T52" s="22" t="n">
        <v>4.35245945945946</v>
      </c>
      <c r="U52" s="41" t="n">
        <v>4</v>
      </c>
      <c r="V52" s="42" t="n">
        <v>2.095</v>
      </c>
      <c r="W52" s="42" t="n">
        <v>0.00577350269189639</v>
      </c>
      <c r="X52" s="42" t="n">
        <v>0.0028867513459482</v>
      </c>
      <c r="Y52" s="42" t="n">
        <v>-1.6825</v>
      </c>
      <c r="Z52" s="42" t="n">
        <v>0.005</v>
      </c>
      <c r="AA52" s="42" t="n">
        <v>0.0025</v>
      </c>
      <c r="AB52" s="27" t="n">
        <v>0.26352636</v>
      </c>
      <c r="AC52" s="27" t="n">
        <v>0.215443282976278</v>
      </c>
      <c r="AD52" s="27" t="n">
        <v>0.205276892821701</v>
      </c>
      <c r="AE52" s="43" t="n">
        <v>0.57475</v>
      </c>
      <c r="AF52" s="43" t="n">
        <v>0.0046075119822597</v>
      </c>
      <c r="AG52" s="29" t="n">
        <v>28.3114140250466</v>
      </c>
      <c r="AH52" s="27" t="n">
        <v>0.677832230716473</v>
      </c>
      <c r="AI52" s="27" t="n">
        <f aca="false">VLOOKUP(B52,proft,2,0)</f>
        <v>24.5675959118338</v>
      </c>
      <c r="AJ52" s="27" t="n">
        <f aca="false">VLOOKUP(B52,proft,3,0)</f>
        <v>2.4502220153809</v>
      </c>
      <c r="AK52" s="27" t="s">
        <v>72</v>
      </c>
      <c r="BA52" s="30" t="n">
        <v>24.9624</v>
      </c>
      <c r="BB52" s="30" t="n">
        <v>2.093</v>
      </c>
      <c r="BC52" s="30" t="n">
        <v>0.02093</v>
      </c>
      <c r="BD52" s="31" t="n">
        <v>24.9624</v>
      </c>
      <c r="BE52" s="31" t="n">
        <v>2.093</v>
      </c>
      <c r="BF52" s="31" t="n">
        <v>0.02093</v>
      </c>
      <c r="BG52" s="14" t="n">
        <f aca="false">10^6/((BA52+273.15)^2)</f>
        <v>11.2522641341195</v>
      </c>
      <c r="BH52" s="14" t="n">
        <f aca="false">BG52*(2*($BE52/($BD52+273.15)))</f>
        <v>0.158000732829041</v>
      </c>
      <c r="BI52" s="14" t="n">
        <f aca="false">BG52*(2*($BF52/($BD52+273.15)))</f>
        <v>0.00158000732829041</v>
      </c>
      <c r="BK52" s="14" t="n">
        <f aca="false">10^6/((AG52+273.15)^2)</f>
        <v>11.0036441251773</v>
      </c>
      <c r="BL52" s="14" t="n">
        <f aca="false">BK52*(2*($AH52/($AG52+273.15)))</f>
        <v>0.049483113236903</v>
      </c>
      <c r="BM52" s="14" t="n">
        <f aca="false">10^6/((AI52+273.15)^2)</f>
        <v>11.2821272359847</v>
      </c>
      <c r="BN52" s="14" t="n">
        <f aca="false">BM52*(2*($AJ52/($AI52+273.15)))</f>
        <v>0.185704284285062</v>
      </c>
    </row>
    <row r="53" s="14" customFormat="true" ht="16" hidden="false" customHeight="false" outlineLevel="0" collapsed="false">
      <c r="A53" s="22" t="s">
        <v>223</v>
      </c>
      <c r="B53" s="40" t="s">
        <v>249</v>
      </c>
      <c r="C53" s="14" t="s">
        <v>53</v>
      </c>
      <c r="D53" s="36" t="s">
        <v>250</v>
      </c>
      <c r="E53" s="24" t="s">
        <v>248</v>
      </c>
      <c r="F53" s="22" t="n">
        <v>-0.997</v>
      </c>
      <c r="G53" s="22" t="n">
        <v>157.8</v>
      </c>
      <c r="H53" s="22" t="s">
        <v>56</v>
      </c>
      <c r="I53" s="22" t="s">
        <v>57</v>
      </c>
      <c r="J53" s="22" t="n">
        <v>2015</v>
      </c>
      <c r="K53" s="25" t="s">
        <v>223</v>
      </c>
      <c r="L53" s="22" t="s">
        <v>226</v>
      </c>
      <c r="M53" s="22" t="s">
        <v>227</v>
      </c>
      <c r="N53" s="22" t="s">
        <v>228</v>
      </c>
      <c r="O53" s="22" t="s">
        <v>92</v>
      </c>
      <c r="P53" s="22" t="s">
        <v>92</v>
      </c>
      <c r="Q53" s="22" t="n">
        <v>4</v>
      </c>
      <c r="R53" s="25" t="s">
        <v>62</v>
      </c>
      <c r="S53" s="25" t="n">
        <v>34.8092608695652</v>
      </c>
      <c r="T53" s="22" t="n">
        <v>4.35245945945946</v>
      </c>
      <c r="U53" s="41" t="n">
        <v>6</v>
      </c>
      <c r="V53" s="42" t="n">
        <v>1.85833333333333</v>
      </c>
      <c r="W53" s="42" t="n">
        <v>0.0416733328000853</v>
      </c>
      <c r="X53" s="42" t="n">
        <v>0.0170130668735664</v>
      </c>
      <c r="Y53" s="42" t="n">
        <v>-1.67166666666667</v>
      </c>
      <c r="Z53" s="42" t="n">
        <v>0.111967257118618</v>
      </c>
      <c r="AA53" s="42" t="n">
        <v>0.0457104413066035</v>
      </c>
      <c r="AB53" s="27" t="n">
        <v>0.293878147777778</v>
      </c>
      <c r="AC53" s="27" t="n">
        <v>0.206543597210961</v>
      </c>
      <c r="AD53" s="27" t="n">
        <v>0.200737600294747</v>
      </c>
      <c r="AE53" s="43" t="n">
        <v>0.608333333333333</v>
      </c>
      <c r="AF53" s="43" t="n">
        <v>0.00674619234169255</v>
      </c>
      <c r="AG53" s="29" t="n">
        <v>28.3518247189729</v>
      </c>
      <c r="AH53" s="27" t="n">
        <v>1.58597760983565</v>
      </c>
      <c r="AI53" s="27" t="n">
        <f aca="false">VLOOKUP(B53,proft,2,0)</f>
        <v>24.464322330315</v>
      </c>
      <c r="AJ53" s="27" t="n">
        <f aca="false">VLOOKUP(B53,proft,3,0)</f>
        <v>2.3455657958984</v>
      </c>
      <c r="AK53" s="27" t="s">
        <v>63</v>
      </c>
      <c r="BA53" s="30" t="n">
        <v>23.8456</v>
      </c>
      <c r="BB53" s="30" t="n">
        <v>2.219</v>
      </c>
      <c r="BC53" s="30" t="n">
        <v>0.02219</v>
      </c>
      <c r="BD53" s="31" t="n">
        <v>23.8456</v>
      </c>
      <c r="BE53" s="31" t="n">
        <v>2.219</v>
      </c>
      <c r="BF53" s="31" t="n">
        <v>0.02219</v>
      </c>
      <c r="BG53" s="14" t="n">
        <f aca="false">10^6/((BA53+273.15)^2)</f>
        <v>11.3370475834448</v>
      </c>
      <c r="BH53" s="14" t="n">
        <f aca="false">BG53*(2*($BE53/($BD53+273.15)))</f>
        <v>0.169409301603552</v>
      </c>
      <c r="BI53" s="14" t="n">
        <f aca="false">BG53*(2*($BF53/($BD53+273.15)))</f>
        <v>0.00169409301603552</v>
      </c>
      <c r="BK53" s="14" t="n">
        <f aca="false">10^6/((AG53+273.15)^2)</f>
        <v>11.0006946564919</v>
      </c>
      <c r="BL53" s="14" t="n">
        <f aca="false">BK53*(2*($AH53/($AG53+273.15)))</f>
        <v>0.115733000515648</v>
      </c>
      <c r="BM53" s="14" t="n">
        <f aca="false">10^6/((AI53+273.15)^2)</f>
        <v>11.289958497822</v>
      </c>
      <c r="BN53" s="14" t="n">
        <f aca="false">BM53*(2*($AJ53/($AI53+273.15)))</f>
        <v>0.177957433514995</v>
      </c>
    </row>
    <row r="54" s="14" customFormat="true" ht="16" hidden="false" customHeight="false" outlineLevel="0" collapsed="false">
      <c r="A54" s="22" t="s">
        <v>229</v>
      </c>
      <c r="B54" s="40" t="s">
        <v>251</v>
      </c>
      <c r="C54" s="14" t="s">
        <v>53</v>
      </c>
      <c r="D54" s="36" t="s">
        <v>252</v>
      </c>
      <c r="E54" s="24" t="s">
        <v>248</v>
      </c>
      <c r="F54" s="22" t="n">
        <v>-0.997</v>
      </c>
      <c r="G54" s="22" t="n">
        <v>157.8</v>
      </c>
      <c r="H54" s="22" t="s">
        <v>56</v>
      </c>
      <c r="I54" s="22" t="s">
        <v>57</v>
      </c>
      <c r="J54" s="22" t="n">
        <v>2015</v>
      </c>
      <c r="K54" s="25" t="s">
        <v>229</v>
      </c>
      <c r="L54" s="22" t="s">
        <v>58</v>
      </c>
      <c r="M54" s="22" t="s">
        <v>232</v>
      </c>
      <c r="N54" s="22" t="s">
        <v>233</v>
      </c>
      <c r="O54" s="22" t="s">
        <v>61</v>
      </c>
      <c r="P54" s="22" t="s">
        <v>61</v>
      </c>
      <c r="Q54" s="22" t="n">
        <v>3</v>
      </c>
      <c r="R54" s="25" t="s">
        <v>234</v>
      </c>
      <c r="S54" s="25" t="n">
        <v>35.119875</v>
      </c>
      <c r="T54" s="22" t="n">
        <v>4.35245945945946</v>
      </c>
      <c r="U54" s="41" t="n">
        <v>6</v>
      </c>
      <c r="V54" s="42" t="n">
        <v>1.71666666666667</v>
      </c>
      <c r="W54" s="42" t="n">
        <v>0.0175119007154183</v>
      </c>
      <c r="X54" s="42" t="n">
        <v>0.00714920352984241</v>
      </c>
      <c r="Y54" s="42" t="n">
        <v>-0.726666666666667</v>
      </c>
      <c r="Z54" s="42" t="n">
        <v>0.111833209140517</v>
      </c>
      <c r="AA54" s="42" t="n">
        <v>0.0456557164487036</v>
      </c>
      <c r="AB54" s="27" t="n">
        <v>0.25244204</v>
      </c>
      <c r="AC54" s="27" t="n">
        <v>0.22695138504313</v>
      </c>
      <c r="AD54" s="27" t="n">
        <v>0.205673008036055</v>
      </c>
      <c r="AE54" s="43" t="n">
        <v>0.584666666666667</v>
      </c>
      <c r="AF54" s="43" t="n">
        <v>0.00745505048794291</v>
      </c>
      <c r="AG54" s="29" t="n">
        <v>16.8201615810394</v>
      </c>
      <c r="AH54" s="27" t="n">
        <v>5.32427134601853</v>
      </c>
      <c r="AI54" s="27" t="n">
        <f aca="false">VLOOKUP(B54,proft,2,0)</f>
        <v>19.7558481672419</v>
      </c>
      <c r="AJ54" s="27" t="n">
        <f aca="false">VLOOKUP(B54,proft,3,0)</f>
        <v>3.0971984863281</v>
      </c>
      <c r="AK54" s="27" t="s">
        <v>63</v>
      </c>
      <c r="BA54" s="30" t="n">
        <v>20.0031</v>
      </c>
      <c r="BB54" s="30" t="n">
        <v>2.241</v>
      </c>
      <c r="BC54" s="30" t="n">
        <v>0.02241</v>
      </c>
      <c r="BD54" s="31" t="n">
        <v>20.0031</v>
      </c>
      <c r="BE54" s="31" t="n">
        <v>2.241</v>
      </c>
      <c r="BF54" s="31" t="n">
        <v>0.02241</v>
      </c>
      <c r="BG54" s="14" t="n">
        <f aca="false">10^6/((BA54+273.15)^2)</f>
        <v>11.6361957312743</v>
      </c>
      <c r="BH54" s="14" t="n">
        <f aca="false">BG54*(2*($BE54/($BD54+273.15)))</f>
        <v>0.177905092143223</v>
      </c>
      <c r="BI54" s="14" t="n">
        <f aca="false">BG54*(2*($BF54/($BD54+273.15)))</f>
        <v>0.00177905092143223</v>
      </c>
      <c r="BK54" s="14" t="n">
        <f aca="false">10^6/((AG54+273.15)^2)</f>
        <v>11.8930536737672</v>
      </c>
      <c r="BL54" s="14" t="n">
        <f aca="false">BK54*(2*($AH54/($AG54+273.15)))</f>
        <v>0.436747315976525</v>
      </c>
      <c r="BM54" s="14" t="n">
        <f aca="false">10^6/((AI54+273.15)^2)</f>
        <v>11.6558490434614</v>
      </c>
      <c r="BN54" s="14" t="n">
        <f aca="false">BM54*(2*($AJ54/($AI54+273.15)))</f>
        <v>0.246498854428233</v>
      </c>
    </row>
    <row r="55" s="14" customFormat="true" ht="16" hidden="false" customHeight="false" outlineLevel="0" collapsed="false">
      <c r="A55" s="22" t="s">
        <v>139</v>
      </c>
      <c r="B55" s="40" t="s">
        <v>253</v>
      </c>
      <c r="C55" s="14" t="s">
        <v>53</v>
      </c>
      <c r="D55" s="36" t="s">
        <v>254</v>
      </c>
      <c r="E55" s="24" t="s">
        <v>248</v>
      </c>
      <c r="F55" s="22" t="n">
        <v>-0.997</v>
      </c>
      <c r="G55" s="22" t="n">
        <v>157.8</v>
      </c>
      <c r="H55" s="22" t="s">
        <v>56</v>
      </c>
      <c r="I55" s="22" t="s">
        <v>57</v>
      </c>
      <c r="J55" s="22" t="n">
        <v>2015</v>
      </c>
      <c r="K55" s="25" t="s">
        <v>139</v>
      </c>
      <c r="L55" s="22" t="s">
        <v>144</v>
      </c>
      <c r="M55" s="22" t="s">
        <v>145</v>
      </c>
      <c r="N55" s="22" t="s">
        <v>146</v>
      </c>
      <c r="O55" s="22" t="s">
        <v>92</v>
      </c>
      <c r="P55" s="22" t="s">
        <v>92</v>
      </c>
      <c r="Q55" s="22" t="n">
        <v>4</v>
      </c>
      <c r="R55" s="25" t="s">
        <v>62</v>
      </c>
      <c r="S55" s="25" t="n">
        <v>35.3015</v>
      </c>
      <c r="T55" s="22" t="n">
        <v>4.35245945945946</v>
      </c>
      <c r="U55" s="41" t="n">
        <v>7</v>
      </c>
      <c r="V55" s="42" t="n">
        <v>1.29</v>
      </c>
      <c r="W55" s="42" t="n">
        <v>0.0334664010613631</v>
      </c>
      <c r="X55" s="42" t="n">
        <v>0.0136626010212795</v>
      </c>
      <c r="Y55" s="42" t="n">
        <v>-1.34</v>
      </c>
      <c r="Z55" s="42" t="n">
        <v>0.0666333249958307</v>
      </c>
      <c r="AA55" s="42" t="n">
        <v>0.0272029410174709</v>
      </c>
      <c r="AB55" s="27" t="n">
        <v>0.30841856</v>
      </c>
      <c r="AC55" s="27" t="n">
        <v>0.203735542558408</v>
      </c>
      <c r="AD55" s="27" t="n">
        <v>0.201876411823631</v>
      </c>
      <c r="AE55" s="43" t="n">
        <v>0.585833333333333</v>
      </c>
      <c r="AF55" s="43" t="n">
        <v>0.0131387890529446</v>
      </c>
      <c r="AG55" s="29" t="n">
        <v>25.9675970077514</v>
      </c>
      <c r="AH55" s="27" t="n">
        <v>1.23600050247924</v>
      </c>
      <c r="AI55" s="27" t="n">
        <f aca="false">VLOOKUP(B55,proft,2,0)</f>
        <v>22.7276924045263</v>
      </c>
      <c r="AJ55" s="27" t="n">
        <f aca="false">VLOOKUP(B55,proft,3,0)</f>
        <v>2.0270347595214</v>
      </c>
      <c r="AK55" s="27" t="s">
        <v>63</v>
      </c>
      <c r="BA55" s="30" t="n">
        <v>22.59</v>
      </c>
      <c r="BB55" s="30" t="n">
        <v>2.241</v>
      </c>
      <c r="BC55" s="30" t="n">
        <v>0.02241</v>
      </c>
      <c r="BD55" s="31" t="n">
        <v>22.59</v>
      </c>
      <c r="BE55" s="31" t="n">
        <v>2.241</v>
      </c>
      <c r="BF55" s="31" t="n">
        <v>0.02241</v>
      </c>
      <c r="BG55" s="14" t="n">
        <f aca="false">10^6/((BA55+273.15)^2)</f>
        <v>11.4335175551989</v>
      </c>
      <c r="BH55" s="14" t="n">
        <f aca="false">BG55*(2*($BE55/($BD55+273.15)))</f>
        <v>0.173277289789686</v>
      </c>
      <c r="BI55" s="14" t="n">
        <f aca="false">BG55*(2*($BF55/($BD55+273.15)))</f>
        <v>0.00173277289789686</v>
      </c>
      <c r="BK55" s="14" t="n">
        <f aca="false">10^6/((AG55+273.15)^2)</f>
        <v>11.1767638142228</v>
      </c>
      <c r="BL55" s="14" t="n">
        <f aca="false">BK55*(2*($AH55/($AG55+273.15)))</f>
        <v>0.0923682580273812</v>
      </c>
      <c r="BM55" s="14" t="n">
        <f aca="false">10^6/((AI55+273.15)^2)</f>
        <v>11.4228784144505</v>
      </c>
      <c r="BN55" s="14" t="n">
        <f aca="false">BM55*(2*($AJ55/($AI55+273.15)))</f>
        <v>0.156514480099572</v>
      </c>
    </row>
    <row r="56" s="14" customFormat="true" ht="16" hidden="false" customHeight="false" outlineLevel="0" collapsed="false">
      <c r="A56" s="22" t="s">
        <v>67</v>
      </c>
      <c r="B56" s="23" t="s">
        <v>255</v>
      </c>
      <c r="C56" s="14" t="s">
        <v>53</v>
      </c>
      <c r="D56" s="23" t="s">
        <v>256</v>
      </c>
      <c r="E56" s="24" t="s">
        <v>257</v>
      </c>
      <c r="F56" s="22" t="n">
        <v>-1</v>
      </c>
      <c r="G56" s="22" t="n">
        <v>157.8</v>
      </c>
      <c r="H56" s="22" t="s">
        <v>56</v>
      </c>
      <c r="I56" s="22" t="s">
        <v>57</v>
      </c>
      <c r="J56" s="22" t="n">
        <v>2016</v>
      </c>
      <c r="K56" s="25" t="s">
        <v>67</v>
      </c>
      <c r="L56" s="22" t="s">
        <v>68</v>
      </c>
      <c r="M56" s="22" t="s">
        <v>69</v>
      </c>
      <c r="N56" s="22" t="s">
        <v>70</v>
      </c>
      <c r="O56" s="22" t="s">
        <v>71</v>
      </c>
      <c r="P56" s="22" t="s">
        <v>71</v>
      </c>
      <c r="Q56" s="22" t="n">
        <v>5</v>
      </c>
      <c r="R56" s="25" t="s">
        <v>62</v>
      </c>
      <c r="S56" s="25" t="n">
        <v>35.0413636363636</v>
      </c>
      <c r="T56" s="22" t="n">
        <v>4.33191554054054</v>
      </c>
      <c r="U56" s="26" t="n">
        <v>20</v>
      </c>
      <c r="V56" s="27" t="n">
        <v>2.159</v>
      </c>
      <c r="W56" s="27" t="n">
        <v>0.048763662053235</v>
      </c>
      <c r="X56" s="27" t="n">
        <v>0.010903886318286</v>
      </c>
      <c r="Y56" s="27" t="n">
        <v>-1.944</v>
      </c>
      <c r="Z56" s="27" t="n">
        <v>0.0363318042491699</v>
      </c>
      <c r="AA56" s="27" t="n">
        <v>0.00812403840463596</v>
      </c>
      <c r="AB56" s="27" t="n">
        <v>0.26352636</v>
      </c>
      <c r="AC56" s="27" t="n">
        <v>0.215443282976278</v>
      </c>
      <c r="AD56" s="27" t="n">
        <v>0.205276892821701</v>
      </c>
      <c r="AE56" s="28" t="n">
        <v>0.5961</v>
      </c>
      <c r="AF56" s="28" t="n">
        <v>0.00565587724127929</v>
      </c>
      <c r="AG56" s="29" t="n">
        <v>28.3114140250466</v>
      </c>
      <c r="AH56" s="27" t="n">
        <v>0.677832230716473</v>
      </c>
      <c r="AI56" s="27" t="n">
        <f aca="false">VLOOKUP(B56,proft,2,0)</f>
        <v>25.8197384872171</v>
      </c>
      <c r="AJ56" s="27" t="n">
        <f aca="false">VLOOKUP(B56,proft,3,0)</f>
        <v>2.4502220153809</v>
      </c>
      <c r="AK56" s="27" t="s">
        <v>72</v>
      </c>
      <c r="AM56" s="33"/>
      <c r="BA56" s="47" t="n">
        <v>26.2777</v>
      </c>
      <c r="BB56" s="47" t="n">
        <v>2.112</v>
      </c>
      <c r="BC56" s="47" t="n">
        <v>0.02127</v>
      </c>
      <c r="BD56" s="31" t="n">
        <v>26.2777</v>
      </c>
      <c r="BE56" s="31" t="n">
        <v>2.112</v>
      </c>
      <c r="BF56" s="31" t="n">
        <v>0.02127</v>
      </c>
      <c r="BG56" s="14" t="n">
        <f aca="false">10^6/((BA56+273.15)^2)</f>
        <v>11.1536253193944</v>
      </c>
      <c r="BH56" s="14" t="n">
        <f aca="false">BG56*(2*($BE56/($BD56+273.15)))</f>
        <v>0.157343202880435</v>
      </c>
      <c r="BI56" s="14" t="n">
        <f aca="false">BG56*(2*($BF56/($BD56+273.15)))</f>
        <v>0.00158460697219075</v>
      </c>
      <c r="BK56" s="14" t="n">
        <f aca="false">10^6/((AG56+273.15)^2)</f>
        <v>11.0036441251773</v>
      </c>
      <c r="BL56" s="14" t="n">
        <f aca="false">BK56*(2*($AH56/($AG56+273.15)))</f>
        <v>0.049483113236903</v>
      </c>
      <c r="BM56" s="14" t="n">
        <f aca="false">10^6/((AI56+273.15)^2)</f>
        <v>11.1878217120578</v>
      </c>
      <c r="BN56" s="14" t="n">
        <f aca="false">BM56*(2*($AJ56/($AI56+273.15)))</f>
        <v>0.18338074750808</v>
      </c>
    </row>
    <row r="57" s="14" customFormat="true" ht="16" hidden="false" customHeight="false" outlineLevel="0" collapsed="false">
      <c r="A57" s="22" t="s">
        <v>130</v>
      </c>
      <c r="B57" s="40" t="s">
        <v>258</v>
      </c>
      <c r="C57" s="14" t="s">
        <v>53</v>
      </c>
      <c r="D57" s="36" t="s">
        <v>259</v>
      </c>
      <c r="E57" s="24" t="s">
        <v>257</v>
      </c>
      <c r="F57" s="22" t="n">
        <v>-1</v>
      </c>
      <c r="G57" s="22" t="n">
        <v>157.8</v>
      </c>
      <c r="H57" s="22" t="s">
        <v>56</v>
      </c>
      <c r="I57" s="22" t="s">
        <v>57</v>
      </c>
      <c r="J57" s="22" t="n">
        <v>2016</v>
      </c>
      <c r="K57" s="25" t="s">
        <v>130</v>
      </c>
      <c r="L57" s="22" t="s">
        <v>80</v>
      </c>
      <c r="M57" s="22" t="s">
        <v>134</v>
      </c>
      <c r="N57" s="22" t="s">
        <v>135</v>
      </c>
      <c r="O57" s="22" t="s">
        <v>92</v>
      </c>
      <c r="P57" s="22" t="s">
        <v>92</v>
      </c>
      <c r="Q57" s="22" t="n">
        <v>4</v>
      </c>
      <c r="R57" s="25" t="s">
        <v>62</v>
      </c>
      <c r="S57" s="25" t="n">
        <v>34.9342352941176</v>
      </c>
      <c r="T57" s="22" t="n">
        <v>4.33191554054054</v>
      </c>
      <c r="U57" s="41" t="n">
        <v>6</v>
      </c>
      <c r="V57" s="42" t="n">
        <v>1.53666666666667</v>
      </c>
      <c r="W57" s="42" t="n">
        <v>0.0344480284873702</v>
      </c>
      <c r="X57" s="42" t="n">
        <v>0.0140633487398193</v>
      </c>
      <c r="Y57" s="42" t="n">
        <v>-0.936666666666667</v>
      </c>
      <c r="Z57" s="42" t="n">
        <v>0.120111059718356</v>
      </c>
      <c r="AA57" s="42" t="n">
        <v>0.0490351347958218</v>
      </c>
      <c r="AB57" s="27" t="n">
        <v>0.283765663333333</v>
      </c>
      <c r="AC57" s="27" t="n">
        <v>0.208244726183468</v>
      </c>
      <c r="AD57" s="27" t="n">
        <v>0.201397561216295</v>
      </c>
      <c r="AE57" s="43" t="n">
        <v>0.614</v>
      </c>
      <c r="AF57" s="43" t="n">
        <v>0.00982513782770163</v>
      </c>
      <c r="AG57" s="29" t="n">
        <v>28.3901118110208</v>
      </c>
      <c r="AH57" s="27" t="n">
        <v>1.08976124030161</v>
      </c>
      <c r="AI57" s="27" t="n">
        <f aca="false">VLOOKUP(B57,proft,2,0)</f>
        <v>20.9332725130546</v>
      </c>
      <c r="AJ57" s="27" t="n">
        <f aca="false">VLOOKUP(B57,proft,3,0)</f>
        <v>2.1595897674561</v>
      </c>
      <c r="AK57" s="27" t="s">
        <v>63</v>
      </c>
      <c r="BA57" s="30" t="n">
        <v>20.9796</v>
      </c>
      <c r="BB57" s="30" t="n">
        <v>2.221</v>
      </c>
      <c r="BC57" s="30" t="n">
        <v>0.02221</v>
      </c>
      <c r="BD57" s="31" t="n">
        <v>20.9796</v>
      </c>
      <c r="BE57" s="31" t="n">
        <v>2.221</v>
      </c>
      <c r="BF57" s="31" t="n">
        <v>0.02221</v>
      </c>
      <c r="BG57" s="14" t="n">
        <f aca="false">10^6/((BA57+273.15)^2)</f>
        <v>11.5590604604747</v>
      </c>
      <c r="BH57" s="14" t="n">
        <f aca="false">BG57*(2*($BE57/($BD57+273.15)))</f>
        <v>0.174567083916167</v>
      </c>
      <c r="BI57" s="14" t="n">
        <f aca="false">BG57*(2*($BF57/($BD57+273.15)))</f>
        <v>0.00174567083916167</v>
      </c>
      <c r="BK57" s="14" t="n">
        <f aca="false">10^6/((AG57+273.15)^2)</f>
        <v>10.9979012777464</v>
      </c>
      <c r="BL57" s="14" t="n">
        <f aca="false">BK57*(2*($AH57/($AG57+273.15)))</f>
        <v>0.0794924858598104</v>
      </c>
      <c r="BM57" s="14" t="n">
        <f aca="false">10^6/((AI57+273.15)^2)</f>
        <v>11.5627025880758</v>
      </c>
      <c r="BN57" s="14" t="n">
        <f aca="false">BM57*(2*($AJ57/($AI57+273.15)))</f>
        <v>0.169820568031377</v>
      </c>
    </row>
    <row r="58" s="14" customFormat="true" ht="16" hidden="false" customHeight="false" outlineLevel="0" collapsed="false">
      <c r="A58" s="22" t="s">
        <v>139</v>
      </c>
      <c r="B58" s="40" t="s">
        <v>260</v>
      </c>
      <c r="C58" s="14" t="s">
        <v>53</v>
      </c>
      <c r="D58" s="36" t="s">
        <v>261</v>
      </c>
      <c r="E58" s="24" t="s">
        <v>257</v>
      </c>
      <c r="F58" s="22" t="n">
        <v>-1</v>
      </c>
      <c r="G58" s="22" t="n">
        <v>157.8</v>
      </c>
      <c r="H58" s="22" t="s">
        <v>56</v>
      </c>
      <c r="I58" s="22" t="s">
        <v>57</v>
      </c>
      <c r="J58" s="22" t="n">
        <v>2016</v>
      </c>
      <c r="K58" s="25" t="s">
        <v>139</v>
      </c>
      <c r="L58" s="22" t="s">
        <v>144</v>
      </c>
      <c r="M58" s="22" t="s">
        <v>145</v>
      </c>
      <c r="N58" s="22" t="s">
        <v>146</v>
      </c>
      <c r="O58" s="22" t="s">
        <v>92</v>
      </c>
      <c r="P58" s="22" t="s">
        <v>92</v>
      </c>
      <c r="Q58" s="22" t="n">
        <v>4</v>
      </c>
      <c r="R58" s="25" t="s">
        <v>62</v>
      </c>
      <c r="S58" s="25" t="n">
        <v>35.389</v>
      </c>
      <c r="T58" s="22" t="n">
        <v>4.33191554054054</v>
      </c>
      <c r="U58" s="41" t="n">
        <v>6</v>
      </c>
      <c r="V58" s="42" t="n">
        <v>1.325</v>
      </c>
      <c r="W58" s="42" t="n">
        <v>0.0585662018573853</v>
      </c>
      <c r="X58" s="42" t="n">
        <v>0.0239095517872391</v>
      </c>
      <c r="Y58" s="42" t="n">
        <v>-1.21</v>
      </c>
      <c r="Z58" s="42" t="n">
        <v>0.0718331399842719</v>
      </c>
      <c r="AA58" s="42" t="n">
        <v>0.0293257565972304</v>
      </c>
      <c r="AB58" s="27" t="n">
        <v>0.30841856</v>
      </c>
      <c r="AC58" s="27" t="n">
        <v>0.203735542558408</v>
      </c>
      <c r="AD58" s="27" t="n">
        <v>0.201876411823631</v>
      </c>
      <c r="AE58" s="43" t="n">
        <v>0.590666666666667</v>
      </c>
      <c r="AF58" s="43" t="n">
        <v>0.00760116950066093</v>
      </c>
      <c r="AG58" s="29" t="n">
        <v>25.9675970077514</v>
      </c>
      <c r="AH58" s="27" t="n">
        <v>1.23600050247924</v>
      </c>
      <c r="AI58" s="27" t="n">
        <f aca="false">VLOOKUP(B58,proft,2,0)</f>
        <v>22.1647203845461</v>
      </c>
      <c r="AJ58" s="27" t="n">
        <f aca="false">VLOOKUP(B58,proft,3,0)</f>
        <v>2.0270347595214</v>
      </c>
      <c r="AK58" s="27" t="s">
        <v>63</v>
      </c>
      <c r="BA58" s="30" t="n">
        <v>22.1432</v>
      </c>
      <c r="BB58" s="30" t="n">
        <v>2.236</v>
      </c>
      <c r="BC58" s="30" t="n">
        <v>0.02236</v>
      </c>
      <c r="BD58" s="31" t="n">
        <v>22.1432</v>
      </c>
      <c r="BE58" s="31" t="n">
        <v>2.236</v>
      </c>
      <c r="BF58" s="31" t="n">
        <v>0.02236</v>
      </c>
      <c r="BG58" s="14" t="n">
        <f aca="false">10^6/((BA58+273.15)^2)</f>
        <v>11.4681432113646</v>
      </c>
      <c r="BH58" s="14" t="n">
        <f aca="false">BG58*(2*($BE58/($BD58+273.15)))</f>
        <v>0.173676659134793</v>
      </c>
      <c r="BI58" s="14" t="n">
        <f aca="false">BG58*(2*($BF58/($BD58+273.15)))</f>
        <v>0.00173676659134793</v>
      </c>
      <c r="BK58" s="14" t="n">
        <f aca="false">10^6/((AG58+273.15)^2)</f>
        <v>11.1767638142228</v>
      </c>
      <c r="BL58" s="14" t="n">
        <f aca="false">BK58*(2*($AH58/($AG58+273.15)))</f>
        <v>0.0923682580273812</v>
      </c>
      <c r="BM58" s="14" t="n">
        <f aca="false">10^6/((AI58+273.15)^2)</f>
        <v>11.4664718428722</v>
      </c>
      <c r="BN58" s="14" t="n">
        <f aca="false">BM58*(2*($AJ58/($AI58+273.15)))</f>
        <v>0.15741129981133</v>
      </c>
    </row>
    <row r="59" s="14" customFormat="true" ht="16" hidden="false" customHeight="false" outlineLevel="0" collapsed="false">
      <c r="A59" s="22" t="s">
        <v>67</v>
      </c>
      <c r="B59" s="40" t="s">
        <v>262</v>
      </c>
      <c r="C59" s="14" t="s">
        <v>53</v>
      </c>
      <c r="D59" s="36" t="s">
        <v>263</v>
      </c>
      <c r="E59" s="24" t="s">
        <v>264</v>
      </c>
      <c r="F59" s="22" t="n">
        <v>0</v>
      </c>
      <c r="G59" s="22" t="n">
        <v>159</v>
      </c>
      <c r="H59" s="22" t="s">
        <v>56</v>
      </c>
      <c r="I59" s="22" t="s">
        <v>57</v>
      </c>
      <c r="J59" s="22" t="n">
        <v>2445</v>
      </c>
      <c r="K59" s="25" t="s">
        <v>67</v>
      </c>
      <c r="L59" s="22" t="s">
        <v>68</v>
      </c>
      <c r="M59" s="22" t="s">
        <v>69</v>
      </c>
      <c r="N59" s="22" t="s">
        <v>70</v>
      </c>
      <c r="O59" s="22" t="s">
        <v>71</v>
      </c>
      <c r="P59" s="22" t="s">
        <v>71</v>
      </c>
      <c r="Q59" s="22" t="n">
        <v>5</v>
      </c>
      <c r="R59" s="25" t="s">
        <v>62</v>
      </c>
      <c r="S59" s="25" t="n">
        <v>35.051</v>
      </c>
      <c r="T59" s="22" t="n">
        <v>2.9821677852349</v>
      </c>
      <c r="U59" s="41" t="n">
        <v>4</v>
      </c>
      <c r="V59" s="42" t="n">
        <v>2.145</v>
      </c>
      <c r="W59" s="42" t="n">
        <v>0.0310912635102962</v>
      </c>
      <c r="X59" s="42" t="n">
        <v>0.0155456317551481</v>
      </c>
      <c r="Y59" s="42" t="n">
        <v>-1.8425</v>
      </c>
      <c r="Z59" s="42" t="n">
        <v>0.0442530601578391</v>
      </c>
      <c r="AA59" s="42" t="n">
        <v>0.0221265300789196</v>
      </c>
      <c r="AB59" s="27" t="n">
        <v>0.25110605</v>
      </c>
      <c r="AC59" s="27" t="n">
        <v>0.217360999299297</v>
      </c>
      <c r="AD59" s="27" t="n">
        <v>0.205949673477437</v>
      </c>
      <c r="AE59" s="43" t="n">
        <v>0.5685</v>
      </c>
      <c r="AF59" s="43" t="n">
        <v>0.00981919888110361</v>
      </c>
      <c r="AG59" s="29" t="n">
        <v>28.4809353568337</v>
      </c>
      <c r="AH59" s="27" t="n">
        <v>0.523423315129924</v>
      </c>
      <c r="AI59" s="27" t="n">
        <f aca="false">VLOOKUP(B59,proft,2,0)</f>
        <v>25.1690582055729</v>
      </c>
      <c r="AJ59" s="27" t="n">
        <f aca="false">VLOOKUP(B59,proft,3,0)</f>
        <v>2.0996971130371</v>
      </c>
      <c r="AK59" s="27" t="s">
        <v>72</v>
      </c>
      <c r="BA59" s="30" t="n">
        <v>25.6921</v>
      </c>
      <c r="BB59" s="30" t="n">
        <v>2.125</v>
      </c>
      <c r="BC59" s="30" t="n">
        <v>0.02093</v>
      </c>
      <c r="BD59" s="31" t="n">
        <v>25.6921</v>
      </c>
      <c r="BE59" s="31" t="n">
        <v>2.125</v>
      </c>
      <c r="BF59" s="31" t="n">
        <v>0.02093</v>
      </c>
      <c r="BG59" s="14" t="n">
        <f aca="false">10^6/((BA59+273.15)^2)</f>
        <v>11.1973806168741</v>
      </c>
      <c r="BH59" s="14" t="n">
        <f aca="false">BG59*(2*($BE59/($BD59+273.15)))</f>
        <v>0.159244188224199</v>
      </c>
      <c r="BI59" s="14" t="n">
        <f aca="false">BG59*(2*($BF59/($BD59+273.15)))</f>
        <v>0.00156846158095646</v>
      </c>
      <c r="BK59" s="14" t="n">
        <f aca="false">10^6/((AG59+273.15)^2)</f>
        <v>10.9912791585289</v>
      </c>
      <c r="BL59" s="14" t="n">
        <f aca="false">BK59*(2*($AH59/($AG59+273.15)))</f>
        <v>0.0381465632354297</v>
      </c>
      <c r="BM59" s="14" t="n">
        <f aca="false">10^6/((AI59+273.15)^2)</f>
        <v>11.2366796971972</v>
      </c>
      <c r="BN59" s="14" t="n">
        <f aca="false">BM59*(2*($AJ59/($AI59+273.15)))</f>
        <v>0.158177114544717</v>
      </c>
    </row>
    <row r="60" s="14" customFormat="true" ht="16" hidden="false" customHeight="false" outlineLevel="0" collapsed="false">
      <c r="A60" s="22" t="s">
        <v>229</v>
      </c>
      <c r="B60" s="40" t="s">
        <v>265</v>
      </c>
      <c r="C60" s="14" t="s">
        <v>53</v>
      </c>
      <c r="D60" s="36" t="s">
        <v>266</v>
      </c>
      <c r="E60" s="24" t="s">
        <v>264</v>
      </c>
      <c r="F60" s="22" t="n">
        <v>0</v>
      </c>
      <c r="G60" s="22" t="n">
        <v>159</v>
      </c>
      <c r="H60" s="22" t="s">
        <v>56</v>
      </c>
      <c r="I60" s="22" t="s">
        <v>57</v>
      </c>
      <c r="J60" s="22" t="n">
        <v>2445</v>
      </c>
      <c r="K60" s="25" t="s">
        <v>229</v>
      </c>
      <c r="L60" s="22" t="s">
        <v>58</v>
      </c>
      <c r="M60" s="22" t="s">
        <v>232</v>
      </c>
      <c r="N60" s="22" t="s">
        <v>233</v>
      </c>
      <c r="O60" s="22" t="s">
        <v>61</v>
      </c>
      <c r="P60" s="22" t="s">
        <v>61</v>
      </c>
      <c r="Q60" s="22" t="n">
        <v>3</v>
      </c>
      <c r="R60" s="25" t="s">
        <v>234</v>
      </c>
      <c r="S60" s="25" t="n">
        <v>35.0695</v>
      </c>
      <c r="T60" s="22" t="n">
        <v>2.9821677852349</v>
      </c>
      <c r="U60" s="41" t="n">
        <v>6</v>
      </c>
      <c r="V60" s="42" t="n">
        <v>1.85</v>
      </c>
      <c r="W60" s="42" t="n">
        <v>0.132815661727072</v>
      </c>
      <c r="X60" s="42" t="n">
        <v>0.0542217668469038</v>
      </c>
      <c r="Y60" s="42" t="n">
        <v>-0.746666666666667</v>
      </c>
      <c r="Z60" s="42" t="n">
        <v>0.343608304129378</v>
      </c>
      <c r="AA60" s="42" t="n">
        <v>0.140277502750006</v>
      </c>
      <c r="AB60" s="27" t="n">
        <v>0.228604084</v>
      </c>
      <c r="AC60" s="27" t="n">
        <v>0.222206987775184</v>
      </c>
      <c r="AD60" s="27" t="n">
        <v>0.204634281300138</v>
      </c>
      <c r="AE60" s="43" t="n">
        <v>0.578</v>
      </c>
      <c r="AF60" s="43" t="n">
        <v>0.00857126983980008</v>
      </c>
      <c r="AG60" s="29" t="n">
        <v>17.2450672388077</v>
      </c>
      <c r="AH60" s="27" t="n">
        <v>4.94471501370271</v>
      </c>
      <c r="AI60" s="27" t="n">
        <f aca="false">VLOOKUP(B60,proft,2,0)</f>
        <v>19.6998288018794</v>
      </c>
      <c r="AJ60" s="27" t="n">
        <f aca="false">VLOOKUP(B60,proft,3,0)</f>
        <v>2.4637832641601</v>
      </c>
      <c r="AK60" s="27" t="s">
        <v>63</v>
      </c>
      <c r="BA60" s="30" t="n">
        <v>19.9949</v>
      </c>
      <c r="BB60" s="30" t="n">
        <v>2.244</v>
      </c>
      <c r="BC60" s="30" t="n">
        <v>0.02244</v>
      </c>
      <c r="BD60" s="31" t="n">
        <v>19.9949</v>
      </c>
      <c r="BE60" s="31" t="n">
        <v>2.244</v>
      </c>
      <c r="BF60" s="31" t="n">
        <v>0.02244</v>
      </c>
      <c r="BG60" s="14" t="n">
        <f aca="false">10^6/((BA60+273.15)^2)</f>
        <v>11.6368467276895</v>
      </c>
      <c r="BH60" s="14" t="n">
        <f aca="false">BG60*(2*($BE60/($BD60+273.15)))</f>
        <v>0.178158201332756</v>
      </c>
      <c r="BI60" s="14" t="n">
        <f aca="false">BG60*(2*($BF60/($BD60+273.15)))</f>
        <v>0.00178158201332756</v>
      </c>
      <c r="BK60" s="14" t="n">
        <f aca="false">10^6/((AG60+273.15)^2)</f>
        <v>11.8582753370733</v>
      </c>
      <c r="BL60" s="14" t="n">
        <f aca="false">BK60*(2*($AH60/($AG60+273.15)))</f>
        <v>0.403834628827408</v>
      </c>
      <c r="BM60" s="14" t="n">
        <f aca="false">10^6/((AI60+273.15)^2)</f>
        <v>11.6603087743801</v>
      </c>
      <c r="BN60" s="14" t="n">
        <f aca="false">BM60*(2*($AJ60/($AI60+273.15)))</f>
        <v>0.196199353988303</v>
      </c>
    </row>
    <row r="61" s="14" customFormat="true" ht="16" hidden="false" customHeight="false" outlineLevel="0" collapsed="false">
      <c r="A61" s="22" t="s">
        <v>139</v>
      </c>
      <c r="B61" s="40" t="s">
        <v>267</v>
      </c>
      <c r="C61" s="14" t="s">
        <v>53</v>
      </c>
      <c r="D61" s="36" t="s">
        <v>268</v>
      </c>
      <c r="E61" s="24" t="s">
        <v>264</v>
      </c>
      <c r="F61" s="22" t="n">
        <v>0</v>
      </c>
      <c r="G61" s="22" t="n">
        <v>159</v>
      </c>
      <c r="H61" s="22" t="s">
        <v>56</v>
      </c>
      <c r="I61" s="22" t="s">
        <v>57</v>
      </c>
      <c r="J61" s="22" t="n">
        <v>2445</v>
      </c>
      <c r="K61" s="25" t="s">
        <v>139</v>
      </c>
      <c r="L61" s="22" t="s">
        <v>144</v>
      </c>
      <c r="M61" s="22" t="s">
        <v>145</v>
      </c>
      <c r="N61" s="22" t="s">
        <v>146</v>
      </c>
      <c r="O61" s="22" t="s">
        <v>92</v>
      </c>
      <c r="P61" s="22" t="s">
        <v>92</v>
      </c>
      <c r="Q61" s="22" t="n">
        <v>4</v>
      </c>
      <c r="R61" s="25" t="s">
        <v>62</v>
      </c>
      <c r="S61" s="25" t="n">
        <v>35.278</v>
      </c>
      <c r="T61" s="22" t="n">
        <v>2.9821677852349</v>
      </c>
      <c r="U61" s="41" t="n">
        <v>6</v>
      </c>
      <c r="V61" s="42" t="n">
        <v>1.39166666666667</v>
      </c>
      <c r="W61" s="42" t="n">
        <v>0.0574166061925177</v>
      </c>
      <c r="X61" s="42" t="n">
        <v>0.0234402313223322</v>
      </c>
      <c r="Y61" s="42" t="n">
        <v>-1.20333333333333</v>
      </c>
      <c r="Z61" s="42" t="n">
        <v>0.108566415924385</v>
      </c>
      <c r="AA61" s="42" t="n">
        <v>0.0443220537029191</v>
      </c>
      <c r="AB61" s="27" t="n">
        <v>0.28564006</v>
      </c>
      <c r="AC61" s="27" t="n">
        <v>0.202886463180285</v>
      </c>
      <c r="AD61" s="27" t="n">
        <v>0.201448401509921</v>
      </c>
      <c r="AE61" s="43" t="n">
        <v>0.574333333333333</v>
      </c>
      <c r="AF61" s="43" t="n">
        <v>0.015101140501447</v>
      </c>
      <c r="AG61" s="29" t="n">
        <v>26.4055786132812</v>
      </c>
      <c r="AH61" s="27" t="n">
        <v>1.55532255988676</v>
      </c>
      <c r="AI61" s="27" t="n">
        <f aca="false">VLOOKUP(B61,proft,2,0)</f>
        <v>22.0529492535183</v>
      </c>
      <c r="AJ61" s="27" t="n">
        <f aca="false">VLOOKUP(B61,proft,3,0)</f>
        <v>2.9614009857178</v>
      </c>
      <c r="AK61" s="27" t="s">
        <v>63</v>
      </c>
      <c r="BA61" s="30" t="n">
        <v>22.0349</v>
      </c>
      <c r="BB61" s="30" t="n">
        <v>2.246</v>
      </c>
      <c r="BC61" s="30" t="n">
        <v>0.02308</v>
      </c>
      <c r="BD61" s="31" t="n">
        <v>22.0349</v>
      </c>
      <c r="BE61" s="31" t="n">
        <v>2.246</v>
      </c>
      <c r="BF61" s="31" t="n">
        <v>0.02308</v>
      </c>
      <c r="BG61" s="14" t="n">
        <f aca="false">10^6/((BA61+273.15)^2)</f>
        <v>11.476559819041</v>
      </c>
      <c r="BH61" s="14" t="n">
        <f aca="false">BG61*(2*($BE61/($BD61+273.15)))</f>
        <v>0.174645473759437</v>
      </c>
      <c r="BI61" s="14" t="n">
        <f aca="false">BG61*(2*($BF61/($BD61+273.15)))</f>
        <v>0.00179466497523054</v>
      </c>
      <c r="BK61" s="14" t="n">
        <f aca="false">10^6/((AG61+273.15)^2)</f>
        <v>11.1441045105778</v>
      </c>
      <c r="BL61" s="14" t="n">
        <f aca="false">BK61*(2*($AH61/($AG61+273.15)))</f>
        <v>0.115722613047468</v>
      </c>
      <c r="BM61" s="14" t="n">
        <f aca="false">10^6/((AI61+273.15)^2)</f>
        <v>11.475156465818</v>
      </c>
      <c r="BN61" s="14" t="n">
        <f aca="false">BM61*(2*($AJ61/($AI61+273.15)))</f>
        <v>0.230231708423451</v>
      </c>
    </row>
    <row r="62" s="14" customFormat="true" ht="16" hidden="false" customHeight="false" outlineLevel="0" collapsed="false">
      <c r="A62" s="22" t="s">
        <v>229</v>
      </c>
      <c r="B62" s="40" t="s">
        <v>269</v>
      </c>
      <c r="C62" s="14" t="s">
        <v>53</v>
      </c>
      <c r="D62" s="36" t="s">
        <v>270</v>
      </c>
      <c r="E62" s="24" t="s">
        <v>271</v>
      </c>
      <c r="F62" s="22" t="n">
        <v>0</v>
      </c>
      <c r="G62" s="22" t="n">
        <v>160.4</v>
      </c>
      <c r="H62" s="22" t="s">
        <v>56</v>
      </c>
      <c r="I62" s="22" t="s">
        <v>57</v>
      </c>
      <c r="J62" s="22" t="n">
        <v>2959</v>
      </c>
      <c r="K62" s="25" t="s">
        <v>229</v>
      </c>
      <c r="L62" s="22" t="s">
        <v>58</v>
      </c>
      <c r="M62" s="22" t="s">
        <v>232</v>
      </c>
      <c r="N62" s="22" t="s">
        <v>233</v>
      </c>
      <c r="O62" s="22" t="s">
        <v>61</v>
      </c>
      <c r="P62" s="22" t="s">
        <v>61</v>
      </c>
      <c r="Q62" s="22" t="n">
        <v>3</v>
      </c>
      <c r="R62" s="25" t="s">
        <v>234</v>
      </c>
      <c r="S62" s="25" t="n">
        <v>35.062625</v>
      </c>
      <c r="T62" s="22" t="n">
        <v>-2.17345945945946</v>
      </c>
      <c r="U62" s="41" t="n">
        <v>4</v>
      </c>
      <c r="V62" s="42" t="n">
        <v>2.1025</v>
      </c>
      <c r="W62" s="42" t="n">
        <v>0.0485626742811115</v>
      </c>
      <c r="X62" s="42" t="n">
        <v>0.0242813371405557</v>
      </c>
      <c r="Y62" s="42" t="n">
        <v>-0.375</v>
      </c>
      <c r="Z62" s="42" t="n">
        <v>0.135769412362775</v>
      </c>
      <c r="AA62" s="42" t="n">
        <v>0.0678847061813877</v>
      </c>
      <c r="AB62" s="27" t="n">
        <v>0.229350568</v>
      </c>
      <c r="AC62" s="27" t="n">
        <v>0.222063598809596</v>
      </c>
      <c r="AD62" s="27" t="n">
        <v>0.20460314851745</v>
      </c>
      <c r="AE62" s="43" t="n">
        <v>0.628</v>
      </c>
      <c r="AF62" s="43" t="n">
        <v>0.00578791845139512</v>
      </c>
      <c r="AG62" s="29" t="n">
        <v>17.2583122253418</v>
      </c>
      <c r="AH62" s="27" t="n">
        <v>4.81785628436477</v>
      </c>
      <c r="AI62" s="27" t="n">
        <f aca="false">VLOOKUP(B62,proft,2,0)</f>
        <v>17.8200244858676</v>
      </c>
      <c r="AJ62" s="27" t="n">
        <f aca="false">VLOOKUP(B62,proft,3,0)</f>
        <v>2.4528865814209</v>
      </c>
      <c r="AK62" s="27" t="s">
        <v>63</v>
      </c>
      <c r="BA62" s="30" t="n">
        <v>18.5816</v>
      </c>
      <c r="BB62" s="30" t="n">
        <v>2.233</v>
      </c>
      <c r="BC62" s="30" t="n">
        <v>0.02233</v>
      </c>
      <c r="BD62" s="31" t="n">
        <v>18.5816</v>
      </c>
      <c r="BE62" s="31" t="n">
        <v>2.233</v>
      </c>
      <c r="BF62" s="31" t="n">
        <v>0.02233</v>
      </c>
      <c r="BG62" s="14" t="n">
        <f aca="false">10^6/((BA62+273.15)^2)</f>
        <v>11.7498697450203</v>
      </c>
      <c r="BH62" s="14" t="n">
        <f aca="false">BG62*(2*($BE62/($BD62+273.15)))</f>
        <v>0.179873960452898</v>
      </c>
      <c r="BI62" s="14" t="n">
        <f aca="false">BG62*(2*($BF62/($BD62+273.15)))</f>
        <v>0.00179873960452898</v>
      </c>
      <c r="BK62" s="14" t="n">
        <f aca="false">10^6/((AG62+273.15)^2)</f>
        <v>11.8571936936845</v>
      </c>
      <c r="BL62" s="14" t="n">
        <f aca="false">BK62*(2*($AH62/($AG62+273.15)))</f>
        <v>0.393420248300064</v>
      </c>
      <c r="BM62" s="14" t="n">
        <f aca="false">10^6/((AI62+273.15)^2)</f>
        <v>11.8114576955394</v>
      </c>
      <c r="BN62" s="14" t="n">
        <f aca="false">BM62*(2*($AJ62/($AI62+273.15)))</f>
        <v>0.199141929754461</v>
      </c>
    </row>
    <row r="63" s="14" customFormat="true" ht="16" hidden="false" customHeight="false" outlineLevel="0" collapsed="false">
      <c r="A63" s="22" t="s">
        <v>139</v>
      </c>
      <c r="B63" s="40" t="s">
        <v>272</v>
      </c>
      <c r="C63" s="14" t="s">
        <v>53</v>
      </c>
      <c r="D63" s="36" t="s">
        <v>273</v>
      </c>
      <c r="E63" s="24" t="s">
        <v>271</v>
      </c>
      <c r="F63" s="22" t="n">
        <v>0</v>
      </c>
      <c r="G63" s="22" t="n">
        <v>160.4</v>
      </c>
      <c r="H63" s="22" t="s">
        <v>56</v>
      </c>
      <c r="I63" s="22" t="s">
        <v>57</v>
      </c>
      <c r="J63" s="22" t="n">
        <v>2959</v>
      </c>
      <c r="K63" s="25" t="s">
        <v>139</v>
      </c>
      <c r="L63" s="22" t="s">
        <v>144</v>
      </c>
      <c r="M63" s="22" t="s">
        <v>145</v>
      </c>
      <c r="N63" s="22" t="s">
        <v>146</v>
      </c>
      <c r="O63" s="22" t="s">
        <v>92</v>
      </c>
      <c r="P63" s="22" t="s">
        <v>92</v>
      </c>
      <c r="Q63" s="22" t="n">
        <v>4</v>
      </c>
      <c r="R63" s="25" t="s">
        <v>62</v>
      </c>
      <c r="S63" s="25" t="n">
        <v>35.303</v>
      </c>
      <c r="T63" s="22" t="n">
        <v>-2.17345945945946</v>
      </c>
      <c r="U63" s="41" t="n">
        <v>6</v>
      </c>
      <c r="V63" s="42" t="n">
        <v>1.45666666666667</v>
      </c>
      <c r="W63" s="42" t="n">
        <v>0.0868715526893969</v>
      </c>
      <c r="X63" s="42" t="n">
        <v>0.0354651628753877</v>
      </c>
      <c r="Y63" s="42" t="n">
        <v>-1.08</v>
      </c>
      <c r="Z63" s="42" t="n">
        <v>0.134313067123047</v>
      </c>
      <c r="AA63" s="42" t="n">
        <v>0.0548330800399419</v>
      </c>
      <c r="AB63" s="27" t="n">
        <v>0.285494585</v>
      </c>
      <c r="AC63" s="27" t="n">
        <v>0.202801336261954</v>
      </c>
      <c r="AD63" s="27" t="n">
        <v>0.201405538639872</v>
      </c>
      <c r="AE63" s="43" t="n">
        <v>0.602</v>
      </c>
      <c r="AF63" s="43" t="n">
        <v>0.00757187779440037</v>
      </c>
      <c r="AG63" s="29" t="n">
        <v>26.2691173553466</v>
      </c>
      <c r="AH63" s="27" t="n">
        <v>1.64222464106916</v>
      </c>
      <c r="AI63" s="27" t="n">
        <f aca="false">VLOOKUP(B63,proft,2,0)</f>
        <v>21.4333385155615</v>
      </c>
      <c r="AJ63" s="27" t="n">
        <f aca="false">VLOOKUP(B63,proft,3,0)</f>
        <v>2.3040390014648</v>
      </c>
      <c r="AK63" s="27" t="s">
        <v>63</v>
      </c>
      <c r="BA63" s="30" t="n">
        <v>21.5259</v>
      </c>
      <c r="BB63" s="30" t="n">
        <v>2.202</v>
      </c>
      <c r="BC63" s="30" t="n">
        <v>0.02202</v>
      </c>
      <c r="BD63" s="31" t="n">
        <v>21.5259</v>
      </c>
      <c r="BE63" s="31" t="n">
        <v>2.202</v>
      </c>
      <c r="BF63" s="31" t="n">
        <v>0.02202</v>
      </c>
      <c r="BG63" s="14" t="n">
        <f aca="false">10^6/((BA63+273.15)^2)</f>
        <v>11.5162414766284</v>
      </c>
      <c r="BH63" s="14" t="n">
        <f aca="false">BG63*(2*($BE63/($BD63+273.15)))</f>
        <v>0.172112912739289</v>
      </c>
      <c r="BI63" s="14" t="n">
        <f aca="false">BG63*(2*($BF63/($BD63+273.15)))</f>
        <v>0.00172112912739289</v>
      </c>
      <c r="BK63" s="14" t="n">
        <f aca="false">10^6/((AG63+273.15)^2)</f>
        <v>11.1542647506742</v>
      </c>
      <c r="BL63" s="14" t="n">
        <f aca="false">BK63*(2*($AH63/($AG63+273.15)))</f>
        <v>0.122355637063929</v>
      </c>
      <c r="BM63" s="14" t="n">
        <f aca="false">10^6/((AI63+273.15)^2)</f>
        <v>11.5234796855518</v>
      </c>
      <c r="BN63" s="14" t="n">
        <f aca="false">BM63*(2*($AJ63/($AI63+273.15)))</f>
        <v>0.180258304912218</v>
      </c>
    </row>
    <row r="64" s="14" customFormat="true" ht="16" hidden="false" customHeight="false" outlineLevel="0" collapsed="false">
      <c r="A64" s="22" t="s">
        <v>67</v>
      </c>
      <c r="B64" s="40" t="s">
        <v>274</v>
      </c>
      <c r="C64" s="14" t="s">
        <v>53</v>
      </c>
      <c r="D64" s="36" t="s">
        <v>275</v>
      </c>
      <c r="E64" s="24" t="s">
        <v>276</v>
      </c>
      <c r="F64" s="22" t="n">
        <v>0</v>
      </c>
      <c r="G64" s="22" t="n">
        <v>160.45</v>
      </c>
      <c r="H64" s="22" t="s">
        <v>56</v>
      </c>
      <c r="I64" s="22" t="s">
        <v>57</v>
      </c>
      <c r="J64" s="22" t="n">
        <v>2965</v>
      </c>
      <c r="K64" s="25" t="s">
        <v>67</v>
      </c>
      <c r="L64" s="22" t="s">
        <v>68</v>
      </c>
      <c r="M64" s="22" t="s">
        <v>69</v>
      </c>
      <c r="N64" s="22" t="s">
        <v>70</v>
      </c>
      <c r="O64" s="22" t="s">
        <v>71</v>
      </c>
      <c r="P64" s="22" t="s">
        <v>71</v>
      </c>
      <c r="Q64" s="22" t="n">
        <v>5</v>
      </c>
      <c r="R64" s="25" t="s">
        <v>62</v>
      </c>
      <c r="S64" s="25" t="n">
        <v>35.0238181818182</v>
      </c>
      <c r="T64" s="22" t="n">
        <v>-4.38908806262231</v>
      </c>
      <c r="U64" s="41" t="n">
        <v>7</v>
      </c>
      <c r="V64" s="42" t="n">
        <v>2.00142857142857</v>
      </c>
      <c r="W64" s="42" t="n">
        <v>0.170237928737847</v>
      </c>
      <c r="X64" s="42" t="n">
        <v>0.0643438890215829</v>
      </c>
      <c r="Y64" s="42" t="n">
        <v>-1.91285714285714</v>
      </c>
      <c r="Z64" s="42" t="n">
        <v>0.438699376403867</v>
      </c>
      <c r="AA64" s="42" t="n">
        <v>0.165812778611964</v>
      </c>
      <c r="AB64" s="27" t="n">
        <v>0.2599651</v>
      </c>
      <c r="AC64" s="27" t="n">
        <v>0.217985310503257</v>
      </c>
      <c r="AD64" s="27" t="n">
        <v>0.206169505985731</v>
      </c>
      <c r="AE64" s="43" t="n">
        <v>0.600285714285714</v>
      </c>
      <c r="AF64" s="43" t="n">
        <v>0.00827708910678342</v>
      </c>
      <c r="AG64" s="29" t="n">
        <v>28.5219873948531</v>
      </c>
      <c r="AH64" s="27" t="n">
        <v>0.558640890038323</v>
      </c>
      <c r="AI64" s="27" t="n">
        <f aca="false">VLOOKUP(B64,proft,2,0)</f>
        <v>25.4822998897927</v>
      </c>
      <c r="AJ64" s="27" t="n">
        <f aca="false">VLOOKUP(B64,proft,3,0)</f>
        <v>2.3940334320069</v>
      </c>
      <c r="AK64" s="27" t="s">
        <v>72</v>
      </c>
      <c r="BA64" s="30" t="n">
        <v>26.1065</v>
      </c>
      <c r="BB64" s="30" t="n">
        <v>2.079</v>
      </c>
      <c r="BC64" s="30" t="n">
        <v>0.02079</v>
      </c>
      <c r="BD64" s="31" t="n">
        <v>26.1065</v>
      </c>
      <c r="BE64" s="31" t="n">
        <v>2.079</v>
      </c>
      <c r="BF64" s="31" t="n">
        <v>0.02079</v>
      </c>
      <c r="BG64" s="14" t="n">
        <f aca="false">10^6/((BA64+273.15)^2)</f>
        <v>11.1663906017026</v>
      </c>
      <c r="BH64" s="14" t="n">
        <f aca="false">BG64*(2*($BE64/($BD64+273.15)))</f>
        <v>0.155150688863498</v>
      </c>
      <c r="BI64" s="14" t="n">
        <f aca="false">BG64*(2*($BF64/($BD64+273.15)))</f>
        <v>0.00155150688863498</v>
      </c>
      <c r="BK64" s="14" t="n">
        <f aca="false">10^6/((AG64+273.15)^2)</f>
        <v>10.9882879380793</v>
      </c>
      <c r="BL64" s="14" t="n">
        <f aca="false">BK64*(2*($AH64/($AG64+273.15)))</f>
        <v>0.0406965658743209</v>
      </c>
      <c r="BM64" s="14" t="n">
        <f aca="false">10^6/((AI64+273.15)^2)</f>
        <v>11.2131192820612</v>
      </c>
      <c r="BN64" s="14" t="n">
        <f aca="false">BM64*(2*($AJ64/($AI64+273.15)))</f>
        <v>0.179783516037899</v>
      </c>
    </row>
    <row r="65" s="14" customFormat="true" ht="16" hidden="false" customHeight="false" outlineLevel="0" collapsed="false">
      <c r="A65" s="22" t="s">
        <v>229</v>
      </c>
      <c r="B65" s="40" t="s">
        <v>277</v>
      </c>
      <c r="C65" s="14" t="s">
        <v>53</v>
      </c>
      <c r="D65" s="36" t="s">
        <v>278</v>
      </c>
      <c r="E65" s="24" t="s">
        <v>276</v>
      </c>
      <c r="F65" s="22" t="n">
        <v>0</v>
      </c>
      <c r="G65" s="22" t="n">
        <v>160.45</v>
      </c>
      <c r="H65" s="22" t="s">
        <v>56</v>
      </c>
      <c r="I65" s="22" t="s">
        <v>57</v>
      </c>
      <c r="J65" s="22" t="n">
        <v>2965</v>
      </c>
      <c r="K65" s="25" t="s">
        <v>229</v>
      </c>
      <c r="L65" s="22" t="s">
        <v>58</v>
      </c>
      <c r="M65" s="22" t="s">
        <v>232</v>
      </c>
      <c r="N65" s="22" t="s">
        <v>233</v>
      </c>
      <c r="O65" s="22" t="s">
        <v>61</v>
      </c>
      <c r="P65" s="22" t="s">
        <v>61</v>
      </c>
      <c r="Q65" s="22" t="n">
        <v>3</v>
      </c>
      <c r="R65" s="25" t="s">
        <v>234</v>
      </c>
      <c r="S65" s="25" t="n">
        <v>35.062625</v>
      </c>
      <c r="T65" s="22" t="n">
        <v>-4.38908806262231</v>
      </c>
      <c r="U65" s="41" t="n">
        <v>3</v>
      </c>
      <c r="V65" s="42" t="n">
        <v>2.06666666666667</v>
      </c>
      <c r="W65" s="42" t="n">
        <v>0.0404145188432738</v>
      </c>
      <c r="X65" s="42" t="n">
        <v>0.0233333333333333</v>
      </c>
      <c r="Y65" s="42" t="n">
        <v>-0.38</v>
      </c>
      <c r="Z65" s="42" t="n">
        <v>0.04</v>
      </c>
      <c r="AA65" s="42" t="n">
        <v>0.023094010767585</v>
      </c>
      <c r="AB65" s="27" t="n">
        <v>0.229749928</v>
      </c>
      <c r="AC65" s="27" t="n">
        <v>0.222082321788729</v>
      </c>
      <c r="AD65" s="27" t="n">
        <v>0.204607212801051</v>
      </c>
      <c r="AE65" s="43" t="n">
        <v>0.614666666666667</v>
      </c>
      <c r="AF65" s="43" t="n">
        <v>0.0120046287369127</v>
      </c>
      <c r="AG65" s="29" t="n">
        <v>17.1850528717041</v>
      </c>
      <c r="AH65" s="27" t="n">
        <v>4.89682398535433</v>
      </c>
      <c r="AI65" s="27" t="n">
        <f aca="false">VLOOKUP(B65,proft,2,0)</f>
        <v>17.8744945123164</v>
      </c>
      <c r="AJ65" s="27" t="n">
        <f aca="false">VLOOKUP(B65,proft,3,0)</f>
        <v>2.6444129943847</v>
      </c>
      <c r="AK65" s="27" t="s">
        <v>63</v>
      </c>
      <c r="BA65" s="30" t="n">
        <v>18.5834</v>
      </c>
      <c r="BB65" s="30" t="n">
        <v>2.23</v>
      </c>
      <c r="BC65" s="30" t="n">
        <v>0.02258</v>
      </c>
      <c r="BD65" s="31" t="n">
        <v>18.5834</v>
      </c>
      <c r="BE65" s="31" t="n">
        <v>2.23</v>
      </c>
      <c r="BF65" s="31" t="n">
        <v>0.02258</v>
      </c>
      <c r="BG65" s="14" t="n">
        <f aca="false">10^6/((BA65+273.15)^2)</f>
        <v>11.7497247516785</v>
      </c>
      <c r="BH65" s="14" t="n">
        <f aca="false">BG65*(2*($BE65/($BD65+273.15)))</f>
        <v>0.179628977664148</v>
      </c>
      <c r="BI65" s="14" t="n">
        <f aca="false">BG65*(2*($BF65/($BD65+273.15)))</f>
        <v>0.00181884408773832</v>
      </c>
      <c r="BK65" s="14" t="n">
        <f aca="false">10^6/((AG65+273.15)^2)</f>
        <v>11.8631782272729</v>
      </c>
      <c r="BL65" s="14" t="n">
        <f aca="false">BK65*(2*($AH65/($AG65+273.15)))</f>
        <v>0.400171423403796</v>
      </c>
      <c r="BM65" s="14" t="n">
        <f aca="false">10^6/((AI65+273.15)^2)</f>
        <v>11.8070366916959</v>
      </c>
      <c r="BN65" s="14" t="n">
        <f aca="false">BM65*(2*($AJ65/($AI65+273.15)))</f>
        <v>0.214570813395065</v>
      </c>
    </row>
    <row r="66" s="14" customFormat="true" ht="16" hidden="false" customHeight="false" outlineLevel="0" collapsed="false">
      <c r="A66" s="22" t="s">
        <v>130</v>
      </c>
      <c r="B66" s="40" t="s">
        <v>279</v>
      </c>
      <c r="C66" s="14" t="s">
        <v>53</v>
      </c>
      <c r="D66" s="36" t="s">
        <v>280</v>
      </c>
      <c r="E66" s="24" t="s">
        <v>276</v>
      </c>
      <c r="F66" s="22" t="n">
        <v>0</v>
      </c>
      <c r="G66" s="22" t="n">
        <v>160.45</v>
      </c>
      <c r="H66" s="22" t="s">
        <v>56</v>
      </c>
      <c r="I66" s="22" t="s">
        <v>57</v>
      </c>
      <c r="J66" s="22" t="n">
        <v>2965</v>
      </c>
      <c r="K66" s="25" t="s">
        <v>130</v>
      </c>
      <c r="L66" s="22" t="s">
        <v>80</v>
      </c>
      <c r="M66" s="22" t="s">
        <v>134</v>
      </c>
      <c r="N66" s="22" t="s">
        <v>135</v>
      </c>
      <c r="O66" s="22" t="s">
        <v>92</v>
      </c>
      <c r="P66" s="22" t="s">
        <v>92</v>
      </c>
      <c r="Q66" s="22" t="n">
        <v>4</v>
      </c>
      <c r="R66" s="25" t="s">
        <v>62</v>
      </c>
      <c r="S66" s="25" t="n">
        <v>34.9382941176471</v>
      </c>
      <c r="T66" s="22" t="n">
        <v>-4.38908806262231</v>
      </c>
      <c r="U66" s="41" t="n">
        <v>3</v>
      </c>
      <c r="V66" s="42" t="n">
        <v>1.50666666666667</v>
      </c>
      <c r="W66" s="42" t="n">
        <v>0.0251661147842359</v>
      </c>
      <c r="X66" s="42" t="n">
        <v>0.0145296631451356</v>
      </c>
      <c r="Y66" s="42" t="n">
        <v>-1.16666666666667</v>
      </c>
      <c r="Z66" s="42" t="n">
        <v>0.0251661147842359</v>
      </c>
      <c r="AA66" s="42" t="n">
        <v>0.0145296631451356</v>
      </c>
      <c r="AB66" s="27" t="n">
        <v>0.283770043333333</v>
      </c>
      <c r="AC66" s="27" t="n">
        <v>0.209021413322145</v>
      </c>
      <c r="AD66" s="27" t="n">
        <v>0.201531615066217</v>
      </c>
      <c r="AE66" s="43" t="n">
        <v>0.603333333333333</v>
      </c>
      <c r="AF66" s="43" t="n">
        <v>0.000333333333333334</v>
      </c>
      <c r="AG66" s="29" t="n">
        <v>28.5272872027229</v>
      </c>
      <c r="AH66" s="27" t="n">
        <v>1.02129919207233</v>
      </c>
      <c r="AI66" s="27" t="n">
        <f aca="false">VLOOKUP(B66,proft,2,0)</f>
        <v>21.8713491707834</v>
      </c>
      <c r="AJ66" s="27" t="n">
        <f aca="false">VLOOKUP(B66,proft,3,0)</f>
        <v>2.4538688659668</v>
      </c>
      <c r="AK66" s="27" t="s">
        <v>63</v>
      </c>
      <c r="BA66" s="30" t="n">
        <v>21.8823</v>
      </c>
      <c r="BB66" s="30" t="n">
        <v>2.24</v>
      </c>
      <c r="BC66" s="30" t="n">
        <v>0.0224</v>
      </c>
      <c r="BD66" s="31" t="n">
        <v>21.8823</v>
      </c>
      <c r="BE66" s="31" t="n">
        <v>2.24</v>
      </c>
      <c r="BF66" s="31" t="n">
        <v>0.0224</v>
      </c>
      <c r="BG66" s="14" t="n">
        <f aca="false">10^6/((BA66+273.15)^2)</f>
        <v>11.4884349659188</v>
      </c>
      <c r="BH66" s="14" t="n">
        <f aca="false">BG66*(2*($BE66/($BD66+273.15)))</f>
        <v>0.174449335368759</v>
      </c>
      <c r="BI66" s="14" t="n">
        <f aca="false">BG66*(2*($BF66/($BD66+273.15)))</f>
        <v>0.00174449335368759</v>
      </c>
      <c r="BK66" s="14" t="n">
        <f aca="false">10^6/((AG66+273.15)^2)</f>
        <v>10.9879018612626</v>
      </c>
      <c r="BL66" s="14" t="n">
        <f aca="false">BK66*(2*($AH66/($AG66+273.15)))</f>
        <v>0.0743969517727502</v>
      </c>
      <c r="BM66" s="14" t="n">
        <f aca="false">10^6/((AI66+273.15)^2)</f>
        <v>11.4892878548677</v>
      </c>
      <c r="BN66" s="14" t="n">
        <f aca="false">BM66*(2*($AJ66/($AI66+273.15)))</f>
        <v>0.191126546186796</v>
      </c>
    </row>
    <row r="67" s="14" customFormat="true" ht="16" hidden="false" customHeight="false" outlineLevel="0" collapsed="false">
      <c r="A67" s="22" t="s">
        <v>139</v>
      </c>
      <c r="B67" s="40" t="s">
        <v>281</v>
      </c>
      <c r="C67" s="14" t="s">
        <v>53</v>
      </c>
      <c r="D67" s="36" t="s">
        <v>282</v>
      </c>
      <c r="E67" s="24" t="s">
        <v>276</v>
      </c>
      <c r="F67" s="22" t="n">
        <v>0</v>
      </c>
      <c r="G67" s="22" t="n">
        <v>160.45</v>
      </c>
      <c r="H67" s="22" t="s">
        <v>56</v>
      </c>
      <c r="I67" s="22" t="s">
        <v>57</v>
      </c>
      <c r="J67" s="22" t="n">
        <v>2965</v>
      </c>
      <c r="K67" s="25" t="s">
        <v>139</v>
      </c>
      <c r="L67" s="22" t="s">
        <v>144</v>
      </c>
      <c r="M67" s="22" t="s">
        <v>145</v>
      </c>
      <c r="N67" s="22" t="s">
        <v>146</v>
      </c>
      <c r="O67" s="22" t="s">
        <v>92</v>
      </c>
      <c r="P67" s="22" t="s">
        <v>92</v>
      </c>
      <c r="Q67" s="22" t="n">
        <v>4</v>
      </c>
      <c r="R67" s="25" t="s">
        <v>62</v>
      </c>
      <c r="S67" s="25" t="n">
        <v>35.303</v>
      </c>
      <c r="T67" s="22" t="n">
        <v>-4.38908806262231</v>
      </c>
      <c r="U67" s="41" t="n">
        <v>9</v>
      </c>
      <c r="V67" s="42" t="n">
        <v>1.41375</v>
      </c>
      <c r="W67" s="42" t="n">
        <v>0.0434042460069123</v>
      </c>
      <c r="X67" s="42" t="n">
        <v>0.0153457183418884</v>
      </c>
      <c r="Y67" s="42" t="n">
        <v>-1.0975</v>
      </c>
      <c r="Z67" s="42" t="n">
        <v>0.0265921578128375</v>
      </c>
      <c r="AA67" s="42" t="n">
        <v>0.00940174755792011</v>
      </c>
      <c r="AB67" s="27" t="n">
        <v>0.286021455</v>
      </c>
      <c r="AC67" s="27" t="n">
        <v>0.202644505024563</v>
      </c>
      <c r="AD67" s="27" t="n">
        <v>0.201326594637482</v>
      </c>
      <c r="AE67" s="43" t="n">
        <v>0.60175</v>
      </c>
      <c r="AF67" s="43" t="n">
        <v>0.00718815990759407</v>
      </c>
      <c r="AG67" s="29" t="n">
        <v>26.3229598999024</v>
      </c>
      <c r="AH67" s="27" t="n">
        <v>1.62225040662285</v>
      </c>
      <c r="AI67" s="27" t="n">
        <f aca="false">VLOOKUP(B67,proft,2,0)</f>
        <v>21.5148513127534</v>
      </c>
      <c r="AJ67" s="27" t="n">
        <f aca="false">VLOOKUP(B67,proft,3,0)</f>
        <v>2.4538688659668</v>
      </c>
      <c r="AK67" s="27" t="s">
        <v>63</v>
      </c>
      <c r="BA67" s="30" t="n">
        <v>21.639</v>
      </c>
      <c r="BB67" s="30" t="n">
        <v>2.229</v>
      </c>
      <c r="BC67" s="30" t="n">
        <v>0.02229</v>
      </c>
      <c r="BD67" s="31" t="n">
        <v>21.639</v>
      </c>
      <c r="BE67" s="31" t="n">
        <v>2.229</v>
      </c>
      <c r="BF67" s="31" t="n">
        <v>0.02229</v>
      </c>
      <c r="BG67" s="14" t="n">
        <f aca="false">10^6/((BA67+273.15)^2)</f>
        <v>11.5074064315475</v>
      </c>
      <c r="BH67" s="14" t="n">
        <f aca="false">BG67*(2*($BE67/($BD67+273.15)))</f>
        <v>0.174022836238254</v>
      </c>
      <c r="BI67" s="14" t="n">
        <f aca="false">BG67*(2*($BF67/($BD67+273.15)))</f>
        <v>0.00174022836238254</v>
      </c>
      <c r="BK67" s="14" t="n">
        <f aca="false">10^6/((AG67+273.15)^2)</f>
        <v>11.1502542382852</v>
      </c>
      <c r="BL67" s="14" t="n">
        <f aca="false">BK67*(2*($AH67/($AG67+273.15)))</f>
        <v>0.120802255255715</v>
      </c>
      <c r="BM67" s="14" t="n">
        <f aca="false">10^6/((AI67+273.15)^2)</f>
        <v>11.51710511364</v>
      </c>
      <c r="BN67" s="14" t="n">
        <f aca="false">BM67*(2*($AJ67/($AI67+273.15)))</f>
        <v>0.191821084452532</v>
      </c>
    </row>
    <row r="68" s="14" customFormat="true" ht="16" hidden="false" customHeight="false" outlineLevel="0" collapsed="false">
      <c r="A68" s="22" t="s">
        <v>67</v>
      </c>
      <c r="B68" s="40" t="s">
        <v>283</v>
      </c>
      <c r="C68" s="14" t="s">
        <v>53</v>
      </c>
      <c r="D68" s="36" t="s">
        <v>284</v>
      </c>
      <c r="E68" s="24" t="s">
        <v>285</v>
      </c>
      <c r="F68" s="22" t="n">
        <v>0</v>
      </c>
      <c r="G68" s="22" t="n">
        <v>0</v>
      </c>
      <c r="H68" s="22" t="s">
        <v>56</v>
      </c>
      <c r="I68" s="22" t="s">
        <v>57</v>
      </c>
      <c r="J68" s="22" t="n">
        <v>3160</v>
      </c>
      <c r="K68" s="25" t="s">
        <v>67</v>
      </c>
      <c r="L68" s="22" t="s">
        <v>68</v>
      </c>
      <c r="M68" s="22" t="s">
        <v>69</v>
      </c>
      <c r="N68" s="22" t="s">
        <v>70</v>
      </c>
      <c r="O68" s="22" t="s">
        <v>71</v>
      </c>
      <c r="P68" s="22" t="s">
        <v>71</v>
      </c>
      <c r="Q68" s="22" t="n">
        <v>5</v>
      </c>
      <c r="R68" s="25" t="s">
        <v>62</v>
      </c>
      <c r="S68" s="25" t="n">
        <v>35.7684545454545</v>
      </c>
      <c r="T68" s="22" t="n">
        <v>-6.75776591576885</v>
      </c>
      <c r="U68" s="41" t="n">
        <v>6</v>
      </c>
      <c r="V68" s="42" t="n">
        <v>2.33166666666667</v>
      </c>
      <c r="W68" s="42" t="n">
        <v>0.0172240142436851</v>
      </c>
      <c r="X68" s="42" t="n">
        <v>0.00703167436990968</v>
      </c>
      <c r="Y68" s="42" t="n">
        <v>-1.80833333333333</v>
      </c>
      <c r="Z68" s="42" t="n">
        <v>0.0331159578853861</v>
      </c>
      <c r="AA68" s="42" t="n">
        <v>0.0135195331937822</v>
      </c>
      <c r="AB68" s="27" t="n">
        <v>0.2775805</v>
      </c>
      <c r="AC68" s="27" t="n">
        <v>0.213740658863378</v>
      </c>
      <c r="AD68" s="27" t="n">
        <v>0.204682737630177</v>
      </c>
      <c r="AE68" s="43" t="n">
        <v>0.582833333333333</v>
      </c>
      <c r="AF68" s="43" t="n">
        <v>0.0119203374299742</v>
      </c>
      <c r="AG68" s="29" t="n">
        <v>28.4809353568337</v>
      </c>
      <c r="AH68" s="27" t="n">
        <v>0.523423315129924</v>
      </c>
      <c r="AI68" s="27" t="n">
        <f aca="false">VLOOKUP(B68,proft,2,0)</f>
        <v>25.2489244722307</v>
      </c>
      <c r="AJ68" s="27" t="n">
        <f aca="false">VLOOKUP(B68,proft,3,0)</f>
        <v>2.0996971130371</v>
      </c>
      <c r="AK68" s="27" t="s">
        <v>72</v>
      </c>
      <c r="BA68" s="30" t="n">
        <v>25.6523</v>
      </c>
      <c r="BB68" s="30" t="n">
        <v>2.054</v>
      </c>
      <c r="BC68" s="30" t="n">
        <v>0.0194</v>
      </c>
      <c r="BD68" s="31" t="n">
        <v>25.6523</v>
      </c>
      <c r="BE68" s="31" t="n">
        <v>2.054</v>
      </c>
      <c r="BF68" s="31" t="n">
        <v>0.0194</v>
      </c>
      <c r="BG68" s="14" t="n">
        <f aca="false">10^6/((BA68+273.15)^2)</f>
        <v>11.2003637627794</v>
      </c>
      <c r="BH68" s="14" t="n">
        <f aca="false">BG68*(2*($BE68/($BD68+273.15)))</f>
        <v>0.153985074202902</v>
      </c>
      <c r="BI68" s="14" t="n">
        <f aca="false">BG68*(2*($BF68/($BD68+273.15)))</f>
        <v>0.0014543867767947</v>
      </c>
      <c r="BK68" s="14" t="n">
        <f aca="false">10^6/((AG68+273.15)^2)</f>
        <v>10.9912791585289</v>
      </c>
      <c r="BL68" s="14" t="n">
        <f aca="false">BK68*(2*($AH68/($AG68+273.15)))</f>
        <v>0.0381465632354297</v>
      </c>
      <c r="BM68" s="14" t="n">
        <f aca="false">10^6/((AI68+273.15)^2)</f>
        <v>11.2306655229829</v>
      </c>
      <c r="BN68" s="14" t="n">
        <f aca="false">BM68*(2*($AJ68/($AI68+273.15)))</f>
        <v>0.158050140547922</v>
      </c>
    </row>
    <row r="69" s="14" customFormat="true" ht="16" hidden="false" customHeight="false" outlineLevel="0" collapsed="false">
      <c r="A69" s="22" t="s">
        <v>229</v>
      </c>
      <c r="B69" s="40" t="s">
        <v>286</v>
      </c>
      <c r="C69" s="14" t="s">
        <v>53</v>
      </c>
      <c r="D69" s="36" t="s">
        <v>287</v>
      </c>
      <c r="E69" s="24" t="s">
        <v>285</v>
      </c>
      <c r="F69" s="22" t="n">
        <v>0</v>
      </c>
      <c r="G69" s="22" t="n">
        <v>0</v>
      </c>
      <c r="H69" s="22" t="s">
        <v>56</v>
      </c>
      <c r="I69" s="22" t="s">
        <v>57</v>
      </c>
      <c r="J69" s="22" t="n">
        <v>3160</v>
      </c>
      <c r="K69" s="25" t="s">
        <v>229</v>
      </c>
      <c r="L69" s="22" t="s">
        <v>58</v>
      </c>
      <c r="M69" s="22" t="s">
        <v>232</v>
      </c>
      <c r="N69" s="22" t="s">
        <v>233</v>
      </c>
      <c r="O69" s="22" t="s">
        <v>61</v>
      </c>
      <c r="P69" s="22" t="s">
        <v>61</v>
      </c>
      <c r="Q69" s="22" t="n">
        <v>3</v>
      </c>
      <c r="R69" s="25" t="s">
        <v>234</v>
      </c>
      <c r="S69" s="25" t="n">
        <v>35.344125</v>
      </c>
      <c r="T69" s="22" t="n">
        <v>-6.75776591576885</v>
      </c>
      <c r="U69" s="41" t="n">
        <v>5</v>
      </c>
      <c r="V69" s="42" t="n">
        <v>1.916</v>
      </c>
      <c r="W69" s="42" t="n">
        <v>0.0250998007960223</v>
      </c>
      <c r="X69" s="42" t="n">
        <v>0.0112249721603218</v>
      </c>
      <c r="Y69" s="42" t="n">
        <v>-0.554</v>
      </c>
      <c r="Z69" s="42" t="n">
        <v>0.0598331012066064</v>
      </c>
      <c r="AA69" s="42" t="n">
        <v>0.0267581763205193</v>
      </c>
      <c r="AB69" s="27" t="n">
        <v>0.272355646</v>
      </c>
      <c r="AC69" s="27" t="n">
        <v>0.231242300874694</v>
      </c>
      <c r="AD69" s="27" t="n">
        <v>0.206626717398222</v>
      </c>
      <c r="AE69" s="43" t="n">
        <v>0.58</v>
      </c>
      <c r="AF69" s="43" t="n">
        <v>0.00925742944882649</v>
      </c>
      <c r="AG69" s="29" t="n">
        <v>17.2450672388077</v>
      </c>
      <c r="AH69" s="27" t="n">
        <v>4.94471501370271</v>
      </c>
      <c r="AI69" s="27" t="n">
        <f aca="false">VLOOKUP(B69,proft,2,0)</f>
        <v>19.0390280661365</v>
      </c>
      <c r="AJ69" s="27" t="n">
        <f aca="false">VLOOKUP(B69,proft,3,0)</f>
        <v>2.4637832641601</v>
      </c>
      <c r="AK69" s="27" t="s">
        <v>63</v>
      </c>
      <c r="BA69" s="30" t="n">
        <v>19.4249</v>
      </c>
      <c r="BB69" s="30" t="n">
        <v>2.235</v>
      </c>
      <c r="BC69" s="30" t="n">
        <v>0.02235</v>
      </c>
      <c r="BD69" s="31" t="n">
        <v>19.4249</v>
      </c>
      <c r="BE69" s="31" t="n">
        <v>2.235</v>
      </c>
      <c r="BF69" s="31" t="n">
        <v>0.02235</v>
      </c>
      <c r="BG69" s="14" t="n">
        <f aca="false">10^6/((BA69+273.15)^2)</f>
        <v>11.6822331494632</v>
      </c>
      <c r="BH69" s="14" t="n">
        <f aca="false">BG69*(2*($BE69/($BD69+273.15)))</f>
        <v>0.178482782282761</v>
      </c>
      <c r="BI69" s="14" t="n">
        <f aca="false">BG69*(2*($BF69/($BD69+273.15)))</f>
        <v>0.00178482782282761</v>
      </c>
      <c r="BK69" s="14" t="n">
        <f aca="false">10^6/((AG69+273.15)^2)</f>
        <v>11.8582753370733</v>
      </c>
      <c r="BL69" s="14" t="n">
        <f aca="false">BK69*(2*($AH69/($AG69+273.15)))</f>
        <v>0.403834628827408</v>
      </c>
      <c r="BM69" s="14" t="n">
        <f aca="false">10^6/((AI69+273.15)^2)</f>
        <v>11.7131092060525</v>
      </c>
      <c r="BN69" s="14" t="n">
        <f aca="false">BM69*(2*($AJ69/($AI69+273.15)))</f>
        <v>0.197533511947065</v>
      </c>
    </row>
    <row r="70" s="14" customFormat="true" ht="16" hidden="false" customHeight="false" outlineLevel="0" collapsed="false">
      <c r="A70" s="22" t="s">
        <v>139</v>
      </c>
      <c r="B70" s="40" t="s">
        <v>288</v>
      </c>
      <c r="C70" s="14" t="s">
        <v>53</v>
      </c>
      <c r="D70" s="36" t="s">
        <v>289</v>
      </c>
      <c r="E70" s="24" t="s">
        <v>285</v>
      </c>
      <c r="F70" s="22" t="n">
        <v>0</v>
      </c>
      <c r="G70" s="22" t="n">
        <v>0</v>
      </c>
      <c r="H70" s="22" t="s">
        <v>56</v>
      </c>
      <c r="I70" s="22" t="s">
        <v>57</v>
      </c>
      <c r="J70" s="22" t="n">
        <v>3160</v>
      </c>
      <c r="K70" s="25" t="s">
        <v>139</v>
      </c>
      <c r="L70" s="22" t="s">
        <v>144</v>
      </c>
      <c r="M70" s="22" t="s">
        <v>145</v>
      </c>
      <c r="N70" s="22" t="s">
        <v>146</v>
      </c>
      <c r="O70" s="22" t="s">
        <v>71</v>
      </c>
      <c r="P70" s="22" t="s">
        <v>71</v>
      </c>
      <c r="Q70" s="22" t="n">
        <v>5</v>
      </c>
      <c r="R70" s="25" t="s">
        <v>62</v>
      </c>
      <c r="S70" s="25" t="n">
        <v>35.6075</v>
      </c>
      <c r="T70" s="22" t="n">
        <v>-6.75776591576885</v>
      </c>
      <c r="U70" s="41" t="n">
        <v>15</v>
      </c>
      <c r="V70" s="42" t="n">
        <v>1.41333333333333</v>
      </c>
      <c r="W70" s="42" t="n">
        <v>0.0468533680244877</v>
      </c>
      <c r="X70" s="42" t="n">
        <v>0.0120974876048379</v>
      </c>
      <c r="Y70" s="42" t="n">
        <v>-1.27733333333333</v>
      </c>
      <c r="Z70" s="42" t="n">
        <v>0.069741017513437</v>
      </c>
      <c r="AA70" s="42" t="n">
        <v>0.0180070532918068</v>
      </c>
      <c r="AB70" s="27" t="n">
        <v>0.328630955</v>
      </c>
      <c r="AC70" s="27" t="n">
        <v>0.204401488845292</v>
      </c>
      <c r="AD70" s="27" t="n">
        <v>0.202212720472986</v>
      </c>
      <c r="AE70" s="43" t="n">
        <v>0.612866666666667</v>
      </c>
      <c r="AF70" s="43" t="n">
        <v>0.00815204716717666</v>
      </c>
      <c r="AG70" s="29" t="n">
        <v>26.4055786132812</v>
      </c>
      <c r="AH70" s="27" t="n">
        <v>1.55532255988676</v>
      </c>
      <c r="AI70" s="27" t="n">
        <f aca="false">VLOOKUP(B70,proft,2,0)</f>
        <v>22.7154740842455</v>
      </c>
      <c r="AJ70" s="27" t="n">
        <f aca="false">VLOOKUP(B70,proft,3,0)</f>
        <v>2.4602336883545</v>
      </c>
      <c r="AK70" s="27" t="s">
        <v>63</v>
      </c>
      <c r="BA70" s="30" t="n">
        <v>22.4856</v>
      </c>
      <c r="BB70" s="30" t="n">
        <v>2.225</v>
      </c>
      <c r="BC70" s="30" t="n">
        <v>0.02278</v>
      </c>
      <c r="BD70" s="31" t="n">
        <v>22.4856</v>
      </c>
      <c r="BE70" s="31" t="n">
        <v>2.225</v>
      </c>
      <c r="BF70" s="31" t="n">
        <v>0.02278</v>
      </c>
      <c r="BG70" s="14" t="n">
        <f aca="false">10^6/((BA70+273.15)^2)</f>
        <v>11.4415941873478</v>
      </c>
      <c r="BH70" s="14" t="n">
        <f aca="false">BG70*(2*($BE70/($BD70+273.15)))</f>
        <v>0.172222472982609</v>
      </c>
      <c r="BI70" s="14" t="n">
        <f aca="false">BG70*(2*($BF70/($BD70+273.15)))</f>
        <v>0.00176324850990734</v>
      </c>
      <c r="BK70" s="14" t="n">
        <f aca="false">10^6/((AG70+273.15)^2)</f>
        <v>11.1441045105778</v>
      </c>
      <c r="BL70" s="14" t="n">
        <f aca="false">BK70*(2*($AH70/($AG70+273.15)))</f>
        <v>0.115722613047468</v>
      </c>
      <c r="BM70" s="14" t="n">
        <f aca="false">10^6/((AI70+273.15)^2)</f>
        <v>11.4238218923557</v>
      </c>
      <c r="BN70" s="14" t="n">
        <f aca="false">BM70*(2*($AJ70/($AI70+273.15)))</f>
        <v>0.189986828009086</v>
      </c>
    </row>
    <row r="71" s="14" customFormat="true" ht="16" hidden="false" customHeight="false" outlineLevel="0" collapsed="false">
      <c r="A71" s="22" t="s">
        <v>139</v>
      </c>
      <c r="B71" s="23" t="s">
        <v>290</v>
      </c>
      <c r="C71" s="14" t="s">
        <v>53</v>
      </c>
      <c r="D71" s="23" t="s">
        <v>291</v>
      </c>
      <c r="E71" s="24" t="s">
        <v>292</v>
      </c>
      <c r="F71" s="22" t="n">
        <v>0</v>
      </c>
      <c r="G71" s="22" t="n">
        <v>161</v>
      </c>
      <c r="H71" s="22" t="s">
        <v>56</v>
      </c>
      <c r="I71" s="22" t="s">
        <v>57</v>
      </c>
      <c r="J71" s="22" t="n">
        <v>3411</v>
      </c>
      <c r="K71" s="25" t="s">
        <v>139</v>
      </c>
      <c r="L71" s="22" t="s">
        <v>144</v>
      </c>
      <c r="M71" s="22" t="s">
        <v>145</v>
      </c>
      <c r="N71" s="22" t="s">
        <v>146</v>
      </c>
      <c r="O71" s="22" t="s">
        <v>92</v>
      </c>
      <c r="P71" s="22" t="s">
        <v>92</v>
      </c>
      <c r="Q71" s="22" t="n">
        <v>4</v>
      </c>
      <c r="R71" s="25" t="s">
        <v>62</v>
      </c>
      <c r="S71" s="25" t="n">
        <v>35.29</v>
      </c>
      <c r="T71" s="22" t="n">
        <v>-6.51070068027211</v>
      </c>
      <c r="U71" s="26" t="n">
        <v>12</v>
      </c>
      <c r="V71" s="27" t="n">
        <v>1.55</v>
      </c>
      <c r="W71" s="27" t="n">
        <v>0.134502450129762</v>
      </c>
      <c r="X71" s="27" t="n">
        <v>0.0388275128945411</v>
      </c>
      <c r="Y71" s="27" t="n">
        <v>-1.0625</v>
      </c>
      <c r="Z71" s="27" t="n">
        <v>0.170407266170302</v>
      </c>
      <c r="AA71" s="27" t="n">
        <v>0.0491923404976461</v>
      </c>
      <c r="AB71" s="27" t="n">
        <v>0.286021455</v>
      </c>
      <c r="AC71" s="27" t="n">
        <v>0.202644505024563</v>
      </c>
      <c r="AD71" s="27" t="n">
        <v>0.201326594637482</v>
      </c>
      <c r="AE71" s="28" t="n">
        <v>0.61025</v>
      </c>
      <c r="AF71" s="28" t="n">
        <v>0.00881985106037924</v>
      </c>
      <c r="AG71" s="29" t="n">
        <v>26.3229598999024</v>
      </c>
      <c r="AH71" s="27" t="n">
        <v>1.62225040662285</v>
      </c>
      <c r="AI71" s="27" t="n">
        <f aca="false">VLOOKUP(B71,proft,2,0)</f>
        <v>21.3344548062804</v>
      </c>
      <c r="AJ71" s="27" t="n">
        <f aca="false">VLOOKUP(B71,proft,3,0)</f>
        <v>2.4538688659668</v>
      </c>
      <c r="AK71" s="27" t="s">
        <v>63</v>
      </c>
      <c r="AM71" s="33"/>
      <c r="BA71" s="47" t="n">
        <v>21.4789</v>
      </c>
      <c r="BB71" s="47" t="n">
        <v>2.241</v>
      </c>
      <c r="BC71" s="47" t="n">
        <v>0.02241</v>
      </c>
      <c r="BD71" s="31" t="n">
        <v>21.4789</v>
      </c>
      <c r="BE71" s="31" t="n">
        <v>2.241</v>
      </c>
      <c r="BF71" s="31" t="n">
        <v>0.02241</v>
      </c>
      <c r="BG71" s="14" t="n">
        <f aca="false">10^6/((BA71+273.15)^2)</f>
        <v>11.5199159737419</v>
      </c>
      <c r="BH71" s="14" t="n">
        <f aca="false">BG71*(2*($BE71/($BD71+273.15)))</f>
        <v>0.17524507403826</v>
      </c>
      <c r="BI71" s="14" t="n">
        <f aca="false">BG71*(2*($BF71/($BD71+273.15)))</f>
        <v>0.0017524507403826</v>
      </c>
      <c r="BK71" s="14" t="n">
        <f aca="false">10^6/((AG71+273.15)^2)</f>
        <v>11.1502542382852</v>
      </c>
      <c r="BL71" s="14" t="n">
        <f aca="false">BK71*(2*($AH71/($AG71+273.15)))</f>
        <v>0.120802255255715</v>
      </c>
      <c r="BM71" s="14" t="n">
        <f aca="false">10^6/((AI71+273.15)^2)</f>
        <v>11.5312198274024</v>
      </c>
      <c r="BN71" s="14" t="n">
        <f aca="false">BM71*(2*($AJ71/($AI71+273.15)))</f>
        <v>0.192173820106706</v>
      </c>
    </row>
    <row r="72" s="14" customFormat="true" ht="16" hidden="false" customHeight="false" outlineLevel="0" collapsed="false">
      <c r="A72" s="22" t="s">
        <v>139</v>
      </c>
      <c r="B72" s="23" t="s">
        <v>293</v>
      </c>
      <c r="C72" s="14" t="s">
        <v>53</v>
      </c>
      <c r="D72" s="23" t="s">
        <v>294</v>
      </c>
      <c r="E72" s="24" t="s">
        <v>295</v>
      </c>
      <c r="F72" s="22" t="n">
        <v>0</v>
      </c>
      <c r="G72" s="22" t="n">
        <v>161</v>
      </c>
      <c r="H72" s="22" t="s">
        <v>56</v>
      </c>
      <c r="I72" s="22" t="s">
        <v>57</v>
      </c>
      <c r="J72" s="22" t="n">
        <v>3420</v>
      </c>
      <c r="K72" s="25" t="s">
        <v>139</v>
      </c>
      <c r="L72" s="22" t="s">
        <v>144</v>
      </c>
      <c r="M72" s="22" t="s">
        <v>145</v>
      </c>
      <c r="N72" s="22" t="s">
        <v>146</v>
      </c>
      <c r="O72" s="22" t="s">
        <v>92</v>
      </c>
      <c r="P72" s="22" t="s">
        <v>92</v>
      </c>
      <c r="Q72" s="22" t="n">
        <v>4</v>
      </c>
      <c r="R72" s="25" t="s">
        <v>62</v>
      </c>
      <c r="S72" s="25" t="n">
        <v>35.29</v>
      </c>
      <c r="T72" s="22" t="n">
        <v>-6.58845578231293</v>
      </c>
      <c r="U72" s="26" t="n">
        <v>8</v>
      </c>
      <c r="V72" s="27" t="n">
        <v>1.45</v>
      </c>
      <c r="W72" s="27" t="n">
        <v>0.110453610171873</v>
      </c>
      <c r="X72" s="27" t="n">
        <v>0.0390512483795333</v>
      </c>
      <c r="Y72" s="27" t="n">
        <v>-1.21375</v>
      </c>
      <c r="Z72" s="27" t="n">
        <v>0.241716333155801</v>
      </c>
      <c r="AA72" s="27" t="n">
        <v>0.0854596291490067</v>
      </c>
      <c r="AB72" s="27" t="n">
        <v>0.286021455</v>
      </c>
      <c r="AC72" s="27" t="n">
        <v>0.202644505024563</v>
      </c>
      <c r="AD72" s="27" t="n">
        <v>0.201326594637482</v>
      </c>
      <c r="AE72" s="28" t="n">
        <v>0.58275</v>
      </c>
      <c r="AF72" s="28" t="n">
        <v>0.0071657668316597</v>
      </c>
      <c r="AG72" s="29" t="n">
        <v>26.3229598999024</v>
      </c>
      <c r="AH72" s="27" t="n">
        <v>1.62225040662285</v>
      </c>
      <c r="AI72" s="27" t="n">
        <f aca="false">VLOOKUP(B72,proft,2,0)</f>
        <v>22.1140254235387</v>
      </c>
      <c r="AJ72" s="27" t="n">
        <f aca="false">VLOOKUP(B72,proft,3,0)</f>
        <v>2.4538688659668</v>
      </c>
      <c r="AK72" s="27" t="s">
        <v>63</v>
      </c>
      <c r="AM72" s="33"/>
      <c r="BA72" s="47" t="n">
        <v>22.0522</v>
      </c>
      <c r="BB72" s="47" t="n">
        <v>2.226</v>
      </c>
      <c r="BC72" s="47" t="n">
        <v>0.02226</v>
      </c>
      <c r="BD72" s="31" t="n">
        <v>22.0522</v>
      </c>
      <c r="BE72" s="31" t="n">
        <v>2.226</v>
      </c>
      <c r="BF72" s="31" t="n">
        <v>0.02226</v>
      </c>
      <c r="BG72" s="14" t="n">
        <f aca="false">10^6/((BA72+273.15)^2)</f>
        <v>11.4752147161445</v>
      </c>
      <c r="BH72" s="14" t="n">
        <f aca="false">BG72*(2*($BE72/($BD72+273.15)))</f>
        <v>0.173059875286415</v>
      </c>
      <c r="BI72" s="14" t="n">
        <f aca="false">BG72*(2*($BF72/($BD72+273.15)))</f>
        <v>0.00173059875286415</v>
      </c>
      <c r="BK72" s="14" t="n">
        <f aca="false">10^6/((AG72+273.15)^2)</f>
        <v>11.1502542382852</v>
      </c>
      <c r="BL72" s="14" t="n">
        <f aca="false">BK72*(2*($AH72/($AG72+273.15)))</f>
        <v>0.120802255255715</v>
      </c>
      <c r="BM72" s="14" t="n">
        <f aca="false">10^6/((AI72+273.15)^2)</f>
        <v>11.4704096219107</v>
      </c>
      <c r="BN72" s="14" t="n">
        <f aca="false">BM72*(2*($AJ72/($AI72+273.15)))</f>
        <v>0.190655675107848</v>
      </c>
    </row>
    <row r="73" s="14" customFormat="true" ht="16" hidden="false" customHeight="false" outlineLevel="0" collapsed="false">
      <c r="A73" s="22" t="s">
        <v>223</v>
      </c>
      <c r="B73" s="40" t="s">
        <v>296</v>
      </c>
      <c r="C73" s="14" t="s">
        <v>53</v>
      </c>
      <c r="D73" s="36" t="s">
        <v>297</v>
      </c>
      <c r="E73" s="24" t="s">
        <v>298</v>
      </c>
      <c r="F73" s="22" t="n">
        <v>0</v>
      </c>
      <c r="G73" s="22" t="n">
        <v>161.4</v>
      </c>
      <c r="H73" s="22" t="s">
        <v>56</v>
      </c>
      <c r="I73" s="22" t="s">
        <v>57</v>
      </c>
      <c r="J73" s="22" t="n">
        <v>3711</v>
      </c>
      <c r="K73" s="25" t="s">
        <v>223</v>
      </c>
      <c r="L73" s="22" t="s">
        <v>226</v>
      </c>
      <c r="M73" s="22" t="s">
        <v>227</v>
      </c>
      <c r="N73" s="22" t="s">
        <v>228</v>
      </c>
      <c r="O73" s="22" t="s">
        <v>71</v>
      </c>
      <c r="P73" s="22" t="s">
        <v>71</v>
      </c>
      <c r="Q73" s="22" t="n">
        <v>5</v>
      </c>
      <c r="R73" s="25" t="s">
        <v>62</v>
      </c>
      <c r="S73" s="25" t="n">
        <v>34.848347826087</v>
      </c>
      <c r="T73" s="22" t="n">
        <v>-13.1332380952381</v>
      </c>
      <c r="U73" s="41" t="n">
        <v>3</v>
      </c>
      <c r="V73" s="42" t="n">
        <v>1.95</v>
      </c>
      <c r="W73" s="42" t="n">
        <v>0.0608276253029822</v>
      </c>
      <c r="X73" s="42" t="n">
        <v>0.0351188458428425</v>
      </c>
      <c r="Y73" s="42" t="n">
        <v>-1.14</v>
      </c>
      <c r="Z73" s="42" t="n">
        <v>0.0781024967590665</v>
      </c>
      <c r="AA73" s="42" t="n">
        <v>0.0450924975282289</v>
      </c>
      <c r="AB73" s="27" t="n">
        <v>0.294041146666667</v>
      </c>
      <c r="AC73" s="27" t="n">
        <v>0.20629586948273</v>
      </c>
      <c r="AD73" s="27" t="n">
        <v>0.20629586948273</v>
      </c>
      <c r="AE73" s="43" t="n">
        <v>0.592333333333333</v>
      </c>
      <c r="AF73" s="43" t="n">
        <v>0.00581186525805424</v>
      </c>
      <c r="AG73" s="29" t="n">
        <v>28.4552112247633</v>
      </c>
      <c r="AH73" s="27" t="n">
        <v>1.58360494441914</v>
      </c>
      <c r="AI73" s="27" t="n">
        <f aca="false">VLOOKUP(B73,proft,2,0)</f>
        <v>21.7223700971703</v>
      </c>
      <c r="AJ73" s="27" t="n">
        <f aca="false">VLOOKUP(B73,proft,3,0)</f>
        <v>2.9044647216797</v>
      </c>
      <c r="AK73" s="27" t="s">
        <v>63</v>
      </c>
      <c r="BA73" s="47" t="n">
        <v>21.7808</v>
      </c>
      <c r="BB73" s="47" t="n">
        <v>2.224</v>
      </c>
      <c r="BC73" s="47" t="n">
        <v>0.02224</v>
      </c>
      <c r="BD73" s="31" t="n">
        <v>21.7808</v>
      </c>
      <c r="BE73" s="31" t="n">
        <v>2.224</v>
      </c>
      <c r="BF73" s="31" t="n">
        <v>0.02224</v>
      </c>
      <c r="BG73" s="14" t="n">
        <f aca="false">10^6/((BA73+273.15)^2)</f>
        <v>11.4963437825004</v>
      </c>
      <c r="BH73" s="14" t="n">
        <f aca="false">BG73*(2*($BE73/($BD73+273.15)))</f>
        <v>0.173382153184957</v>
      </c>
      <c r="BI73" s="14" t="n">
        <f aca="false">BG73*(2*($BF73/($BD73+273.15)))</f>
        <v>0.00173382153184957</v>
      </c>
      <c r="BK73" s="14" t="n">
        <f aca="false">10^6/((AG73+273.15)^2)</f>
        <v>10.9931541471814</v>
      </c>
      <c r="BL73" s="14" t="n">
        <f aca="false">BK73*(2*($AH73/($AG73+273.15)))</f>
        <v>0.115441064108569</v>
      </c>
      <c r="BM73" s="14" t="n">
        <f aca="false">10^6/((AI73+273.15)^2)</f>
        <v>11.5009003084485</v>
      </c>
      <c r="BN73" s="14" t="n">
        <f aca="false">BM73*(2*($AJ73/($AI73+273.15)))</f>
        <v>0.226565542254339</v>
      </c>
    </row>
    <row r="74" s="14" customFormat="true" ht="16" hidden="false" customHeight="false" outlineLevel="0" collapsed="false">
      <c r="A74" s="22" t="s">
        <v>229</v>
      </c>
      <c r="B74" s="40" t="s">
        <v>299</v>
      </c>
      <c r="C74" s="14" t="s">
        <v>53</v>
      </c>
      <c r="D74" s="36" t="s">
        <v>300</v>
      </c>
      <c r="E74" s="24" t="s">
        <v>298</v>
      </c>
      <c r="F74" s="22" t="n">
        <v>0</v>
      </c>
      <c r="G74" s="22" t="n">
        <v>161.4</v>
      </c>
      <c r="H74" s="22" t="s">
        <v>56</v>
      </c>
      <c r="I74" s="22" t="s">
        <v>57</v>
      </c>
      <c r="J74" s="22" t="n">
        <v>3711</v>
      </c>
      <c r="K74" s="25" t="s">
        <v>229</v>
      </c>
      <c r="L74" s="22" t="s">
        <v>58</v>
      </c>
      <c r="M74" s="22" t="s">
        <v>232</v>
      </c>
      <c r="N74" s="22" t="s">
        <v>233</v>
      </c>
      <c r="O74" s="22" t="s">
        <v>61</v>
      </c>
      <c r="P74" s="22" t="s">
        <v>61</v>
      </c>
      <c r="Q74" s="22" t="n">
        <v>3</v>
      </c>
      <c r="R74" s="25" t="s">
        <v>234</v>
      </c>
      <c r="S74" s="25" t="n">
        <v>35.087625</v>
      </c>
      <c r="T74" s="22" t="n">
        <v>-13.1332380952381</v>
      </c>
      <c r="U74" s="41" t="n">
        <v>9</v>
      </c>
      <c r="V74" s="42" t="n">
        <v>2.18</v>
      </c>
      <c r="W74" s="42" t="n">
        <v>0.0939414711402797</v>
      </c>
      <c r="X74" s="42" t="n">
        <v>0.0313138237134266</v>
      </c>
      <c r="Y74" s="42" t="n">
        <v>-0.274444444444444</v>
      </c>
      <c r="Z74" s="42" t="n">
        <v>0.197301236128357</v>
      </c>
      <c r="AA74" s="42" t="n">
        <v>0.0657670787094524</v>
      </c>
      <c r="AB74" s="27" t="n">
        <v>0.229749928</v>
      </c>
      <c r="AC74" s="27" t="n">
        <v>0.222082321788729</v>
      </c>
      <c r="AD74" s="27" t="n">
        <v>0.204607212801051</v>
      </c>
      <c r="AE74" s="43" t="n">
        <v>0.595666666666667</v>
      </c>
      <c r="AF74" s="43" t="n">
        <v>0.010682280239308</v>
      </c>
      <c r="AG74" s="29" t="n">
        <v>17.1850528717041</v>
      </c>
      <c r="AH74" s="27" t="n">
        <v>2.77545429651281</v>
      </c>
      <c r="AI74" s="27" t="n">
        <f aca="false">VLOOKUP(B74,proft,2,0)</f>
        <v>17.3449483920949</v>
      </c>
      <c r="AJ74" s="27" t="n">
        <f aca="false">VLOOKUP(B74,proft,3,0)</f>
        <v>2.6444129943847</v>
      </c>
      <c r="AK74" s="27" t="s">
        <v>63</v>
      </c>
      <c r="BA74" s="47" t="n">
        <v>18.2268</v>
      </c>
      <c r="BB74" s="47" t="n">
        <v>2.258</v>
      </c>
      <c r="BC74" s="47" t="n">
        <v>0.02258</v>
      </c>
      <c r="BD74" s="31" t="n">
        <v>18.2268</v>
      </c>
      <c r="BE74" s="31" t="n">
        <v>2.258</v>
      </c>
      <c r="BF74" s="31" t="n">
        <v>0.02258</v>
      </c>
      <c r="BG74" s="14" t="n">
        <f aca="false">10^6/((BA74+273.15)^2)</f>
        <v>11.77850203094</v>
      </c>
      <c r="BH74" s="14" t="n">
        <f aca="false">BG74*(2*($BE74/($BD74+273.15)))</f>
        <v>0.182553021282838</v>
      </c>
      <c r="BI74" s="14" t="n">
        <f aca="false">BG74*(2*($BF74/($BD74+273.15)))</f>
        <v>0.00182553021282838</v>
      </c>
      <c r="BK74" s="14" t="n">
        <f aca="false">10^6/((AG74+273.15)^2)</f>
        <v>11.8631782272729</v>
      </c>
      <c r="BL74" s="14" t="n">
        <f aca="false">BK74*(2*($AH74/($AG74+273.15)))</f>
        <v>0.226811806948651</v>
      </c>
      <c r="BM74" s="14" t="n">
        <f aca="false">10^6/((AI74+273.15)^2)</f>
        <v>11.8501222548707</v>
      </c>
      <c r="BN74" s="14" t="n">
        <f aca="false">BM74*(2*($AJ74/($AI74+273.15)))</f>
        <v>0.215746383538008</v>
      </c>
    </row>
    <row r="75" s="14" customFormat="true" ht="16" hidden="false" customHeight="false" outlineLevel="0" collapsed="false">
      <c r="A75" s="22" t="s">
        <v>139</v>
      </c>
      <c r="B75" s="40" t="s">
        <v>301</v>
      </c>
      <c r="C75" s="14" t="s">
        <v>53</v>
      </c>
      <c r="D75" s="36" t="s">
        <v>302</v>
      </c>
      <c r="E75" s="24" t="s">
        <v>298</v>
      </c>
      <c r="F75" s="22" t="n">
        <v>0</v>
      </c>
      <c r="G75" s="22" t="n">
        <v>161.4</v>
      </c>
      <c r="H75" s="22" t="s">
        <v>56</v>
      </c>
      <c r="I75" s="22" t="s">
        <v>57</v>
      </c>
      <c r="J75" s="22" t="n">
        <v>3711</v>
      </c>
      <c r="K75" s="25" t="s">
        <v>139</v>
      </c>
      <c r="L75" s="22" t="s">
        <v>144</v>
      </c>
      <c r="M75" s="22" t="s">
        <v>145</v>
      </c>
      <c r="N75" s="22" t="s">
        <v>146</v>
      </c>
      <c r="O75" s="22" t="s">
        <v>92</v>
      </c>
      <c r="P75" s="22" t="s">
        <v>92</v>
      </c>
      <c r="Q75" s="22" t="n">
        <v>4</v>
      </c>
      <c r="R75" s="25" t="s">
        <v>62</v>
      </c>
      <c r="S75" s="25" t="n">
        <v>35.29</v>
      </c>
      <c r="T75" s="22" t="n">
        <v>-13.1332380952381</v>
      </c>
      <c r="U75" s="41" t="n">
        <v>6</v>
      </c>
      <c r="V75" s="42" t="n">
        <v>1.59</v>
      </c>
      <c r="W75" s="42" t="n">
        <v>0.0695701085237044</v>
      </c>
      <c r="X75" s="42" t="n">
        <v>0.0284018778721877</v>
      </c>
      <c r="Y75" s="42" t="n">
        <v>-0.821666666666667</v>
      </c>
      <c r="Z75" s="42" t="n">
        <v>0.149320683988075</v>
      </c>
      <c r="AA75" s="42" t="n">
        <v>0.0609599139690262</v>
      </c>
      <c r="AB75" s="27" t="n">
        <v>0.286021455</v>
      </c>
      <c r="AC75" s="27" t="n">
        <v>0.202644505024563</v>
      </c>
      <c r="AD75" s="27" t="n">
        <v>0.201326594637482</v>
      </c>
      <c r="AE75" s="43" t="n">
        <v>0.588</v>
      </c>
      <c r="AF75" s="43" t="n">
        <v>0.0122528908153681</v>
      </c>
      <c r="AG75" s="29" t="n">
        <v>26.3229598999024</v>
      </c>
      <c r="AH75" s="27" t="n">
        <v>1.62225040662285</v>
      </c>
      <c r="AI75" s="27" t="n">
        <f aca="false">VLOOKUP(B75,proft,2,0)</f>
        <v>20.0931550355494</v>
      </c>
      <c r="AJ75" s="27" t="n">
        <f aca="false">VLOOKUP(B75,proft,3,0)</f>
        <v>2.4538688659668</v>
      </c>
      <c r="AK75" s="27" t="s">
        <v>63</v>
      </c>
      <c r="BA75" s="47" t="n">
        <v>20.5425</v>
      </c>
      <c r="BB75" s="47" t="n">
        <v>2.239</v>
      </c>
      <c r="BC75" s="47" t="n">
        <v>0.02239</v>
      </c>
      <c r="BD75" s="31" t="n">
        <v>20.5425</v>
      </c>
      <c r="BE75" s="31" t="n">
        <v>2.239</v>
      </c>
      <c r="BF75" s="31" t="n">
        <v>0.02239</v>
      </c>
      <c r="BG75" s="14" t="n">
        <f aca="false">10^6/((BA75+273.15)^2)</f>
        <v>11.5934925627411</v>
      </c>
      <c r="BH75" s="14" t="n">
        <f aca="false">BG75*(2*($BE75/($BD75+273.15)))</f>
        <v>0.176768762212023</v>
      </c>
      <c r="BI75" s="14" t="n">
        <f aca="false">BG75*(2*($BF75/($BD75+273.15)))</f>
        <v>0.00176768762212023</v>
      </c>
      <c r="BK75" s="14" t="n">
        <f aca="false">10^6/((AG75+273.15)^2)</f>
        <v>11.1502542382852</v>
      </c>
      <c r="BL75" s="14" t="n">
        <f aca="false">BK75*(2*($AH75/($AG75+273.15)))</f>
        <v>0.120802255255715</v>
      </c>
      <c r="BM75" s="14" t="n">
        <f aca="false">10^6/((AI75+273.15)^2)</f>
        <v>11.629049872301</v>
      </c>
      <c r="BN75" s="14" t="n">
        <f aca="false">BM75*(2*($AJ75/($AI75+273.15)))</f>
        <v>0.19462458326746</v>
      </c>
    </row>
    <row r="76" s="14" customFormat="true" ht="16" hidden="false" customHeight="false" outlineLevel="0" collapsed="false">
      <c r="A76" s="22" t="s">
        <v>139</v>
      </c>
      <c r="B76" s="23" t="s">
        <v>303</v>
      </c>
      <c r="C76" s="14" t="s">
        <v>53</v>
      </c>
      <c r="D76" s="23" t="s">
        <v>304</v>
      </c>
      <c r="E76" s="24" t="s">
        <v>305</v>
      </c>
      <c r="F76" s="22" t="n">
        <v>0</v>
      </c>
      <c r="G76" s="22" t="n">
        <v>161.77</v>
      </c>
      <c r="H76" s="22" t="s">
        <v>56</v>
      </c>
      <c r="I76" s="22" t="s">
        <v>57</v>
      </c>
      <c r="J76" s="22" t="n">
        <v>4025</v>
      </c>
      <c r="K76" s="25" t="s">
        <v>139</v>
      </c>
      <c r="L76" s="22" t="s">
        <v>144</v>
      </c>
      <c r="M76" s="22" t="s">
        <v>145</v>
      </c>
      <c r="N76" s="22" t="s">
        <v>146</v>
      </c>
      <c r="O76" s="22" t="s">
        <v>92</v>
      </c>
      <c r="P76" s="22" t="s">
        <v>92</v>
      </c>
      <c r="Q76" s="22" t="n">
        <v>4</v>
      </c>
      <c r="R76" s="25" t="s">
        <v>62</v>
      </c>
      <c r="S76" s="25" t="n">
        <v>35.29</v>
      </c>
      <c r="T76" s="22" t="n">
        <v>-16.6244949152542</v>
      </c>
      <c r="U76" s="26" t="n">
        <v>12</v>
      </c>
      <c r="V76" s="27" t="n">
        <v>1.69833333333333</v>
      </c>
      <c r="W76" s="27" t="n">
        <v>0.0581273419208885</v>
      </c>
      <c r="X76" s="27" t="n">
        <v>0.0167799182526512</v>
      </c>
      <c r="Y76" s="27" t="n">
        <v>-0.771666666666667</v>
      </c>
      <c r="Z76" s="27" t="n">
        <v>0.116371922053495</v>
      </c>
      <c r="AA76" s="27" t="n">
        <v>0.0335936802618496</v>
      </c>
      <c r="AB76" s="27" t="n">
        <v>0.286021455</v>
      </c>
      <c r="AC76" s="27" t="n">
        <v>0.202644505024563</v>
      </c>
      <c r="AD76" s="27" t="n">
        <v>0.201326594637482</v>
      </c>
      <c r="AE76" s="28" t="n">
        <v>0.606583333333333</v>
      </c>
      <c r="AF76" s="28" t="n">
        <v>0.0049779184120646</v>
      </c>
      <c r="AG76" s="29" t="n">
        <v>26.3229598999024</v>
      </c>
      <c r="AH76" s="27" t="n">
        <v>1.62225040662285</v>
      </c>
      <c r="AI76" s="27" t="n">
        <f aca="false">VLOOKUP(B76,proft,2,0)</f>
        <v>19.835445740588</v>
      </c>
      <c r="AJ76" s="27" t="n">
        <f aca="false">VLOOKUP(B76,proft,3,0)</f>
        <v>2.4538688659668</v>
      </c>
      <c r="AK76" s="27" t="s">
        <v>63</v>
      </c>
      <c r="AM76" s="33"/>
      <c r="BA76" s="47" t="n">
        <v>20.3362</v>
      </c>
      <c r="BB76" s="47" t="n">
        <v>2.216</v>
      </c>
      <c r="BC76" s="47" t="n">
        <v>0.02234</v>
      </c>
      <c r="BD76" s="31" t="n">
        <v>20.3362</v>
      </c>
      <c r="BE76" s="31" t="n">
        <v>2.216</v>
      </c>
      <c r="BF76" s="31" t="n">
        <v>0.02234</v>
      </c>
      <c r="BG76" s="14" t="n">
        <f aca="false">10^6/((BA76+273.15)^2)</f>
        <v>11.6097970985365</v>
      </c>
      <c r="BH76" s="14" t="n">
        <f aca="false">BG76*(2*($BE76/($BD76+273.15)))</f>
        <v>0.175322113069418</v>
      </c>
      <c r="BI76" s="14" t="n">
        <f aca="false">BG76*(2*($BF76/($BD76+273.15)))</f>
        <v>0.00176746209655722</v>
      </c>
      <c r="BK76" s="14" t="n">
        <f aca="false">10^6/((AG76+273.15)^2)</f>
        <v>11.1502542382852</v>
      </c>
      <c r="BL76" s="14" t="n">
        <f aca="false">BK76*(2*($AH76/($AG76+273.15)))</f>
        <v>0.120802255255715</v>
      </c>
      <c r="BM76" s="14" t="n">
        <f aca="false">10^6/((AI76+273.15)^2)</f>
        <v>11.6495166383232</v>
      </c>
      <c r="BN76" s="14" t="n">
        <f aca="false">BM76*(2*($AJ76/($AI76+273.15)))</f>
        <v>0.195138609087458</v>
      </c>
    </row>
    <row r="77" s="14" customFormat="true" ht="16" hidden="false" customHeight="false" outlineLevel="0" collapsed="false">
      <c r="A77" s="22" t="s">
        <v>139</v>
      </c>
      <c r="B77" s="23" t="s">
        <v>306</v>
      </c>
      <c r="C77" s="14" t="s">
        <v>53</v>
      </c>
      <c r="D77" s="23" t="s">
        <v>307</v>
      </c>
      <c r="E77" s="24" t="s">
        <v>308</v>
      </c>
      <c r="F77" s="22" t="n">
        <v>0</v>
      </c>
      <c r="G77" s="22" t="n">
        <v>162.22</v>
      </c>
      <c r="H77" s="22" t="s">
        <v>56</v>
      </c>
      <c r="I77" s="22" t="s">
        <v>57</v>
      </c>
      <c r="J77" s="22" t="n">
        <v>4341</v>
      </c>
      <c r="K77" s="25" t="s">
        <v>139</v>
      </c>
      <c r="L77" s="22" t="s">
        <v>144</v>
      </c>
      <c r="M77" s="22" t="s">
        <v>145</v>
      </c>
      <c r="N77" s="22" t="s">
        <v>146</v>
      </c>
      <c r="O77" s="22" t="s">
        <v>92</v>
      </c>
      <c r="P77" s="22" t="s">
        <v>92</v>
      </c>
      <c r="Q77" s="22" t="n">
        <v>4</v>
      </c>
      <c r="R77" s="25" t="s">
        <v>62</v>
      </c>
      <c r="S77" s="25" t="n">
        <v>35.309</v>
      </c>
      <c r="T77" s="22" t="n">
        <v>-22.8289075425791</v>
      </c>
      <c r="U77" s="26" t="n">
        <v>8</v>
      </c>
      <c r="V77" s="27" t="n">
        <v>1.6175</v>
      </c>
      <c r="W77" s="27" t="n">
        <v>0.0664938235584973</v>
      </c>
      <c r="X77" s="27" t="n">
        <v>0.0235091167726176</v>
      </c>
      <c r="Y77" s="27" t="n">
        <v>-0.7825</v>
      </c>
      <c r="Z77" s="27" t="n">
        <v>0.181324492081383</v>
      </c>
      <c r="AA77" s="27" t="n">
        <v>0.0641078889729762</v>
      </c>
      <c r="AB77" s="48" t="n">
        <v>0.28696181</v>
      </c>
      <c r="AC77" s="27" t="n">
        <v>0.202433737388791</v>
      </c>
      <c r="AD77" s="27" t="n">
        <v>0.201220548196741</v>
      </c>
      <c r="AE77" s="27" t="n">
        <v>0.6195</v>
      </c>
      <c r="AF77" s="27" t="n">
        <v>0.00556455620101781</v>
      </c>
      <c r="AG77" s="29" t="n">
        <v>26.5969934463501</v>
      </c>
      <c r="AH77" s="27" t="n">
        <v>1.57392246989679</v>
      </c>
      <c r="AI77" s="27" t="n">
        <f aca="false">VLOOKUP(B77,proft,2,0)</f>
        <v>19.8932260773495</v>
      </c>
      <c r="AJ77" s="27" t="n">
        <f aca="false">VLOOKUP(B77,proft,3,0)</f>
        <v>2.7229309082031</v>
      </c>
      <c r="AK77" s="27" t="s">
        <v>63</v>
      </c>
      <c r="AM77" s="33"/>
      <c r="BA77" s="47" t="n">
        <v>20.3655</v>
      </c>
      <c r="BB77" s="47" t="n">
        <v>2.235</v>
      </c>
      <c r="BC77" s="47" t="n">
        <v>0.02235</v>
      </c>
      <c r="BD77" s="31" t="n">
        <v>20.3655</v>
      </c>
      <c r="BE77" s="31" t="n">
        <v>2.235</v>
      </c>
      <c r="BF77" s="31" t="n">
        <v>0.02235</v>
      </c>
      <c r="BG77" s="14" t="n">
        <f aca="false">10^6/((BA77+273.15)^2)</f>
        <v>11.6074793328546</v>
      </c>
      <c r="BH77" s="14" t="n">
        <f aca="false">BG77*(2*($BE77/($BD77+273.15)))</f>
        <v>0.176772376988132</v>
      </c>
      <c r="BI77" s="14" t="n">
        <f aca="false">BG77*(2*($BF77/($BD77+273.15)))</f>
        <v>0.00176772376988132</v>
      </c>
      <c r="BK77" s="14" t="n">
        <f aca="false">10^6/((AG77+273.15)^2)</f>
        <v>11.1298760722601</v>
      </c>
      <c r="BL77" s="14" t="n">
        <f aca="false">BK77*(2*($AH77/($AG77+273.15)))</f>
        <v>0.116882320225388</v>
      </c>
      <c r="BM77" s="14" t="n">
        <f aca="false">10^6/((AI77+273.15)^2)</f>
        <v>11.6449231410192</v>
      </c>
      <c r="BN77" s="14" t="n">
        <f aca="false">BM77*(2*($AJ77/($AI77+273.15)))</f>
        <v>0.216407125793525</v>
      </c>
    </row>
    <row r="78" s="14" customFormat="true" ht="16" hidden="false" customHeight="false" outlineLevel="0" collapsed="false">
      <c r="A78" s="22" t="s">
        <v>229</v>
      </c>
      <c r="B78" s="40" t="s">
        <v>309</v>
      </c>
      <c r="C78" s="14" t="s">
        <v>53</v>
      </c>
      <c r="D78" s="36" t="s">
        <v>310</v>
      </c>
      <c r="E78" s="24" t="s">
        <v>308</v>
      </c>
      <c r="F78" s="22" t="n">
        <v>0</v>
      </c>
      <c r="G78" s="22" t="n">
        <v>162.22</v>
      </c>
      <c r="H78" s="22" t="s">
        <v>56</v>
      </c>
      <c r="I78" s="22" t="s">
        <v>57</v>
      </c>
      <c r="J78" s="22" t="n">
        <v>4341</v>
      </c>
      <c r="K78" s="25" t="s">
        <v>229</v>
      </c>
      <c r="L78" s="22" t="s">
        <v>58</v>
      </c>
      <c r="M78" s="22" t="s">
        <v>232</v>
      </c>
      <c r="N78" s="22" t="s">
        <v>233</v>
      </c>
      <c r="O78" s="22" t="s">
        <v>61</v>
      </c>
      <c r="P78" s="22" t="s">
        <v>61</v>
      </c>
      <c r="Q78" s="22" t="n">
        <v>3</v>
      </c>
      <c r="R78" s="25" t="s">
        <v>234</v>
      </c>
      <c r="S78" s="25" t="n">
        <v>35.096375</v>
      </c>
      <c r="T78" s="22" t="n">
        <v>-22.8289075425791</v>
      </c>
      <c r="U78" s="41" t="n">
        <v>5</v>
      </c>
      <c r="V78" s="42" t="n">
        <v>2.216</v>
      </c>
      <c r="W78" s="42" t="n">
        <v>0.0207364413533278</v>
      </c>
      <c r="X78" s="42" t="n">
        <v>0.00927361849549573</v>
      </c>
      <c r="Y78" s="42" t="n">
        <v>0.126</v>
      </c>
      <c r="Z78" s="42" t="n">
        <v>0.169499262535269</v>
      </c>
      <c r="AA78" s="42" t="n">
        <v>0.0758023746329889</v>
      </c>
      <c r="AB78" s="27" t="n">
        <v>0.229580832</v>
      </c>
      <c r="AC78" s="27" t="n">
        <v>0.222182666991312</v>
      </c>
      <c r="AD78" s="27" t="n">
        <v>0.204628999661032</v>
      </c>
      <c r="AE78" s="43" t="n">
        <v>0.6122</v>
      </c>
      <c r="AF78" s="43" t="n">
        <v>0.00468401537145215</v>
      </c>
      <c r="AG78" s="29" t="n">
        <v>17.312336564064</v>
      </c>
      <c r="AH78" s="27" t="n">
        <v>4.98144429220822</v>
      </c>
      <c r="AI78" s="27" t="n">
        <f aca="false">VLOOKUP(B78,proft,2,0)</f>
        <v>15.2261092053829</v>
      </c>
      <c r="AJ78" s="27" t="n">
        <f aca="false">VLOOKUP(B78,proft,3,0)</f>
        <v>1.9707880020142</v>
      </c>
      <c r="AK78" s="27" t="s">
        <v>63</v>
      </c>
      <c r="BA78" s="47" t="n">
        <v>16.5979</v>
      </c>
      <c r="BB78" s="47" t="n">
        <v>2.251</v>
      </c>
      <c r="BC78" s="47" t="n">
        <v>0.02251</v>
      </c>
      <c r="BD78" s="31" t="n">
        <v>16.5979</v>
      </c>
      <c r="BE78" s="31" t="n">
        <v>2.251</v>
      </c>
      <c r="BF78" s="31" t="n">
        <v>0.02251</v>
      </c>
      <c r="BG78" s="14" t="n">
        <f aca="false">10^6/((BA78+273.15)^2)</f>
        <v>11.9113066637538</v>
      </c>
      <c r="BH78" s="14" t="n">
        <f aca="false">BG78*(2*($BE78/($BD78+273.15)))</f>
        <v>0.185073654028966</v>
      </c>
      <c r="BI78" s="14" t="n">
        <f aca="false">BG78*(2*($BF78/($BD78+273.15)))</f>
        <v>0.00185073654028966</v>
      </c>
      <c r="BK78" s="14" t="n">
        <f aca="false">10^6/((AG78+273.15)^2)</f>
        <v>11.8527833630087</v>
      </c>
      <c r="BL78" s="14" t="n">
        <f aca="false">BK78*(2*($AH78/($AG78+273.15)))</f>
        <v>0.406551711515392</v>
      </c>
      <c r="BM78" s="14" t="n">
        <f aca="false">10^6/((AI78+273.15)^2)</f>
        <v>12.0248991852386</v>
      </c>
      <c r="BN78" s="14" t="n">
        <f aca="false">BM78*(2*($AJ78/($AI78+273.15)))</f>
        <v>0.164358463015536</v>
      </c>
    </row>
    <row r="79" s="14" customFormat="true" ht="16" hidden="false" customHeight="false" outlineLevel="0" collapsed="false">
      <c r="A79" s="22" t="s">
        <v>139</v>
      </c>
      <c r="B79" s="23" t="s">
        <v>311</v>
      </c>
      <c r="C79" s="14" t="s">
        <v>53</v>
      </c>
      <c r="D79" s="23" t="s">
        <v>312</v>
      </c>
      <c r="E79" s="24" t="s">
        <v>313</v>
      </c>
      <c r="F79" s="22" t="n">
        <v>0</v>
      </c>
      <c r="G79" s="22" t="n">
        <v>162.7</v>
      </c>
      <c r="H79" s="22" t="s">
        <v>56</v>
      </c>
      <c r="I79" s="22" t="s">
        <v>57</v>
      </c>
      <c r="J79" s="22" t="n">
        <v>4438</v>
      </c>
      <c r="K79" s="25" t="s">
        <v>139</v>
      </c>
      <c r="L79" s="22" t="s">
        <v>144</v>
      </c>
      <c r="M79" s="22" t="s">
        <v>145</v>
      </c>
      <c r="N79" s="22" t="s">
        <v>146</v>
      </c>
      <c r="O79" s="22" t="s">
        <v>92</v>
      </c>
      <c r="P79" s="22" t="s">
        <v>92</v>
      </c>
      <c r="Q79" s="22" t="n">
        <v>4</v>
      </c>
      <c r="R79" s="25" t="s">
        <v>62</v>
      </c>
      <c r="S79" s="25" t="n">
        <v>35.309</v>
      </c>
      <c r="T79" s="22" t="n">
        <v>-30.2154205607477</v>
      </c>
      <c r="U79" s="26" t="n">
        <v>13</v>
      </c>
      <c r="V79" s="27" t="n">
        <v>1.54846153846154</v>
      </c>
      <c r="W79" s="27" t="n">
        <v>0.0871632714934214</v>
      </c>
      <c r="X79" s="27" t="n">
        <v>0.0241747419005169</v>
      </c>
      <c r="Y79" s="27" t="n">
        <v>-0.787692307692308</v>
      </c>
      <c r="Z79" s="27" t="n">
        <v>0.151115510242653</v>
      </c>
      <c r="AA79" s="27" t="n">
        <v>0.0419119015921377</v>
      </c>
      <c r="AB79" s="27" t="n">
        <v>0.28696181</v>
      </c>
      <c r="AC79" s="27" t="n">
        <v>0.202433737388791</v>
      </c>
      <c r="AD79" s="27" t="n">
        <v>0.201220548196741</v>
      </c>
      <c r="AE79" s="28" t="n">
        <v>0.599461538461538</v>
      </c>
      <c r="AF79" s="28" t="n">
        <v>0.00835096753538896</v>
      </c>
      <c r="AG79" s="29" t="n">
        <v>26.5969934463501</v>
      </c>
      <c r="AH79" s="27" t="n">
        <v>1.57392246989679</v>
      </c>
      <c r="AI79" s="27" t="n">
        <f aca="false">VLOOKUP(B79,proft,2,0)</f>
        <v>16.3087789322144</v>
      </c>
      <c r="AJ79" s="27" t="n">
        <f aca="false">VLOOKUP(B79,proft,3,0)</f>
        <v>1.9707880020142</v>
      </c>
      <c r="AK79" s="27" t="s">
        <v>63</v>
      </c>
      <c r="AM79" s="33"/>
      <c r="BA79" s="47" t="n">
        <v>20.3905</v>
      </c>
      <c r="BB79" s="47" t="n">
        <v>2.228</v>
      </c>
      <c r="BC79" s="47" t="n">
        <v>0.02228</v>
      </c>
      <c r="BD79" s="31" t="n">
        <v>20.3905</v>
      </c>
      <c r="BE79" s="31" t="n">
        <v>2.228</v>
      </c>
      <c r="BF79" s="31" t="n">
        <v>0.02228</v>
      </c>
      <c r="BG79" s="14" t="n">
        <f aca="false">10^6/((BA79+273.15)^2)</f>
        <v>11.6055022657983</v>
      </c>
      <c r="BH79" s="14" t="n">
        <f aca="false">BG79*(2*($BE79/($BD79+273.15)))</f>
        <v>0.176173707193375</v>
      </c>
      <c r="BI79" s="14" t="n">
        <f aca="false">BG79*(2*($BF79/($BD79+273.15)))</f>
        <v>0.00176173707193375</v>
      </c>
      <c r="BK79" s="14" t="n">
        <f aca="false">10^6/((AG79+273.15)^2)</f>
        <v>11.1298760722601</v>
      </c>
      <c r="BL79" s="14" t="n">
        <f aca="false">BK79*(2*($AH79/($AG79+273.15)))</f>
        <v>0.116882320225388</v>
      </c>
      <c r="BM79" s="14" t="n">
        <f aca="false">10^6/((AI79+273.15)^2)</f>
        <v>11.9351133668012</v>
      </c>
      <c r="BN79" s="14" t="n">
        <f aca="false">BM79*(2*($AJ79/($AI79+273.15)))</f>
        <v>0.16252109065574</v>
      </c>
    </row>
    <row r="80" s="14" customFormat="true" ht="16" hidden="false" customHeight="false" outlineLevel="0" collapsed="false">
      <c r="A80" s="22" t="s">
        <v>229</v>
      </c>
      <c r="B80" s="40" t="s">
        <v>314</v>
      </c>
      <c r="C80" s="14" t="s">
        <v>53</v>
      </c>
      <c r="D80" s="36" t="s">
        <v>315</v>
      </c>
      <c r="E80" s="24" t="s">
        <v>313</v>
      </c>
      <c r="F80" s="22" t="n">
        <v>0</v>
      </c>
      <c r="G80" s="22" t="n">
        <v>162.7</v>
      </c>
      <c r="H80" s="22" t="s">
        <v>56</v>
      </c>
      <c r="I80" s="22" t="s">
        <v>57</v>
      </c>
      <c r="J80" s="22" t="n">
        <v>4438</v>
      </c>
      <c r="K80" s="25" t="s">
        <v>229</v>
      </c>
      <c r="L80" s="22" t="s">
        <v>58</v>
      </c>
      <c r="M80" s="22" t="s">
        <v>232</v>
      </c>
      <c r="N80" s="22" t="s">
        <v>233</v>
      </c>
      <c r="O80" s="22" t="s">
        <v>61</v>
      </c>
      <c r="P80" s="22" t="s">
        <v>61</v>
      </c>
      <c r="Q80" s="22" t="n">
        <v>3</v>
      </c>
      <c r="R80" s="25" t="s">
        <v>234</v>
      </c>
      <c r="S80" s="25" t="n">
        <v>35.096375</v>
      </c>
      <c r="T80" s="22" t="n">
        <v>-30.2154205607477</v>
      </c>
      <c r="U80" s="41" t="n">
        <v>6</v>
      </c>
      <c r="V80" s="42" t="n">
        <v>2.14333333333333</v>
      </c>
      <c r="W80" s="42" t="n">
        <v>0.0706163342766153</v>
      </c>
      <c r="X80" s="42" t="n">
        <v>0.0288289977472529</v>
      </c>
      <c r="Y80" s="42" t="n">
        <v>-0.0783333333333333</v>
      </c>
      <c r="Z80" s="42" t="n">
        <v>0.177021655925671</v>
      </c>
      <c r="AA80" s="42" t="n">
        <v>0.0722687884067374</v>
      </c>
      <c r="AB80" s="27" t="n">
        <v>0.229580832</v>
      </c>
      <c r="AC80" s="27" t="n">
        <v>0.222182666991312</v>
      </c>
      <c r="AD80" s="27" t="n">
        <v>0.204628999661032</v>
      </c>
      <c r="AE80" s="43" t="n">
        <v>0.615666666666667</v>
      </c>
      <c r="AF80" s="43" t="n">
        <v>0.0174158293259641</v>
      </c>
      <c r="AG80" s="29" t="n">
        <v>17.312336564064</v>
      </c>
      <c r="AH80" s="27" t="n">
        <v>4.98144429220822</v>
      </c>
      <c r="AI80" s="27" t="n">
        <f aca="false">VLOOKUP(B80,proft,2,0)</f>
        <v>19.9198380627015</v>
      </c>
      <c r="AJ80" s="27" t="n">
        <f aca="false">VLOOKUP(B80,proft,3,0)</f>
        <v>2.7229309082031</v>
      </c>
      <c r="AK80" s="27" t="s">
        <v>63</v>
      </c>
      <c r="BA80" s="47" t="n">
        <v>17.4373</v>
      </c>
      <c r="BB80" s="47" t="n">
        <v>2.223</v>
      </c>
      <c r="BC80" s="47" t="n">
        <v>0.0223</v>
      </c>
      <c r="BD80" s="31" t="n">
        <v>17.4373</v>
      </c>
      <c r="BE80" s="31" t="n">
        <v>2.223</v>
      </c>
      <c r="BF80" s="31" t="n">
        <v>0.0223</v>
      </c>
      <c r="BG80" s="14" t="n">
        <f aca="false">10^6/((BA80+273.15)^2)</f>
        <v>11.8425912723268</v>
      </c>
      <c r="BH80" s="14" t="n">
        <f aca="false">BG80*(2*($BE80/($BD80+273.15)))</f>
        <v>0.181192229656165</v>
      </c>
      <c r="BI80" s="14" t="n">
        <f aca="false">BG80*(2*($BF80/($BD80+273.15)))</f>
        <v>0.00181762785485042</v>
      </c>
      <c r="BK80" s="14" t="n">
        <f aca="false">10^6/((AG80+273.15)^2)</f>
        <v>11.8527833630087</v>
      </c>
      <c r="BL80" s="14" t="n">
        <f aca="false">BK80*(2*($AH80/($AG80+273.15)))</f>
        <v>0.406551711515392</v>
      </c>
      <c r="BM80" s="14" t="n">
        <f aca="false">10^6/((AI80+273.15)^2)</f>
        <v>11.6428084201306</v>
      </c>
      <c r="BN80" s="14" t="n">
        <f aca="false">BM80*(2*($AJ80/($AI80+273.15)))</f>
        <v>0.216348179089506</v>
      </c>
    </row>
    <row r="81" s="14" customFormat="true" ht="16" hidden="false" customHeight="false" outlineLevel="0" collapsed="false">
      <c r="A81" s="22" t="s">
        <v>93</v>
      </c>
      <c r="B81" s="23" t="s">
        <v>316</v>
      </c>
      <c r="C81" s="14" t="s">
        <v>53</v>
      </c>
      <c r="D81" s="23" t="s">
        <v>317</v>
      </c>
      <c r="E81" s="24" t="s">
        <v>318</v>
      </c>
      <c r="F81" s="22" t="n">
        <v>-38.57</v>
      </c>
      <c r="G81" s="22" t="n">
        <v>140.62</v>
      </c>
      <c r="H81" s="22" t="s">
        <v>120</v>
      </c>
      <c r="I81" s="22" t="s">
        <v>319</v>
      </c>
      <c r="J81" s="22" t="n">
        <v>1904</v>
      </c>
      <c r="K81" s="25" t="s">
        <v>93</v>
      </c>
      <c r="L81" s="22" t="s">
        <v>96</v>
      </c>
      <c r="M81" s="22" t="s">
        <v>97</v>
      </c>
      <c r="N81" s="22" t="s">
        <v>98</v>
      </c>
      <c r="O81" s="22" t="s">
        <v>92</v>
      </c>
      <c r="P81" s="22" t="s">
        <v>92</v>
      </c>
      <c r="Q81" s="22" t="n">
        <v>4</v>
      </c>
      <c r="R81" s="25" t="s">
        <v>62</v>
      </c>
      <c r="S81" s="25" t="n">
        <v>33.969972972973</v>
      </c>
      <c r="T81" s="22" t="n">
        <v>18.7962151898734</v>
      </c>
      <c r="U81" s="26" t="n">
        <v>6</v>
      </c>
      <c r="V81" s="27" t="n">
        <v>1.01833333333333</v>
      </c>
      <c r="W81" s="27" t="n">
        <v>0.0343025752191679</v>
      </c>
      <c r="X81" s="27" t="n">
        <v>0.0140039676917334</v>
      </c>
      <c r="Y81" s="27" t="n">
        <v>0.931666666666667</v>
      </c>
      <c r="Z81" s="27" t="n">
        <v>0.0231660671385254</v>
      </c>
      <c r="AA81" s="27" t="n">
        <v>0.00945750730607406</v>
      </c>
      <c r="AB81" s="27" t="n">
        <v>0.293811472857143</v>
      </c>
      <c r="AC81" s="27" t="n">
        <v>0.248099968941953</v>
      </c>
      <c r="AD81" s="27" t="n">
        <v>0.203812517943925</v>
      </c>
      <c r="AE81" s="28" t="n">
        <v>0.640666666666667</v>
      </c>
      <c r="AF81" s="28" t="n">
        <v>0.00793165248300197</v>
      </c>
      <c r="AG81" s="29" t="n">
        <v>12.6512912544044</v>
      </c>
      <c r="AH81" s="27" t="n">
        <v>1.87420589257112</v>
      </c>
      <c r="AI81" s="27" t="n">
        <f aca="false">VLOOKUP(B81,proft,2,0)</f>
        <v>11.5651994583486</v>
      </c>
      <c r="AJ81" s="27" t="n">
        <f aca="false">VLOOKUP(B81,proft,3,0)</f>
        <v>0.2238712310791</v>
      </c>
      <c r="AK81" s="27" t="s">
        <v>63</v>
      </c>
      <c r="BA81" s="30" t="n">
        <v>13.7708</v>
      </c>
      <c r="BB81" s="30" t="n">
        <v>2.23</v>
      </c>
      <c r="BC81" s="30" t="n">
        <v>0.0223</v>
      </c>
      <c r="BD81" s="31" t="n">
        <v>13.7708</v>
      </c>
      <c r="BE81" s="31" t="n">
        <v>2.23</v>
      </c>
      <c r="BF81" s="31" t="n">
        <v>0.0223</v>
      </c>
      <c r="BG81" s="14" t="n">
        <f aca="false">10^6/((BA81+273.15)^2)</f>
        <v>12.1471930570865</v>
      </c>
      <c r="BH81" s="14" t="n">
        <f aca="false">BG81*(2*($BE81/($BD81+273.15)))</f>
        <v>0.188820333118428</v>
      </c>
      <c r="BI81" s="14" t="n">
        <f aca="false">BG81*(2*($BF81/($BD81+273.15)))</f>
        <v>0.00188820333118428</v>
      </c>
      <c r="BK81" s="14" t="n">
        <f aca="false">10^6/((AG81+273.15)^2)</f>
        <v>12.2425426814548</v>
      </c>
      <c r="BL81" s="14" t="n">
        <f aca="false">BK81*(2*($AH81/($AG81+273.15)))</f>
        <v>0.160566423845941</v>
      </c>
      <c r="BM81" s="14" t="n">
        <f aca="false">10^6/((AI81+273.15)^2)</f>
        <v>12.3361231159278</v>
      </c>
      <c r="BN81" s="14" t="n">
        <f aca="false">BM81*(2*($AJ81/($AI81+273.15)))</f>
        <v>0.0193997585935704</v>
      </c>
    </row>
    <row r="82" s="14" customFormat="true" ht="16" hidden="false" customHeight="false" outlineLevel="0" collapsed="false">
      <c r="A82" s="22" t="s">
        <v>130</v>
      </c>
      <c r="B82" s="23" t="s">
        <v>320</v>
      </c>
      <c r="C82" s="14" t="s">
        <v>53</v>
      </c>
      <c r="D82" s="23" t="s">
        <v>321</v>
      </c>
      <c r="E82" s="24" t="s">
        <v>322</v>
      </c>
      <c r="F82" s="22" t="n">
        <v>33</v>
      </c>
      <c r="G82" s="22" t="n">
        <v>140</v>
      </c>
      <c r="H82" s="22" t="s">
        <v>56</v>
      </c>
      <c r="I82" s="22" t="s">
        <v>143</v>
      </c>
      <c r="J82" s="22" t="n">
        <v>1503</v>
      </c>
      <c r="K82" s="25" t="s">
        <v>130</v>
      </c>
      <c r="L82" s="22" t="s">
        <v>80</v>
      </c>
      <c r="M82" s="22" t="s">
        <v>134</v>
      </c>
      <c r="N82" s="22" t="s">
        <v>323</v>
      </c>
      <c r="O82" s="22" t="s">
        <v>92</v>
      </c>
      <c r="P82" s="22" t="s">
        <v>92</v>
      </c>
      <c r="Q82" s="22" t="n">
        <v>4</v>
      </c>
      <c r="R82" s="25" t="s">
        <v>62</v>
      </c>
      <c r="S82" s="25" t="n">
        <v>34.7148571428571</v>
      </c>
      <c r="T82" s="22" t="n">
        <v>-8.5164472361809</v>
      </c>
      <c r="U82" s="26" t="n">
        <v>4</v>
      </c>
      <c r="V82" s="27" t="n">
        <v>0.7925</v>
      </c>
      <c r="W82" s="27" t="n">
        <v>0.0275378527364305</v>
      </c>
      <c r="X82" s="27" t="n">
        <v>0.0137689263682152</v>
      </c>
      <c r="Y82" s="27" t="n">
        <v>-0.325</v>
      </c>
      <c r="Z82" s="27" t="n">
        <v>0.0435889894354067</v>
      </c>
      <c r="AA82" s="27" t="n">
        <v>0.0217944947177033</v>
      </c>
      <c r="AB82" s="27" t="n">
        <v>0.06030124225</v>
      </c>
      <c r="AC82" s="27" t="n">
        <v>0.20034524265816</v>
      </c>
      <c r="AD82" s="27" t="n">
        <v>0.200086366511912</v>
      </c>
      <c r="AE82" s="28" t="n">
        <v>0.594</v>
      </c>
      <c r="AF82" s="28" t="n">
        <v>0.00922857879993809</v>
      </c>
      <c r="AG82" s="29" t="n">
        <v>19.6505543845041</v>
      </c>
      <c r="AH82" s="27" t="n">
        <v>0.83615771474875</v>
      </c>
      <c r="AI82" s="27" t="n">
        <f aca="false">VLOOKUP(B82,proft,2,0)</f>
        <v>16.6639731006937</v>
      </c>
      <c r="AJ82" s="27" t="n">
        <f aca="false">VLOOKUP(B82,proft,3,0)</f>
        <v>0.652828216552699</v>
      </c>
      <c r="AK82" s="27" t="s">
        <v>63</v>
      </c>
      <c r="BA82" s="30" t="n">
        <v>17.7529</v>
      </c>
      <c r="BB82" s="30" t="n">
        <v>2.232</v>
      </c>
      <c r="BC82" s="30" t="n">
        <v>0.02232</v>
      </c>
      <c r="BD82" s="31" t="n">
        <v>17.7529</v>
      </c>
      <c r="BE82" s="31" t="n">
        <v>2.232</v>
      </c>
      <c r="BF82" s="31" t="n">
        <v>0.02232</v>
      </c>
      <c r="BG82" s="14" t="n">
        <f aca="false">10^6/((BA82+273.15)^2)</f>
        <v>11.8169092018461</v>
      </c>
      <c r="BH82" s="14" t="n">
        <f aca="false">BG82*(2*($BE82/($BD82+273.15)))</f>
        <v>0.181334330723555</v>
      </c>
      <c r="BI82" s="14" t="n">
        <f aca="false">BG82*(2*($BF82/($BD82+273.15)))</f>
        <v>0.00181334330723555</v>
      </c>
      <c r="BK82" s="14" t="n">
        <f aca="false">10^6/((AG82+273.15)^2)</f>
        <v>11.6642336526471</v>
      </c>
      <c r="BL82" s="14" t="n">
        <f aca="false">BK82*(2*($AH82/($AG82+273.15)))</f>
        <v>0.0666196754701843</v>
      </c>
      <c r="BM82" s="14" t="n">
        <f aca="false">10^6/((AI82+273.15)^2)</f>
        <v>11.9058760957082</v>
      </c>
      <c r="BN82" s="14" t="n">
        <f aca="false">BM82*(2*($AJ82/($AI82+273.15)))</f>
        <v>0.0536377992744891</v>
      </c>
    </row>
    <row r="83" s="14" customFormat="true" ht="16" hidden="false" customHeight="false" outlineLevel="0" collapsed="false">
      <c r="A83" s="22" t="s">
        <v>100</v>
      </c>
      <c r="B83" s="23" t="s">
        <v>324</v>
      </c>
      <c r="C83" s="14" t="s">
        <v>53</v>
      </c>
      <c r="D83" s="23" t="s">
        <v>325</v>
      </c>
      <c r="E83" s="24" t="s">
        <v>326</v>
      </c>
      <c r="F83" s="22" t="n">
        <v>38.72</v>
      </c>
      <c r="G83" s="22" t="n">
        <v>-72.65</v>
      </c>
      <c r="H83" s="22" t="s">
        <v>78</v>
      </c>
      <c r="I83" s="22" t="s">
        <v>327</v>
      </c>
      <c r="J83" s="22" t="n">
        <v>2186</v>
      </c>
      <c r="K83" s="25" t="s">
        <v>100</v>
      </c>
      <c r="L83" s="22" t="s">
        <v>104</v>
      </c>
      <c r="M83" s="22" t="s">
        <v>105</v>
      </c>
      <c r="N83" s="22" t="s">
        <v>151</v>
      </c>
      <c r="O83" s="22" t="s">
        <v>71</v>
      </c>
      <c r="P83" s="22" t="s">
        <v>71</v>
      </c>
      <c r="Q83" s="22" t="n">
        <v>5</v>
      </c>
      <c r="R83" s="25" t="s">
        <v>83</v>
      </c>
      <c r="S83" s="25" t="n">
        <v>35.5613333333333</v>
      </c>
      <c r="T83" s="22" t="n">
        <v>40.8718326693227</v>
      </c>
      <c r="U83" s="26" t="n">
        <v>3</v>
      </c>
      <c r="V83" s="27" t="n">
        <v>-0.756666666666667</v>
      </c>
      <c r="W83" s="27" t="n">
        <v>0.087368949480541</v>
      </c>
      <c r="X83" s="27" t="n">
        <v>0.0504424865014052</v>
      </c>
      <c r="Y83" s="27" t="n">
        <v>0.716666666666667</v>
      </c>
      <c r="Z83" s="27" t="n">
        <v>0.0776745346515403</v>
      </c>
      <c r="AA83" s="27" t="n">
        <v>0.0448454134902457</v>
      </c>
      <c r="AB83" s="27" t="n">
        <v>0.77012674</v>
      </c>
      <c r="AC83" s="27" t="n">
        <v>0.200264499766632</v>
      </c>
      <c r="AD83" s="27" t="n">
        <v>0.200088205438484</v>
      </c>
      <c r="AE83" s="28" t="n">
        <v>0.616</v>
      </c>
      <c r="AF83" s="28" t="n">
        <v>0.00503322295684717</v>
      </c>
      <c r="AG83" s="29" t="n">
        <v>13.0738903681437</v>
      </c>
      <c r="AH83" s="27" t="n">
        <v>0.375704201280508</v>
      </c>
      <c r="AI83" s="27" t="n">
        <f aca="false">VLOOKUP(B83,proft,2,0)</f>
        <v>14.1803857368207</v>
      </c>
      <c r="AJ83" s="27" t="n">
        <f aca="false">VLOOKUP(B83,proft,3,0)</f>
        <v>0.142725944518999</v>
      </c>
      <c r="AK83" s="27" t="s">
        <v>107</v>
      </c>
      <c r="BA83" s="30" t="n">
        <v>16.692</v>
      </c>
      <c r="BB83" s="30" t="n">
        <v>2.441</v>
      </c>
      <c r="BC83" s="30" t="n">
        <v>0.0248</v>
      </c>
      <c r="BD83" s="31" t="n">
        <v>16.692</v>
      </c>
      <c r="BE83" s="31" t="n">
        <v>2.441</v>
      </c>
      <c r="BF83" s="31" t="n">
        <v>0.0248</v>
      </c>
      <c r="BG83" s="14" t="n">
        <f aca="false">10^6/((BA83+273.15)^2)</f>
        <v>11.9035736781338</v>
      </c>
      <c r="BH83" s="14" t="n">
        <f aca="false">BG83*(2*($BE83/($BD83+273.15)))</f>
        <v>0.200499743641878</v>
      </c>
      <c r="BI83" s="14" t="n">
        <f aca="false">BG83*(2*($BF83/($BD83+273.15)))</f>
        <v>0.0020370313979183</v>
      </c>
      <c r="BK83" s="14" t="n">
        <f aca="false">10^6/((AG83+273.15)^2)</f>
        <v>12.2064180358143</v>
      </c>
      <c r="BL83" s="14" t="n">
        <f aca="false">BK83*(2*($AH83/($AG83+273.15)))</f>
        <v>0.032044862032607</v>
      </c>
      <c r="BM83" s="14" t="n">
        <f aca="false">10^6/((AI83+273.15)^2)</f>
        <v>12.1125864081523</v>
      </c>
      <c r="BN83" s="14" t="n">
        <f aca="false">BM83*(2*($AJ83/($AI83+273.15)))</f>
        <v>0.0120333972422603</v>
      </c>
    </row>
    <row r="84" s="14" customFormat="true" ht="16" hidden="false" customHeight="false" outlineLevel="0" collapsed="false">
      <c r="A84" s="22" t="s">
        <v>130</v>
      </c>
      <c r="B84" s="23" t="s">
        <v>328</v>
      </c>
      <c r="C84" s="14" t="s">
        <v>53</v>
      </c>
      <c r="D84" s="23" t="s">
        <v>329</v>
      </c>
      <c r="E84" s="24" t="s">
        <v>326</v>
      </c>
      <c r="F84" s="22" t="n">
        <v>38.72</v>
      </c>
      <c r="G84" s="22" t="n">
        <v>-72.65</v>
      </c>
      <c r="H84" s="22" t="s">
        <v>78</v>
      </c>
      <c r="I84" s="22" t="s">
        <v>327</v>
      </c>
      <c r="J84" s="22" t="n">
        <v>2186</v>
      </c>
      <c r="K84" s="25" t="s">
        <v>130</v>
      </c>
      <c r="L84" s="22" t="s">
        <v>80</v>
      </c>
      <c r="M84" s="22" t="s">
        <v>134</v>
      </c>
      <c r="N84" s="22" t="s">
        <v>323</v>
      </c>
      <c r="O84" s="22" t="s">
        <v>92</v>
      </c>
      <c r="P84" s="22" t="s">
        <v>92</v>
      </c>
      <c r="Q84" s="22" t="n">
        <v>4</v>
      </c>
      <c r="R84" s="25" t="s">
        <v>62</v>
      </c>
      <c r="S84" s="25" t="n">
        <v>35.5057142857143</v>
      </c>
      <c r="T84" s="22" t="n">
        <v>40.8718326693227</v>
      </c>
      <c r="U84" s="26" t="n">
        <v>5</v>
      </c>
      <c r="V84" s="27" t="n">
        <v>1.676</v>
      </c>
      <c r="W84" s="27" t="n">
        <v>0.0288097205817759</v>
      </c>
      <c r="X84" s="27" t="n">
        <v>0.0128840987267251</v>
      </c>
      <c r="Y84" s="27" t="n">
        <v>0.494</v>
      </c>
      <c r="Z84" s="27" t="n">
        <v>0.0733484832835697</v>
      </c>
      <c r="AA84" s="27" t="n">
        <v>0.0328024389337138</v>
      </c>
      <c r="AB84" s="27" t="n">
        <v>0.7374432675</v>
      </c>
      <c r="AC84" s="27" t="n">
        <v>0.210578767708948</v>
      </c>
      <c r="AD84" s="27" t="n">
        <v>0.202696458657903</v>
      </c>
      <c r="AE84" s="28" t="n">
        <v>0.613</v>
      </c>
      <c r="AF84" s="28" t="n">
        <v>0.00827647267862343</v>
      </c>
      <c r="AG84" s="29" t="n">
        <v>13.3564502171108</v>
      </c>
      <c r="AH84" s="27" t="n">
        <v>0.345390838440576</v>
      </c>
      <c r="AI84" s="27" t="n">
        <f aca="false">VLOOKUP(B84,proft,2,0)</f>
        <v>14.5146437420193</v>
      </c>
      <c r="AJ84" s="27" t="n">
        <f aca="false">VLOOKUP(B84,proft,3,0)</f>
        <v>0.304389953613301</v>
      </c>
      <c r="AK84" s="27" t="s">
        <v>63</v>
      </c>
      <c r="BA84" s="30" t="n">
        <v>17.1526</v>
      </c>
      <c r="BB84" s="30" t="n">
        <v>2.254</v>
      </c>
      <c r="BC84" s="30" t="n">
        <v>0.02254</v>
      </c>
      <c r="BD84" s="31" t="n">
        <v>17.1526</v>
      </c>
      <c r="BE84" s="31" t="n">
        <v>2.254</v>
      </c>
      <c r="BF84" s="31" t="n">
        <v>0.02254</v>
      </c>
      <c r="BG84" s="14" t="n">
        <f aca="false">10^6/((BA84+273.15)^2)</f>
        <v>11.8658307403418</v>
      </c>
      <c r="BH84" s="14" t="n">
        <f aca="false">BG84*(2*($BE84/($BD84+273.15)))</f>
        <v>0.184260027218017</v>
      </c>
      <c r="BI84" s="14" t="n">
        <f aca="false">BG84*(2*($BF84/($BD84+273.15)))</f>
        <v>0.00184260027218017</v>
      </c>
      <c r="BK84" s="14" t="n">
        <f aca="false">10^6/((AG84+273.15)^2)</f>
        <v>12.1823533568702</v>
      </c>
      <c r="BL84" s="14" t="n">
        <f aca="false">BK84*(2*($AH84/($AG84+273.15)))</f>
        <v>0.0293722758208078</v>
      </c>
      <c r="BM84" s="14" t="n">
        <f aca="false">10^6/((AI84+273.15)^2)</f>
        <v>12.0844538113556</v>
      </c>
      <c r="BN84" s="14" t="n">
        <f aca="false">BM84*(2*($AJ84/($AI84+273.15)))</f>
        <v>0.0255741288691663</v>
      </c>
    </row>
    <row r="85" s="14" customFormat="true" ht="16" hidden="false" customHeight="false" outlineLevel="0" collapsed="false">
      <c r="A85" s="22" t="s">
        <v>154</v>
      </c>
      <c r="B85" s="23" t="s">
        <v>330</v>
      </c>
      <c r="C85" s="14" t="s">
        <v>53</v>
      </c>
      <c r="D85" s="23" t="s">
        <v>331</v>
      </c>
      <c r="E85" s="24" t="s">
        <v>332</v>
      </c>
      <c r="F85" s="22" t="n">
        <v>-5</v>
      </c>
      <c r="G85" s="22" t="n">
        <v>167</v>
      </c>
      <c r="H85" s="22" t="s">
        <v>56</v>
      </c>
      <c r="I85" s="22" t="s">
        <v>57</v>
      </c>
      <c r="J85" s="22" t="n">
        <v>2992</v>
      </c>
      <c r="K85" s="25" t="s">
        <v>154</v>
      </c>
      <c r="L85" s="22" t="s">
        <v>160</v>
      </c>
      <c r="M85" s="22" t="s">
        <v>161</v>
      </c>
      <c r="N85" s="22" t="s">
        <v>162</v>
      </c>
      <c r="O85" s="22" t="s">
        <v>71</v>
      </c>
      <c r="P85" s="22" t="s">
        <v>71</v>
      </c>
      <c r="Q85" s="22" t="n">
        <v>5</v>
      </c>
      <c r="R85" s="25" t="s">
        <v>62</v>
      </c>
      <c r="S85" s="25" t="n">
        <v>35.0386363636364</v>
      </c>
      <c r="T85" s="22" t="n">
        <v>-2.67144827586207</v>
      </c>
      <c r="U85" s="26" t="n">
        <v>4</v>
      </c>
      <c r="V85" s="27" t="n">
        <v>1.6225</v>
      </c>
      <c r="W85" s="27" t="n">
        <v>0.035939764421413</v>
      </c>
      <c r="X85" s="27" t="n">
        <v>0.0179698822107065</v>
      </c>
      <c r="Y85" s="27" t="n">
        <v>-2.1275</v>
      </c>
      <c r="Z85" s="27" t="n">
        <v>0.0403112887414928</v>
      </c>
      <c r="AA85" s="27" t="n">
        <v>0.0201556443707464</v>
      </c>
      <c r="AB85" s="27" t="n">
        <v>0.367883384</v>
      </c>
      <c r="AC85" s="27" t="n">
        <v>0.200947702587641</v>
      </c>
      <c r="AD85" s="27" t="n">
        <v>0.200189899433139</v>
      </c>
      <c r="AE85" s="28" t="n">
        <v>0.5965</v>
      </c>
      <c r="AF85" s="28" t="n">
        <v>0.00403112887414928</v>
      </c>
      <c r="AG85" s="29" t="n">
        <v>29.5769797238437</v>
      </c>
      <c r="AH85" s="27" t="n">
        <v>0.025905385019413</v>
      </c>
      <c r="AI85" s="27" t="n">
        <f aca="false">VLOOKUP(B85,proft,2,0)</f>
        <v>27.1636787473558</v>
      </c>
      <c r="AJ85" s="27" t="n">
        <f aca="false">VLOOKUP(B85,proft,3,0)</f>
        <v>1.738712310791</v>
      </c>
      <c r="AK85" s="27" t="s">
        <v>163</v>
      </c>
      <c r="BA85" s="30" t="n">
        <v>26.479</v>
      </c>
      <c r="BB85" s="30" t="n">
        <v>1.909</v>
      </c>
      <c r="BC85" s="30" t="n">
        <v>0.01909</v>
      </c>
      <c r="BD85" s="31" t="n">
        <v>26.479</v>
      </c>
      <c r="BE85" s="31" t="n">
        <v>1.909</v>
      </c>
      <c r="BF85" s="31" t="n">
        <v>0.01909</v>
      </c>
      <c r="BG85" s="14" t="n">
        <f aca="false">10^6/((BA85+273.15)^2)</f>
        <v>11.1386436549282</v>
      </c>
      <c r="BH85" s="14" t="n">
        <f aca="false">BG85*(2*($BE85/($BD85+273.15)))</f>
        <v>0.141933329132079</v>
      </c>
      <c r="BI85" s="14" t="n">
        <f aca="false">BG85*(2*($BF85/($BD85+273.15)))</f>
        <v>0.00141933329132079</v>
      </c>
      <c r="BK85" s="14" t="n">
        <f aca="false">10^6/((AG85+273.15)^2)</f>
        <v>10.9118338362782</v>
      </c>
      <c r="BL85" s="14" t="n">
        <f aca="false">BK85*(2*($AH85/($AG85+273.15)))</f>
        <v>0.00186752602661652</v>
      </c>
      <c r="BM85" s="14" t="n">
        <f aca="false">10^6/((AI85+273.15)^2)</f>
        <v>11.0879120399593</v>
      </c>
      <c r="BN85" s="14" t="n">
        <f aca="false">BM85*(2*($AJ85/($AI85+273.15)))</f>
        <v>0.128390350018412</v>
      </c>
    </row>
    <row r="86" s="14" customFormat="true" ht="16" hidden="false" customHeight="false" outlineLevel="0" collapsed="false">
      <c r="A86" s="22" t="s">
        <v>67</v>
      </c>
      <c r="B86" s="23" t="s">
        <v>333</v>
      </c>
      <c r="C86" s="14" t="s">
        <v>53</v>
      </c>
      <c r="D86" s="23" t="s">
        <v>334</v>
      </c>
      <c r="E86" s="24" t="s">
        <v>332</v>
      </c>
      <c r="F86" s="22" t="n">
        <v>-5</v>
      </c>
      <c r="G86" s="22" t="n">
        <v>167</v>
      </c>
      <c r="H86" s="22" t="s">
        <v>56</v>
      </c>
      <c r="I86" s="22" t="s">
        <v>57</v>
      </c>
      <c r="J86" s="22" t="n">
        <v>2992</v>
      </c>
      <c r="K86" s="25" t="s">
        <v>67</v>
      </c>
      <c r="L86" s="22" t="s">
        <v>68</v>
      </c>
      <c r="M86" s="22" t="s">
        <v>69</v>
      </c>
      <c r="N86" s="22" t="s">
        <v>70</v>
      </c>
      <c r="O86" s="22" t="s">
        <v>71</v>
      </c>
      <c r="P86" s="22" t="s">
        <v>71</v>
      </c>
      <c r="Q86" s="22" t="n">
        <v>5</v>
      </c>
      <c r="R86" s="25" t="s">
        <v>62</v>
      </c>
      <c r="S86" s="25" t="n">
        <v>35.3935454545455</v>
      </c>
      <c r="T86" s="22" t="n">
        <v>-2.67144827586207</v>
      </c>
      <c r="U86" s="26" t="n">
        <v>4</v>
      </c>
      <c r="V86" s="27" t="n">
        <v>2.495</v>
      </c>
      <c r="W86" s="27" t="n">
        <v>0.0369684550213647</v>
      </c>
      <c r="X86" s="27" t="n">
        <v>0.0184842275106823</v>
      </c>
      <c r="Y86" s="27" t="n">
        <v>-1.8575</v>
      </c>
      <c r="Z86" s="27" t="n">
        <v>0.0776208734813001</v>
      </c>
      <c r="AA86" s="27" t="n">
        <v>0.03881043674065</v>
      </c>
      <c r="AB86" s="27" t="n">
        <v>0.350910633333333</v>
      </c>
      <c r="AC86" s="27" t="n">
        <v>0.208126621095687</v>
      </c>
      <c r="AD86" s="27" t="n">
        <v>0.202745070148621</v>
      </c>
      <c r="AE86" s="28" t="n">
        <v>0.581</v>
      </c>
      <c r="AF86" s="28" t="n">
        <v>0.0149833240637717</v>
      </c>
      <c r="AG86" s="29" t="n">
        <v>29.2287835207852</v>
      </c>
      <c r="AH86" s="27" t="n">
        <v>0.275518206927353</v>
      </c>
      <c r="AI86" s="27" t="n">
        <f aca="false">VLOOKUP(B86,proft,2,0)</f>
        <v>25.971392199857</v>
      </c>
      <c r="AJ86" s="27" t="n">
        <f aca="false">VLOOKUP(B86,proft,3,0)</f>
        <v>2.3740291595459</v>
      </c>
      <c r="AK86" s="27" t="s">
        <v>72</v>
      </c>
      <c r="BA86" s="30" t="n">
        <v>26.251</v>
      </c>
      <c r="BB86" s="30" t="n">
        <v>2.122</v>
      </c>
      <c r="BC86" s="30" t="n">
        <v>0.02122</v>
      </c>
      <c r="BD86" s="31" t="n">
        <v>26.251</v>
      </c>
      <c r="BE86" s="31" t="n">
        <v>2.122</v>
      </c>
      <c r="BF86" s="31" t="n">
        <v>0.02122</v>
      </c>
      <c r="BG86" s="14" t="n">
        <f aca="false">10^6/((BA86+273.15)^2)</f>
        <v>11.1556147254066</v>
      </c>
      <c r="BH86" s="14" t="n">
        <f aca="false">BG86*(2*($BE86/($BD86+273.15)))</f>
        <v>0.158130496874177</v>
      </c>
      <c r="BI86" s="14" t="n">
        <f aca="false">BG86*(2*($BF86/($BD86+273.15)))</f>
        <v>0.00158130496874177</v>
      </c>
      <c r="BK86" s="14" t="n">
        <f aca="false">10^6/((AG86+273.15)^2)</f>
        <v>10.9369787664132</v>
      </c>
      <c r="BL86" s="14" t="n">
        <f aca="false">BK86*(2*($AH86/($AG86+273.15)))</f>
        <v>0.0199308744075132</v>
      </c>
      <c r="BM86" s="14" t="n">
        <f aca="false">10^6/((AI86+273.15)^2)</f>
        <v>11.1764801989562</v>
      </c>
      <c r="BN86" s="14" t="n">
        <f aca="false">BM86*(2*($AJ86/($AI86+273.15)))</f>
        <v>0.177408173305647</v>
      </c>
    </row>
    <row r="87" s="14" customFormat="true" ht="16" hidden="false" customHeight="false" outlineLevel="0" collapsed="false">
      <c r="A87" s="22" t="s">
        <v>67</v>
      </c>
      <c r="B87" s="23" t="s">
        <v>335</v>
      </c>
      <c r="C87" s="14" t="s">
        <v>53</v>
      </c>
      <c r="D87" s="23" t="s">
        <v>334</v>
      </c>
      <c r="E87" s="24" t="s">
        <v>332</v>
      </c>
      <c r="F87" s="22" t="n">
        <v>-5</v>
      </c>
      <c r="G87" s="22" t="n">
        <v>167</v>
      </c>
      <c r="H87" s="22" t="s">
        <v>56</v>
      </c>
      <c r="I87" s="22" t="s">
        <v>57</v>
      </c>
      <c r="J87" s="22" t="n">
        <v>2992</v>
      </c>
      <c r="K87" s="25" t="s">
        <v>67</v>
      </c>
      <c r="L87" s="22" t="s">
        <v>68</v>
      </c>
      <c r="M87" s="22" t="s">
        <v>69</v>
      </c>
      <c r="N87" s="22" t="s">
        <v>70</v>
      </c>
      <c r="O87" s="22" t="s">
        <v>71</v>
      </c>
      <c r="P87" s="22" t="s">
        <v>71</v>
      </c>
      <c r="Q87" s="22" t="n">
        <v>5</v>
      </c>
      <c r="R87" s="25" t="s">
        <v>62</v>
      </c>
      <c r="S87" s="25" t="n">
        <v>35.3935454545455</v>
      </c>
      <c r="T87" s="22" t="n">
        <v>-2.67144827586207</v>
      </c>
      <c r="U87" s="26" t="n">
        <v>4</v>
      </c>
      <c r="V87" s="27" t="n">
        <v>2.3575</v>
      </c>
      <c r="W87" s="27" t="n">
        <v>0.0221735578260834</v>
      </c>
      <c r="X87" s="27" t="n">
        <v>0.0110867789130417</v>
      </c>
      <c r="Y87" s="27" t="n">
        <v>-1.8675</v>
      </c>
      <c r="Z87" s="27" t="n">
        <v>0.0386221007541882</v>
      </c>
      <c r="AA87" s="27" t="n">
        <v>0.0193110503770941</v>
      </c>
      <c r="AB87" s="27" t="n">
        <v>0.350910633333333</v>
      </c>
      <c r="AC87" s="27" t="n">
        <v>0.208126621095687</v>
      </c>
      <c r="AD87" s="27" t="n">
        <v>0.202745070148621</v>
      </c>
      <c r="AE87" s="28" t="n">
        <v>0.57175</v>
      </c>
      <c r="AF87" s="28" t="n">
        <v>0.00766349572105749</v>
      </c>
      <c r="AG87" s="29" t="n">
        <v>29.2287835207852</v>
      </c>
      <c r="AH87" s="27" t="n">
        <v>0.275518206927353</v>
      </c>
      <c r="AI87" s="27" t="n">
        <f aca="false">VLOOKUP(B87,proft,2,0)</f>
        <v>26.0219967538247</v>
      </c>
      <c r="AJ87" s="27" t="n">
        <f aca="false">VLOOKUP(B87,proft,3,0)</f>
        <v>2.3740291595459</v>
      </c>
      <c r="AK87" s="27" t="s">
        <v>72</v>
      </c>
      <c r="BA87" s="30" t="n">
        <v>26.3506</v>
      </c>
      <c r="BB87" s="30" t="n">
        <v>2.1</v>
      </c>
      <c r="BC87" s="30" t="n">
        <v>0.02137</v>
      </c>
      <c r="BD87" s="31" t="n">
        <v>26.3506</v>
      </c>
      <c r="BE87" s="31" t="n">
        <v>2.1</v>
      </c>
      <c r="BF87" s="31" t="n">
        <v>0.02137</v>
      </c>
      <c r="BG87" s="14" t="n">
        <f aca="false">10^6/((BA87+273.15)^2)</f>
        <v>11.1481962796563</v>
      </c>
      <c r="BH87" s="14" t="n">
        <f aca="false">BG87*(2*($BE87/($BD87+273.15)))</f>
        <v>0.156334993567815</v>
      </c>
      <c r="BI87" s="14" t="n">
        <f aca="false">BG87*(2*($BF87/($BD87+273.15)))</f>
        <v>0.0015908946726401</v>
      </c>
      <c r="BK87" s="14" t="n">
        <f aca="false">10^6/((AG87+273.15)^2)</f>
        <v>10.9369787664132</v>
      </c>
      <c r="BL87" s="14" t="n">
        <f aca="false">BK87*(2*($AH87/($AG87+273.15)))</f>
        <v>0.0199308744075132</v>
      </c>
      <c r="BM87" s="14" t="n">
        <f aca="false">10^6/((AI87+273.15)^2)</f>
        <v>11.172699544564</v>
      </c>
      <c r="BN87" s="14" t="n">
        <f aca="false">BM87*(2*($AJ87/($AI87+273.15)))</f>
        <v>0.177318163447402</v>
      </c>
    </row>
    <row r="88" s="14" customFormat="true" ht="16" hidden="false" customHeight="false" outlineLevel="0" collapsed="false">
      <c r="A88" s="22" t="s">
        <v>67</v>
      </c>
      <c r="B88" s="23" t="s">
        <v>336</v>
      </c>
      <c r="C88" s="14" t="s">
        <v>53</v>
      </c>
      <c r="D88" s="23" t="s">
        <v>337</v>
      </c>
      <c r="E88" s="24" t="s">
        <v>338</v>
      </c>
      <c r="F88" s="22" t="n">
        <v>-41</v>
      </c>
      <c r="G88" s="22" t="n">
        <v>26</v>
      </c>
      <c r="H88" s="22" t="s">
        <v>120</v>
      </c>
      <c r="I88" s="22" t="s">
        <v>150</v>
      </c>
      <c r="J88" s="22" t="n">
        <v>3636</v>
      </c>
      <c r="K88" s="25" t="s">
        <v>67</v>
      </c>
      <c r="L88" s="22" t="s">
        <v>68</v>
      </c>
      <c r="M88" s="22" t="s">
        <v>69</v>
      </c>
      <c r="N88" s="22" t="s">
        <v>162</v>
      </c>
      <c r="O88" s="22" t="s">
        <v>71</v>
      </c>
      <c r="P88" s="22" t="s">
        <v>71</v>
      </c>
      <c r="Q88" s="22" t="n">
        <v>5</v>
      </c>
      <c r="R88" s="25" t="s">
        <v>62</v>
      </c>
      <c r="S88" s="25" t="n">
        <v>35.1762727272727</v>
      </c>
      <c r="T88" s="22" t="n">
        <v>-5.00207462686567</v>
      </c>
      <c r="U88" s="26" t="n">
        <v>5</v>
      </c>
      <c r="V88" s="27" t="n">
        <v>1.154</v>
      </c>
      <c r="W88" s="27" t="n">
        <v>0.00894427190999917</v>
      </c>
      <c r="X88" s="27" t="n">
        <v>0.004</v>
      </c>
      <c r="Y88" s="27" t="n">
        <v>1.462</v>
      </c>
      <c r="Z88" s="27" t="n">
        <v>0.0376828873628336</v>
      </c>
      <c r="AA88" s="27" t="n">
        <v>0.0168522995463527</v>
      </c>
      <c r="AB88" s="27" t="n">
        <v>0.170879984</v>
      </c>
      <c r="AC88" s="27" t="n">
        <v>0.20085735092127</v>
      </c>
      <c r="AD88" s="27" t="n">
        <v>0.200171763952417</v>
      </c>
      <c r="AE88" s="28" t="n">
        <v>0.647</v>
      </c>
      <c r="AF88" s="28" t="n">
        <v>0.00697137002317336</v>
      </c>
      <c r="AG88" s="29" t="n">
        <v>15.1947893662886</v>
      </c>
      <c r="AH88" s="27" t="n">
        <v>0.182127281819609</v>
      </c>
      <c r="AI88" s="27" t="n">
        <f aca="false">VLOOKUP(B88,proft,2,0)</f>
        <v>8.60406054439054</v>
      </c>
      <c r="AJ88" s="27" t="n">
        <f aca="false">VLOOKUP(B88,proft,3,0)</f>
        <v>0.331708908081051</v>
      </c>
      <c r="AK88" s="27" t="s">
        <v>72</v>
      </c>
      <c r="BA88" s="30" t="n">
        <v>8.9887</v>
      </c>
      <c r="BB88" s="30" t="n">
        <v>2.208</v>
      </c>
      <c r="BC88" s="30" t="n">
        <v>0.0224</v>
      </c>
      <c r="BD88" s="31" t="n">
        <v>8.9887</v>
      </c>
      <c r="BE88" s="31" t="n">
        <v>2.208</v>
      </c>
      <c r="BF88" s="31" t="n">
        <v>0.0224</v>
      </c>
      <c r="BG88" s="14" t="n">
        <f aca="false">10^6/((BA88+273.15)^2)</f>
        <v>12.5624596010334</v>
      </c>
      <c r="BH88" s="14" t="n">
        <f aca="false">BG88*(2*($BE88/($BD88+273.15)))</f>
        <v>0.196626062281294</v>
      </c>
      <c r="BI88" s="14" t="n">
        <f aca="false">BG88*(2*($BF88/($BD88+273.15)))</f>
        <v>0.00199475715357835</v>
      </c>
      <c r="BK88" s="14" t="n">
        <f aca="false">10^6/((AG88+273.15)^2)</f>
        <v>12.0275116018697</v>
      </c>
      <c r="BL88" s="14" t="n">
        <f aca="false">BK88*(2*($AH88/($AG88+273.15)))</f>
        <v>0.015193879521226</v>
      </c>
      <c r="BM88" s="14" t="n">
        <f aca="false">10^6/((AI88+273.15)^2)</f>
        <v>12.5967825552581</v>
      </c>
      <c r="BN88" s="14" t="n">
        <f aca="false">BM88*(2*($AJ88/($AI88+273.15)))</f>
        <v>0.0296603710247561</v>
      </c>
    </row>
    <row r="89" s="14" customFormat="true" ht="16" hidden="false" customHeight="false" outlineLevel="0" collapsed="false">
      <c r="A89" s="22" t="s">
        <v>67</v>
      </c>
      <c r="B89" s="23" t="s">
        <v>339</v>
      </c>
      <c r="C89" s="14" t="s">
        <v>53</v>
      </c>
      <c r="D89" s="23" t="s">
        <v>340</v>
      </c>
      <c r="E89" s="24" t="s">
        <v>341</v>
      </c>
      <c r="F89" s="22" t="n">
        <v>-29.12483</v>
      </c>
      <c r="G89" s="22" t="n">
        <v>47.549</v>
      </c>
      <c r="H89" s="22" t="s">
        <v>120</v>
      </c>
      <c r="I89" s="22" t="s">
        <v>342</v>
      </c>
      <c r="J89" s="22" t="n">
        <v>3520</v>
      </c>
      <c r="K89" s="25" t="s">
        <v>67</v>
      </c>
      <c r="L89" s="22" t="s">
        <v>68</v>
      </c>
      <c r="M89" s="22" t="s">
        <v>69</v>
      </c>
      <c r="N89" s="22" t="s">
        <v>162</v>
      </c>
      <c r="O89" s="22" t="s">
        <v>71</v>
      </c>
      <c r="P89" s="22" t="s">
        <v>71</v>
      </c>
      <c r="Q89" s="22" t="n">
        <v>5</v>
      </c>
      <c r="R89" s="25" t="s">
        <v>62</v>
      </c>
      <c r="S89" s="25" t="n">
        <v>35.4604545454546</v>
      </c>
      <c r="T89" s="22" t="n">
        <v>-2.645</v>
      </c>
      <c r="U89" s="26" t="n">
        <v>8</v>
      </c>
      <c r="V89" s="27" t="n">
        <v>1.7925</v>
      </c>
      <c r="W89" s="27" t="n">
        <v>0.0843038721361175</v>
      </c>
      <c r="X89" s="27" t="n">
        <v>0.0298059198338662</v>
      </c>
      <c r="Y89" s="27" t="n">
        <v>-1.125</v>
      </c>
      <c r="Z89" s="27" t="n">
        <v>0.0272554057547698</v>
      </c>
      <c r="AA89" s="27" t="n">
        <v>0.00963624111659429</v>
      </c>
      <c r="AB89" s="27" t="n">
        <v>0.484385772</v>
      </c>
      <c r="AC89" s="27" t="n">
        <v>0.200027430747895</v>
      </c>
      <c r="AD89" s="27" t="n">
        <v>0.200005486450549</v>
      </c>
      <c r="AE89" s="28" t="n">
        <v>0.612</v>
      </c>
      <c r="AF89" s="28" t="n">
        <v>0.00512695955569325</v>
      </c>
      <c r="AG89" s="29" t="n">
        <v>20.1604333357377</v>
      </c>
      <c r="AH89" s="27" t="n">
        <v>0.87499928202944</v>
      </c>
      <c r="AI89" s="27" t="n">
        <f aca="false">VLOOKUP(B89,proft,2,0)</f>
        <v>22.4771565388523</v>
      </c>
      <c r="AJ89" s="27" t="n">
        <f aca="false">VLOOKUP(B89,proft,3,0)</f>
        <v>0.113695144653303</v>
      </c>
      <c r="AK89" s="27" t="s">
        <v>72</v>
      </c>
      <c r="AM89" s="33"/>
      <c r="BA89" s="30" t="n">
        <v>23.3187</v>
      </c>
      <c r="BB89" s="30" t="n">
        <v>2.141</v>
      </c>
      <c r="BC89" s="30" t="n">
        <v>0.02141</v>
      </c>
      <c r="BD89" s="31" t="n">
        <v>23.3187</v>
      </c>
      <c r="BE89" s="31" t="n">
        <v>2.141</v>
      </c>
      <c r="BF89" s="31" t="n">
        <v>0.02141</v>
      </c>
      <c r="BG89" s="14" t="n">
        <f aca="false">10^6/((BA89+273.15)^2)</f>
        <v>11.3773810053183</v>
      </c>
      <c r="BH89" s="14" t="n">
        <f aca="false">BG89*(2*($BE89/($BD89+273.15)))</f>
        <v>0.164327449962755</v>
      </c>
      <c r="BI89" s="14" t="n">
        <f aca="false">BG89*(2*($BF89/($BD89+273.15)))</f>
        <v>0.00164327449962755</v>
      </c>
      <c r="BK89" s="14" t="n">
        <f aca="false">10^6/((AG89+273.15)^2)</f>
        <v>11.6237156401054</v>
      </c>
      <c r="BL89" s="14" t="n">
        <f aca="false">BK89*(2*($AH89/($AG89+273.15)))</f>
        <v>0.069351388042611</v>
      </c>
      <c r="BM89" s="14" t="n">
        <f aca="false">10^6/((AI89+273.15)^2)</f>
        <v>11.4422477675988</v>
      </c>
      <c r="BN89" s="14" t="n">
        <f aca="false">BM89*(2*($AJ89/($AI89+273.15)))</f>
        <v>0.00880114012749771</v>
      </c>
    </row>
    <row r="90" s="14" customFormat="true" ht="16" hidden="false" customHeight="false" outlineLevel="0" collapsed="false">
      <c r="A90" s="22" t="s">
        <v>64</v>
      </c>
      <c r="B90" s="23" t="s">
        <v>343</v>
      </c>
      <c r="C90" s="14" t="s">
        <v>53</v>
      </c>
      <c r="D90" s="23" t="s">
        <v>344</v>
      </c>
      <c r="E90" s="24" t="s">
        <v>345</v>
      </c>
      <c r="F90" s="22" t="n">
        <v>-11.2</v>
      </c>
      <c r="G90" s="22" t="n">
        <v>58.8</v>
      </c>
      <c r="H90" s="22" t="s">
        <v>120</v>
      </c>
      <c r="I90" s="22" t="s">
        <v>346</v>
      </c>
      <c r="J90" s="22" t="n">
        <v>2871</v>
      </c>
      <c r="K90" s="25" t="s">
        <v>67</v>
      </c>
      <c r="L90" s="22" t="s">
        <v>68</v>
      </c>
      <c r="M90" s="22" t="s">
        <v>69</v>
      </c>
      <c r="N90" s="22" t="s">
        <v>70</v>
      </c>
      <c r="O90" s="22" t="s">
        <v>71</v>
      </c>
      <c r="P90" s="22" t="s">
        <v>71</v>
      </c>
      <c r="Q90" s="22" t="n">
        <v>5</v>
      </c>
      <c r="R90" s="25" t="s">
        <v>62</v>
      </c>
      <c r="S90" s="25" t="n">
        <v>35.1836363636364</v>
      </c>
      <c r="T90" s="22" t="n">
        <v>7.05296756756757</v>
      </c>
      <c r="U90" s="26" t="n">
        <v>7</v>
      </c>
      <c r="V90" s="27" t="n">
        <v>2.38571428571429</v>
      </c>
      <c r="W90" s="27" t="n">
        <v>0.0359894164336975</v>
      </c>
      <c r="X90" s="27" t="n">
        <v>0.0136027208162721</v>
      </c>
      <c r="Y90" s="27" t="n">
        <v>-1.53571428571429</v>
      </c>
      <c r="Z90" s="27" t="n">
        <v>0.0171824938596845</v>
      </c>
      <c r="AA90" s="27" t="n">
        <v>0.00649437223665994</v>
      </c>
      <c r="AB90" s="27" t="n">
        <v>0.27877157</v>
      </c>
      <c r="AC90" s="27" t="n">
        <v>0.232499021638854</v>
      </c>
      <c r="AD90" s="27" t="n">
        <v>0.211388895216868</v>
      </c>
      <c r="AE90" s="28" t="n">
        <v>0.600571428571429</v>
      </c>
      <c r="AF90" s="28" t="n">
        <v>0.00647286329097669</v>
      </c>
      <c r="AG90" s="29" t="n">
        <v>22.7537625052712</v>
      </c>
      <c r="AH90" s="27" t="n">
        <v>1.86578283762149</v>
      </c>
      <c r="AI90" s="27" t="n">
        <f aca="false">VLOOKUP(B90,proft,2,0)</f>
        <v>23.9805856975407</v>
      </c>
      <c r="AJ90" s="27" t="n">
        <f aca="false">VLOOKUP(B90,proft,3,0)</f>
        <v>0.838485717773501</v>
      </c>
      <c r="AK90" s="27" t="s">
        <v>72</v>
      </c>
      <c r="AM90" s="33"/>
      <c r="AS90" s="49"/>
      <c r="AT90" s="49"/>
      <c r="AU90" s="49"/>
      <c r="AV90" s="49"/>
      <c r="AW90" s="49"/>
      <c r="AX90" s="49"/>
      <c r="AY90" s="49"/>
      <c r="AZ90" s="49"/>
      <c r="BA90" s="30" t="n">
        <v>24.3136</v>
      </c>
      <c r="BB90" s="30" t="n">
        <v>2.12</v>
      </c>
      <c r="BC90" s="30" t="n">
        <v>0.0212</v>
      </c>
      <c r="BD90" s="31" t="n">
        <v>24.3136</v>
      </c>
      <c r="BE90" s="31" t="n">
        <v>2.12</v>
      </c>
      <c r="BF90" s="31" t="n">
        <v>0.0212</v>
      </c>
      <c r="BG90" s="14" t="n">
        <f aca="false">10^6/((BA90+273.15)^2)</f>
        <v>11.3014024523738</v>
      </c>
      <c r="BH90" s="14" t="n">
        <f aca="false">BG90*(2*($BE90/($BD90+273.15)))</f>
        <v>0.161088437032514</v>
      </c>
      <c r="BI90" s="14" t="n">
        <f aca="false">BG90*(2*($BF90/($BD90+273.15)))</f>
        <v>0.00161088437032514</v>
      </c>
      <c r="BK90" s="14" t="n">
        <f aca="false">10^6/((AG90+273.15)^2)</f>
        <v>11.4208657163343</v>
      </c>
      <c r="BL90" s="14" t="n">
        <f aca="false">BK90*(2*($AH90/($AG90+273.15)))</f>
        <v>0.144025578207622</v>
      </c>
      <c r="BM90" s="14" t="n">
        <f aca="false">10^6/((AI90+273.15)^2)</f>
        <v>11.3267491373402</v>
      </c>
      <c r="BN90" s="14" t="n">
        <f aca="false">BM90*(2*($AJ90/($AI90+273.15)))</f>
        <v>0.0639268916605626</v>
      </c>
    </row>
    <row r="91" s="14" customFormat="true" ht="16" hidden="false" customHeight="false" outlineLevel="0" collapsed="false">
      <c r="A91" s="22" t="s">
        <v>51</v>
      </c>
      <c r="B91" s="23" t="s">
        <v>347</v>
      </c>
      <c r="C91" s="14" t="s">
        <v>53</v>
      </c>
      <c r="D91" s="23" t="s">
        <v>348</v>
      </c>
      <c r="E91" s="24" t="s">
        <v>349</v>
      </c>
      <c r="F91" s="22" t="n">
        <v>-3.93</v>
      </c>
      <c r="G91" s="22" t="n">
        <v>156</v>
      </c>
      <c r="H91" s="22" t="s">
        <v>56</v>
      </c>
      <c r="I91" s="22" t="s">
        <v>57</v>
      </c>
      <c r="J91" s="22" t="n">
        <v>1800</v>
      </c>
      <c r="K91" s="25" t="s">
        <v>51</v>
      </c>
      <c r="L91" s="22" t="s">
        <v>58</v>
      </c>
      <c r="M91" s="22" t="s">
        <v>59</v>
      </c>
      <c r="N91" s="22" t="s">
        <v>60</v>
      </c>
      <c r="O91" s="22" t="s">
        <v>61</v>
      </c>
      <c r="P91" s="22" t="s">
        <v>61</v>
      </c>
      <c r="Q91" s="22" t="n">
        <v>3</v>
      </c>
      <c r="R91" s="25" t="s">
        <v>62</v>
      </c>
      <c r="S91" s="25" t="n">
        <v>34.9564117647059</v>
      </c>
      <c r="T91" s="22" t="n">
        <v>6.05656321839081</v>
      </c>
      <c r="U91" s="26" t="n">
        <v>4</v>
      </c>
      <c r="V91" s="27" t="n">
        <v>1.5275</v>
      </c>
      <c r="W91" s="27" t="n">
        <v>0.278492968193692</v>
      </c>
      <c r="X91" s="27" t="n">
        <v>0.139246484096846</v>
      </c>
      <c r="Y91" s="27" t="n">
        <v>-0.275</v>
      </c>
      <c r="Z91" s="27" t="n">
        <v>0.81344944526381</v>
      </c>
      <c r="AA91" s="27" t="n">
        <v>0.406724722631905</v>
      </c>
      <c r="AB91" s="27" t="n">
        <v>0.304474638</v>
      </c>
      <c r="AC91" s="27" t="n">
        <v>0.206059727037775</v>
      </c>
      <c r="AD91" s="27" t="n">
        <v>0.201226544524763</v>
      </c>
      <c r="AE91" s="28" t="n">
        <v>0.60925</v>
      </c>
      <c r="AF91" s="28" t="n">
        <v>0.00818916967707961</v>
      </c>
      <c r="AG91" s="29" t="n">
        <v>28.6195034700281</v>
      </c>
      <c r="AH91" s="27" t="n">
        <v>0.578024004936658</v>
      </c>
      <c r="AI91" s="27" t="n">
        <f aca="false">VLOOKUP(B91,proft,2,0)</f>
        <v>17.7154509846043</v>
      </c>
      <c r="AJ91" s="27" t="n">
        <f aca="false">VLOOKUP(B91,proft,3,0)</f>
        <v>2.8988542556763</v>
      </c>
      <c r="AK91" s="27" t="s">
        <v>63</v>
      </c>
      <c r="BA91" s="30" t="n">
        <v>18.4829</v>
      </c>
      <c r="BB91" s="30" t="n">
        <v>2.256</v>
      </c>
      <c r="BC91" s="30" t="n">
        <v>0.02256</v>
      </c>
      <c r="BD91" s="31" t="n">
        <v>18.4829</v>
      </c>
      <c r="BE91" s="31" t="n">
        <v>2.256</v>
      </c>
      <c r="BF91" s="31" t="n">
        <v>0.02256</v>
      </c>
      <c r="BG91" s="14" t="n">
        <f aca="false">10^6/((BA91+273.15)^2)</f>
        <v>11.7578243234636</v>
      </c>
      <c r="BH91" s="14" t="n">
        <f aca="false">BG91*(2*($BE91/($BD91+273.15)))</f>
        <v>0.181911243030082</v>
      </c>
      <c r="BI91" s="14" t="n">
        <f aca="false">BG91*(2*($BF91/($BD91+273.15)))</f>
        <v>0.00181911243030082</v>
      </c>
      <c r="BK91" s="14" t="n">
        <f aca="false">10^6/((AG91+273.15)^2)</f>
        <v>10.9811874089112</v>
      </c>
      <c r="BL91" s="14" t="n">
        <f aca="false">BK91*(2*($AH91/($AG91+273.15)))</f>
        <v>0.0420678024258293</v>
      </c>
      <c r="BM91" s="14" t="n">
        <f aca="false">10^6/((AI91+273.15)^2)</f>
        <v>11.8199522590478</v>
      </c>
      <c r="BN91" s="14" t="n">
        <f aca="false">BM91*(2*($AJ91/($AI91+273.15)))</f>
        <v>0.235602535756954</v>
      </c>
    </row>
    <row r="92" s="14" customFormat="true" ht="16" hidden="false" customHeight="false" outlineLevel="0" collapsed="false">
      <c r="A92" s="22" t="s">
        <v>229</v>
      </c>
      <c r="B92" s="23" t="s">
        <v>350</v>
      </c>
      <c r="C92" s="14" t="s">
        <v>53</v>
      </c>
      <c r="D92" s="23" t="s">
        <v>351</v>
      </c>
      <c r="E92" s="24" t="s">
        <v>349</v>
      </c>
      <c r="F92" s="22" t="n">
        <v>-3.93</v>
      </c>
      <c r="G92" s="22" t="n">
        <v>156</v>
      </c>
      <c r="H92" s="22" t="s">
        <v>56</v>
      </c>
      <c r="I92" s="22" t="s">
        <v>57</v>
      </c>
      <c r="J92" s="22" t="n">
        <v>1800</v>
      </c>
      <c r="K92" s="25" t="s">
        <v>229</v>
      </c>
      <c r="L92" s="22" t="s">
        <v>58</v>
      </c>
      <c r="M92" s="22" t="s">
        <v>232</v>
      </c>
      <c r="N92" s="22" t="s">
        <v>233</v>
      </c>
      <c r="O92" s="22" t="s">
        <v>61</v>
      </c>
      <c r="P92" s="22" t="s">
        <v>61</v>
      </c>
      <c r="Q92" s="22" t="n">
        <v>3</v>
      </c>
      <c r="R92" s="25" t="s">
        <v>234</v>
      </c>
      <c r="S92" s="25" t="n">
        <v>35.2445</v>
      </c>
      <c r="T92" s="22" t="n">
        <v>6.05656321839081</v>
      </c>
      <c r="U92" s="26" t="n">
        <v>3</v>
      </c>
      <c r="V92" s="27" t="n">
        <v>1.9</v>
      </c>
      <c r="W92" s="27" t="n">
        <v>0.01</v>
      </c>
      <c r="X92" s="27" t="n">
        <v>0.00577350269189626</v>
      </c>
      <c r="Y92" s="27" t="n">
        <v>-0.81</v>
      </c>
      <c r="Z92" s="27" t="n">
        <v>0.07</v>
      </c>
      <c r="AA92" s="27" t="n">
        <v>0.0404145188432738</v>
      </c>
      <c r="AB92" s="27" t="n">
        <v>0.303608124</v>
      </c>
      <c r="AC92" s="27" t="n">
        <v>0.234179176857208</v>
      </c>
      <c r="AD92" s="27" t="n">
        <v>0.2072871857465</v>
      </c>
      <c r="AE92" s="28" t="n">
        <v>0.602</v>
      </c>
      <c r="AF92" s="28" t="n">
        <v>0.00556776436283003</v>
      </c>
      <c r="AG92" s="29" t="n">
        <v>17.8231718540192</v>
      </c>
      <c r="AH92" s="27" t="n">
        <v>5.80620327937593</v>
      </c>
      <c r="AI92" s="27" t="n">
        <f aca="false">VLOOKUP(B92,proft,2,0)</f>
        <v>20.4397485929179</v>
      </c>
      <c r="AJ92" s="27" t="n">
        <f aca="false">VLOOKUP(B92,proft,3,0)</f>
        <v>3.0231380462646</v>
      </c>
      <c r="AK92" s="27" t="s">
        <v>63</v>
      </c>
      <c r="BA92" s="30" t="n">
        <v>20.5547</v>
      </c>
      <c r="BB92" s="30" t="n">
        <v>2.25</v>
      </c>
      <c r="BC92" s="30" t="n">
        <v>0.02294</v>
      </c>
      <c r="BD92" s="31" t="n">
        <v>20.5547</v>
      </c>
      <c r="BE92" s="31" t="n">
        <v>2.25</v>
      </c>
      <c r="BF92" s="31" t="n">
        <v>0.02294</v>
      </c>
      <c r="BG92" s="14" t="n">
        <f aca="false">10^6/((BA92+273.15)^2)</f>
        <v>11.5925294343222</v>
      </c>
      <c r="BH92" s="14" t="n">
        <f aca="false">BG92*(2*($BE92/($BD92+273.15)))</f>
        <v>0.177615075463382</v>
      </c>
      <c r="BI92" s="14" t="n">
        <f aca="false">BG92*(2*($BF92/($BD92+273.15)))</f>
        <v>0.0018108843693911</v>
      </c>
      <c r="BK92" s="14" t="n">
        <f aca="false">10^6/((AG92+273.15)^2)</f>
        <v>11.8112021750426</v>
      </c>
      <c r="BL92" s="14" t="n">
        <f aca="false">BK92*(2*($AH92/($AG92+273.15)))</f>
        <v>0.471371572610205</v>
      </c>
      <c r="BM92" s="14" t="n">
        <f aca="false">10^6/((AI92+273.15)^2)</f>
        <v>11.601609032323</v>
      </c>
      <c r="BN92" s="14" t="n">
        <f aca="false">BM92*(2*($AJ92/($AI92+273.15)))</f>
        <v>0.238927045863131</v>
      </c>
    </row>
    <row r="93" s="14" customFormat="true" ht="16" hidden="false" customHeight="false" outlineLevel="0" collapsed="false">
      <c r="A93" s="22" t="s">
        <v>130</v>
      </c>
      <c r="B93" s="23" t="s">
        <v>352</v>
      </c>
      <c r="C93" s="14" t="s">
        <v>53</v>
      </c>
      <c r="D93" s="23" t="s">
        <v>353</v>
      </c>
      <c r="E93" s="24" t="s">
        <v>349</v>
      </c>
      <c r="F93" s="22" t="n">
        <v>-3.93</v>
      </c>
      <c r="G93" s="22" t="n">
        <v>156</v>
      </c>
      <c r="H93" s="22" t="s">
        <v>56</v>
      </c>
      <c r="I93" s="22" t="s">
        <v>57</v>
      </c>
      <c r="J93" s="22" t="n">
        <v>1800</v>
      </c>
      <c r="K93" s="25" t="s">
        <v>130</v>
      </c>
      <c r="L93" s="22" t="s">
        <v>80</v>
      </c>
      <c r="M93" s="22" t="s">
        <v>134</v>
      </c>
      <c r="N93" s="22" t="s">
        <v>135</v>
      </c>
      <c r="O93" s="22" t="s">
        <v>92</v>
      </c>
      <c r="P93" s="22" t="s">
        <v>92</v>
      </c>
      <c r="Q93" s="22" t="n">
        <v>4</v>
      </c>
      <c r="R93" s="25" t="s">
        <v>62</v>
      </c>
      <c r="S93" s="25" t="n">
        <v>35.0083529411765</v>
      </c>
      <c r="T93" s="22" t="n">
        <v>6.05656321839081</v>
      </c>
      <c r="U93" s="26" t="n">
        <v>5</v>
      </c>
      <c r="V93" s="27" t="n">
        <v>1.266</v>
      </c>
      <c r="W93" s="27" t="n">
        <v>0.0427784992724149</v>
      </c>
      <c r="X93" s="27" t="n">
        <v>0.019131126469709</v>
      </c>
      <c r="Y93" s="27" t="n">
        <v>-0.436</v>
      </c>
      <c r="Z93" s="27" t="n">
        <v>0.0684105255059488</v>
      </c>
      <c r="AA93" s="27" t="n">
        <v>0.0305941170815569</v>
      </c>
      <c r="AB93" s="27" t="n">
        <v>0.318244435</v>
      </c>
      <c r="AC93" s="27" t="n">
        <v>0.207620164584352</v>
      </c>
      <c r="AD93" s="27" t="n">
        <v>0.201290061330258</v>
      </c>
      <c r="AE93" s="28" t="n">
        <v>0.6136</v>
      </c>
      <c r="AF93" s="28" t="n">
        <v>0.00966747123088557</v>
      </c>
      <c r="AG93" s="29" t="n">
        <v>28.482523282369</v>
      </c>
      <c r="AH93" s="27" t="n">
        <v>0.807590496795228</v>
      </c>
      <c r="AI93" s="27" t="n">
        <f aca="false">VLOOKUP(B93,proft,2,0)</f>
        <v>18.6245978216662</v>
      </c>
      <c r="AJ93" s="27" t="n">
        <f aca="false">VLOOKUP(B93,proft,3,0)</f>
        <v>2.928279876709</v>
      </c>
      <c r="AK93" s="27" t="s">
        <v>63</v>
      </c>
      <c r="BA93" s="30" t="n">
        <v>19.1228</v>
      </c>
      <c r="BB93" s="30" t="n">
        <v>2.204</v>
      </c>
      <c r="BC93" s="30" t="n">
        <v>0.02204</v>
      </c>
      <c r="BD93" s="31" t="n">
        <v>19.1228</v>
      </c>
      <c r="BE93" s="31" t="n">
        <v>2.204</v>
      </c>
      <c r="BF93" s="31" t="n">
        <v>0.02204</v>
      </c>
      <c r="BG93" s="14" t="n">
        <f aca="false">10^6/((BA93+273.15)^2)</f>
        <v>11.7063956891702</v>
      </c>
      <c r="BH93" s="14" t="n">
        <f aca="false">BG93*(2*($BE93/($BD93+273.15)))</f>
        <v>0.176553521907828</v>
      </c>
      <c r="BI93" s="14" t="n">
        <f aca="false">BG93*(2*($BF93/($BD93+273.15)))</f>
        <v>0.00176553521907828</v>
      </c>
      <c r="BK93" s="14" t="n">
        <f aca="false">10^6/((AG93+273.15)^2)</f>
        <v>10.9911634330314</v>
      </c>
      <c r="BL93" s="14" t="n">
        <f aca="false">BK93*(2*($AH93/($AG93+273.15)))</f>
        <v>0.058855451266639</v>
      </c>
      <c r="BM93" s="14" t="n">
        <f aca="false">10^6/((AI93+273.15)^2)</f>
        <v>11.7464069241888</v>
      </c>
      <c r="BN93" s="14" t="n">
        <f aca="false">BM93*(2*($AJ93/($AI93+273.15)))</f>
        <v>0.235776296336535</v>
      </c>
    </row>
    <row r="94" s="14" customFormat="true" ht="16" hidden="false" customHeight="false" outlineLevel="0" collapsed="false">
      <c r="A94" s="22" t="s">
        <v>139</v>
      </c>
      <c r="B94" s="23" t="s">
        <v>354</v>
      </c>
      <c r="C94" s="14" t="s">
        <v>53</v>
      </c>
      <c r="D94" s="23" t="s">
        <v>355</v>
      </c>
      <c r="E94" s="24" t="s">
        <v>349</v>
      </c>
      <c r="F94" s="22" t="n">
        <v>-3.93</v>
      </c>
      <c r="G94" s="22" t="n">
        <v>156</v>
      </c>
      <c r="H94" s="22" t="s">
        <v>56</v>
      </c>
      <c r="I94" s="22" t="s">
        <v>57</v>
      </c>
      <c r="J94" s="22" t="n">
        <v>1800</v>
      </c>
      <c r="K94" s="25" t="s">
        <v>139</v>
      </c>
      <c r="L94" s="22" t="s">
        <v>144</v>
      </c>
      <c r="M94" s="22" t="s">
        <v>145</v>
      </c>
      <c r="N94" s="22" t="s">
        <v>146</v>
      </c>
      <c r="O94" s="22" t="s">
        <v>92</v>
      </c>
      <c r="P94" s="22" t="s">
        <v>92</v>
      </c>
      <c r="Q94" s="22" t="n">
        <v>4</v>
      </c>
      <c r="R94" s="25" t="s">
        <v>62</v>
      </c>
      <c r="S94" s="25" t="n">
        <v>35.4135</v>
      </c>
      <c r="T94" s="22" t="n">
        <v>6.05656321839081</v>
      </c>
      <c r="U94" s="26" t="n">
        <v>3</v>
      </c>
      <c r="V94" s="27" t="n">
        <v>1.22</v>
      </c>
      <c r="W94" s="27" t="n">
        <v>0.02</v>
      </c>
      <c r="X94" s="27" t="n">
        <v>0.0115470053837925</v>
      </c>
      <c r="Y94" s="27" t="n">
        <v>-1.28</v>
      </c>
      <c r="Z94" s="27" t="n">
        <v>0.02</v>
      </c>
      <c r="AA94" s="27" t="n">
        <v>0.0115470053837925</v>
      </c>
      <c r="AB94" s="27" t="n">
        <v>0.354047505</v>
      </c>
      <c r="AC94" s="27" t="n">
        <v>0.205387596987682</v>
      </c>
      <c r="AD94" s="27" t="n">
        <v>0.202711697980623</v>
      </c>
      <c r="AE94" s="28" t="n">
        <v>0.620666666666667</v>
      </c>
      <c r="AF94" s="28" t="n">
        <v>0.00260341655863555</v>
      </c>
      <c r="AG94" s="29" t="n">
        <v>26.8171615600586</v>
      </c>
      <c r="AH94" s="27" t="n">
        <v>0.938049931839799</v>
      </c>
      <c r="AI94" s="27" t="n">
        <f aca="false">VLOOKUP(B94,proft,2,0)</f>
        <v>22.8933195291853</v>
      </c>
      <c r="AJ94" s="27" t="n">
        <f aca="false">VLOOKUP(B94,proft,3,0)</f>
        <v>2.678581237793</v>
      </c>
      <c r="AK94" s="27" t="s">
        <v>63</v>
      </c>
      <c r="BA94" s="30" t="n">
        <v>22.5554</v>
      </c>
      <c r="BB94" s="30" t="n">
        <v>2.239</v>
      </c>
      <c r="BC94" s="30" t="n">
        <v>0.02239</v>
      </c>
      <c r="BD94" s="31" t="n">
        <v>22.5554</v>
      </c>
      <c r="BE94" s="31" t="n">
        <v>2.239</v>
      </c>
      <c r="BF94" s="31" t="n">
        <v>0.02239</v>
      </c>
      <c r="BG94" s="14" t="n">
        <f aca="false">10^6/((BA94+273.15)^2)</f>
        <v>11.4361933457096</v>
      </c>
      <c r="BH94" s="14" t="n">
        <f aca="false">BG94*(2*($BE94/($BD94+273.15)))</f>
        <v>0.173183424455853</v>
      </c>
      <c r="BI94" s="14" t="n">
        <f aca="false">BG94*(2*($BF94/($BD94+273.15)))</f>
        <v>0.00173183424455853</v>
      </c>
      <c r="BK94" s="14" t="n">
        <f aca="false">10^6/((AG94+273.15)^2)</f>
        <v>11.1135439875959</v>
      </c>
      <c r="BL94" s="14" t="n">
        <f aca="false">BK94*(2*($AH94/($AG94+273.15)))</f>
        <v>0.0695080029816906</v>
      </c>
      <c r="BM94" s="14" t="n">
        <f aca="false">10^6/((AI94+273.15)^2)</f>
        <v>11.4101004921555</v>
      </c>
      <c r="BN94" s="14" t="n">
        <f aca="false">BM94*(2*($AJ94/($AI94+273.15)))</f>
        <v>0.206475735701291</v>
      </c>
    </row>
    <row r="95" s="14" customFormat="true" ht="16" hidden="false" customHeight="false" outlineLevel="0" collapsed="false">
      <c r="A95" s="22" t="s">
        <v>166</v>
      </c>
      <c r="B95" s="50" t="s">
        <v>356</v>
      </c>
      <c r="C95" s="14" t="s">
        <v>53</v>
      </c>
      <c r="D95" s="51" t="s">
        <v>357</v>
      </c>
      <c r="E95" s="24" t="s">
        <v>358</v>
      </c>
      <c r="F95" s="52" t="n">
        <v>6.640667</v>
      </c>
      <c r="G95" s="53" t="n">
        <v>-21.897333</v>
      </c>
      <c r="H95" s="22" t="s">
        <v>78</v>
      </c>
      <c r="I95" s="22" t="s">
        <v>359</v>
      </c>
      <c r="J95" s="22" t="n">
        <v>3527</v>
      </c>
      <c r="K95" s="22" t="s">
        <v>166</v>
      </c>
      <c r="L95" s="22" t="s">
        <v>166</v>
      </c>
      <c r="M95" s="22"/>
      <c r="N95" s="22" t="n">
        <v>3527</v>
      </c>
      <c r="O95" s="22" t="s">
        <v>172</v>
      </c>
      <c r="P95" s="22" t="s">
        <v>172</v>
      </c>
      <c r="Q95" s="22" t="n">
        <v>2</v>
      </c>
      <c r="R95" s="25" t="s">
        <v>234</v>
      </c>
      <c r="S95" s="25" t="n">
        <v>34.93</v>
      </c>
      <c r="T95" s="22" t="n">
        <v>17.7187</v>
      </c>
      <c r="U95" s="54" t="n">
        <v>3</v>
      </c>
      <c r="V95" s="32" t="n">
        <v>0.973333333333333</v>
      </c>
      <c r="W95" s="32" t="n">
        <v>0.0251661147842359</v>
      </c>
      <c r="X95" s="14" t="n">
        <f aca="false">W95/SQRT(U95)</f>
        <v>0.0145296631451356</v>
      </c>
      <c r="Y95" s="27" t="n">
        <v>3.15666666666667</v>
      </c>
      <c r="Z95" s="27" t="n">
        <v>0.0378593889720019</v>
      </c>
      <c r="AA95" s="27" t="n">
        <f aca="false">Z95/SQRT(U95)</f>
        <v>0.0218581284143401</v>
      </c>
      <c r="AB95" s="27" t="n">
        <v>0.212126981</v>
      </c>
      <c r="AC95" s="27" t="n">
        <v>0.2</v>
      </c>
      <c r="AD95" s="27" t="n">
        <v>0.2</v>
      </c>
      <c r="AE95" s="28" t="n">
        <v>0.670666666666667</v>
      </c>
      <c r="AF95" s="28" t="n">
        <v>0.0255755960069577</v>
      </c>
      <c r="AG95" s="29" t="n">
        <v>2.43076222896576</v>
      </c>
      <c r="AH95" s="55" t="n">
        <v>0.0385740510993511</v>
      </c>
      <c r="AI95" s="44" t="n">
        <v>2.43076222896576</v>
      </c>
      <c r="AJ95" s="44" t="n">
        <v>0.0385740510993511</v>
      </c>
      <c r="AK95" s="27" t="s">
        <v>63</v>
      </c>
      <c r="AL95" s="14" t="n">
        <f aca="false">IF(AND(O95="Benthic, infaunal",M95="elegans"),(0.243-SQRT(((Y95)-(AB95))*0.0012+0.053337))/0.0006,IF(O95="Benthic",(0.245-SQRT(((Y95)-(AB95))*0.0044+0.045461))/0.0022,IF(O95="Benthic, infaunal",(0.245-(SQRT(0.045461+0.0044*((Y95-0.47)-(AB95)))))/0.0022,IF(O95="Benthic, epifaunal",(0.245-SQRT(((Y95)-(AB95))*0.0044+0.045461))/0.0022))))</f>
        <v>1.50180106703169</v>
      </c>
      <c r="AM95" s="45" t="n">
        <f aca="false">Y95-AB95</f>
        <v>2.94453968566667</v>
      </c>
      <c r="AN95" s="45" t="n">
        <f aca="false">SQRT((Z95^2)+(AC95^2))</f>
        <v>0.203551795210294</v>
      </c>
      <c r="AO95" s="46" t="n">
        <f aca="false">IF(NOT($M95="elegans"),(0.045461+0.0044*((AM95))),IF($M95="elegans",(0.053337+0.0012*((AM95)))))</f>
        <v>0.0584169746169333</v>
      </c>
      <c r="AP95" s="46" t="n">
        <f aca="false">IF(NOT($M95="elegans"),(0.0044*((AN95))),IF($M95="elegans",(0.0012*((AN95)))))</f>
        <v>0.000895627898925292</v>
      </c>
      <c r="AQ95" s="46" t="n">
        <f aca="false">SQRT(AO95)</f>
        <v>0.24169603765253</v>
      </c>
      <c r="AR95" s="46" t="n">
        <f aca="false">AQ95*(0.5*(AP95/AO95))</f>
        <v>0.00185279805913259</v>
      </c>
      <c r="AS95" s="46" t="n">
        <f aca="false">IF(NOT($M95="elegans"),AR95/0.0022,IF($M95="elegans",AR95/0.0006))</f>
        <v>0.84218093596936</v>
      </c>
      <c r="AT95" s="45" t="n">
        <f aca="false">Y95-AB95</f>
        <v>2.94453968566667</v>
      </c>
      <c r="AU95" s="45" t="n">
        <f aca="false">SQRT((AA95^2)+(AD95^2))</f>
        <v>0.201190898844301</v>
      </c>
      <c r="AV95" s="46" t="n">
        <f aca="false">IF(NOT($M95="elegans"),(0.045461+0.0044*((AT95))),IF($M95="elegans",(0.053337+0.0012*((AT95)))))</f>
        <v>0.0584169746169333</v>
      </c>
      <c r="AW95" s="46" t="n">
        <f aca="false">IF(NOT($M95="elegans"),(0.0044*((AU95))),IF($M95="elegans",(0.0012*((AU95)))))</f>
        <v>0.000885239954914925</v>
      </c>
      <c r="AX95" s="46" t="n">
        <f aca="false">SQRT(AV95)</f>
        <v>0.24169603765253</v>
      </c>
      <c r="AY95" s="46" t="n">
        <f aca="false">AX95*(0.5*(AW95/AV95))</f>
        <v>0.00183130837293157</v>
      </c>
      <c r="AZ95" s="46" t="n">
        <f aca="false">IF(NOT($M95="elegans"),AY95/0.0022,IF($M95="elegans",AY95/0.0006))</f>
        <v>0.832412896787077</v>
      </c>
      <c r="BA95" s="30"/>
      <c r="BB95" s="30"/>
      <c r="BC95" s="30"/>
      <c r="BD95" s="31" t="n">
        <f aca="false">AL95</f>
        <v>1.50180106703169</v>
      </c>
      <c r="BE95" s="31" t="n">
        <f aca="false">AS95</f>
        <v>0.84218093596936</v>
      </c>
      <c r="BF95" s="31" t="n">
        <f aca="false">AZ95</f>
        <v>0.832412896787077</v>
      </c>
      <c r="BG95" s="14" t="n">
        <f aca="false">10^6/((BA95+273.15)^2)</f>
        <v>13.4028633676256</v>
      </c>
      <c r="BH95" s="14" t="n">
        <f aca="false">BG95*(2*($BE95/($BD95+273.15)))</f>
        <v>0.0821959730230313</v>
      </c>
      <c r="BI95" s="14" t="n">
        <f aca="false">BG95*(2*($BF95/($BD95+273.15)))</f>
        <v>0.0812426226789147</v>
      </c>
      <c r="BK95" s="14" t="n">
        <f aca="false">10^6/((AG95+273.15)^2)</f>
        <v>13.1674660101009</v>
      </c>
      <c r="BL95" s="14" t="n">
        <f aca="false">BK95*(2*($AH95/($AG95+273.15)))</f>
        <v>0.00368619712504165</v>
      </c>
      <c r="BM95" s="14" t="n">
        <f aca="false">10^6/((AI95+273.15)^2)</f>
        <v>13.1674660101009</v>
      </c>
      <c r="BN95" s="14" t="n">
        <f aca="false">BM95*(2*($AJ95/($AI95+273.15)))</f>
        <v>0.00368619712504165</v>
      </c>
    </row>
    <row r="96" s="14" customFormat="true" ht="16" hidden="false" customHeight="false" outlineLevel="0" collapsed="false">
      <c r="A96" s="22" t="s">
        <v>166</v>
      </c>
      <c r="B96" s="56" t="s">
        <v>360</v>
      </c>
      <c r="C96" s="14" t="s">
        <v>53</v>
      </c>
      <c r="D96" s="51" t="s">
        <v>361</v>
      </c>
      <c r="E96" s="24" t="s">
        <v>362</v>
      </c>
      <c r="F96" s="57" t="n">
        <v>5.4547</v>
      </c>
      <c r="G96" s="53" t="n">
        <v>-21.144</v>
      </c>
      <c r="H96" s="22" t="s">
        <v>78</v>
      </c>
      <c r="I96" s="22" t="s">
        <v>359</v>
      </c>
      <c r="J96" s="22" t="n">
        <v>3160</v>
      </c>
      <c r="K96" s="22" t="s">
        <v>166</v>
      </c>
      <c r="L96" s="22" t="s">
        <v>166</v>
      </c>
      <c r="M96" s="22"/>
      <c r="N96" s="22" t="n">
        <v>3160</v>
      </c>
      <c r="O96" s="22" t="s">
        <v>172</v>
      </c>
      <c r="P96" s="22" t="s">
        <v>172</v>
      </c>
      <c r="Q96" s="22" t="n">
        <v>2</v>
      </c>
      <c r="R96" s="25" t="s">
        <v>234</v>
      </c>
      <c r="S96" s="25" t="n">
        <v>34.91</v>
      </c>
      <c r="T96" s="22" t="n">
        <v>24.408464</v>
      </c>
      <c r="U96" s="58" t="n">
        <v>6</v>
      </c>
      <c r="V96" s="56" t="n">
        <v>0.96</v>
      </c>
      <c r="W96" s="56" t="n">
        <v>0.0154919333848297</v>
      </c>
      <c r="X96" s="14" t="n">
        <f aca="false">W96/SQRT(U96)</f>
        <v>0.00632455532033676</v>
      </c>
      <c r="Y96" s="27" t="n">
        <v>3.15666666666667</v>
      </c>
      <c r="Z96" s="42" t="n">
        <v>0.0445720390678582</v>
      </c>
      <c r="AA96" s="27" t="n">
        <f aca="false">Z96/SQRT(U96)</f>
        <v>0.0181964587519416</v>
      </c>
      <c r="AB96" s="27" t="n">
        <v>0.218226655</v>
      </c>
      <c r="AC96" s="27" t="n">
        <v>0.2</v>
      </c>
      <c r="AD96" s="27" t="n">
        <v>0.2</v>
      </c>
      <c r="AE96" s="43" t="n">
        <v>0.659333333333333</v>
      </c>
      <c r="AF96" s="43" t="n">
        <v>0.00656082650619909</v>
      </c>
      <c r="AG96" s="29" t="n">
        <v>2.56100034713745</v>
      </c>
      <c r="AH96" s="55" t="n">
        <v>0.0721398255519682</v>
      </c>
      <c r="AI96" s="44" t="n">
        <v>2.56100034713745</v>
      </c>
      <c r="AJ96" s="44" t="n">
        <v>0.0721398255519682</v>
      </c>
      <c r="AK96" s="27" t="s">
        <v>63</v>
      </c>
      <c r="AL96" s="14" t="n">
        <f aca="false">IF(AND(O96="Benthic, infaunal",M96="elegans"),(0.243-SQRT(((Y96)-(AB96))*0.0012+0.053337))/0.0006,IF(O96="Benthic",(0.245-SQRT(((Y96)-(AB96))*0.0044+0.045461))/0.0022,IF(O96="Benthic, infaunal",(0.245-(SQRT(0.045461+0.0044*((Y96-0.47)-(AB96)))))/0.0022,IF(O96="Benthic, epifaunal",(0.245-SQRT(((Y96)-(AB96))*0.0044+0.045461))/0.0022))))</f>
        <v>1.52704092952581</v>
      </c>
      <c r="AM96" s="45" t="n">
        <f aca="false">Y96-AB96</f>
        <v>2.93844001166667</v>
      </c>
      <c r="AN96" s="45" t="n">
        <f aca="false">SQRT((Z96^2)+(AC96^2))</f>
        <v>0.204906482734604</v>
      </c>
      <c r="AO96" s="46" t="n">
        <f aca="false">IF(NOT($M96="elegans"),(0.045461+0.0044*((AM96))),IF($M96="elegans",(0.053337+0.0012*((AM96)))))</f>
        <v>0.0583901360513333</v>
      </c>
      <c r="AP96" s="46" t="n">
        <f aca="false">IF(NOT($M96="elegans"),(0.0044*((AN96))),IF($M96="elegans",(0.0012*((AN96)))))</f>
        <v>0.000901588524032259</v>
      </c>
      <c r="AQ96" s="46" t="n">
        <f aca="false">SQRT(AO96)</f>
        <v>0.241640509955043</v>
      </c>
      <c r="AR96" s="46" t="n">
        <f aca="false">AQ96*(0.5*(AP96/AO96))</f>
        <v>0.00186555748495978</v>
      </c>
      <c r="AS96" s="46" t="n">
        <f aca="false">IF(NOT($M96="elegans"),AR96/0.0022,IF($M96="elegans",AR96/0.0006))</f>
        <v>0.847980674981719</v>
      </c>
      <c r="AT96" s="45" t="n">
        <f aca="false">Y96-AB96</f>
        <v>2.93844001166667</v>
      </c>
      <c r="AU96" s="45" t="n">
        <f aca="false">SQRT((AA96^2)+(AD96^2))</f>
        <v>0.200826071791267</v>
      </c>
      <c r="AV96" s="46" t="n">
        <f aca="false">IF(NOT($M96="elegans"),(0.045461+0.0044*((AT96))),IF($M96="elegans",(0.053337+0.0012*((AT96)))))</f>
        <v>0.0583901360513333</v>
      </c>
      <c r="AW96" s="46" t="n">
        <f aca="false">IF(NOT($M96="elegans"),(0.0044*((AU96))),IF($M96="elegans",(0.0012*((AU96)))))</f>
        <v>0.000883634715881575</v>
      </c>
      <c r="AX96" s="46" t="n">
        <f aca="false">SQRT(AV96)</f>
        <v>0.241640509955043</v>
      </c>
      <c r="AY96" s="46" t="n">
        <f aca="false">AX96*(0.5*(AW96/AV96))</f>
        <v>0.00182840765409321</v>
      </c>
      <c r="AZ96" s="46" t="n">
        <f aca="false">IF(NOT($M96="elegans"),AY96/0.0022,IF($M96="elegans",AY96/0.0006))</f>
        <v>0.831094388224186</v>
      </c>
      <c r="BD96" s="31" t="n">
        <f aca="false">AL96</f>
        <v>1.52704092952581</v>
      </c>
      <c r="BE96" s="31" t="n">
        <f aca="false">AS96</f>
        <v>0.847980674981719</v>
      </c>
      <c r="BF96" s="31" t="n">
        <f aca="false">AZ96</f>
        <v>0.831094388224186</v>
      </c>
      <c r="BG96" s="14" t="n">
        <f aca="false">10^6/((BD96+273.15)^2)</f>
        <v>13.254253717032</v>
      </c>
      <c r="BH96" s="14" t="n">
        <f aca="false">BG96*(2*($BE96/($BD96+273.15)))</f>
        <v>0.0818368435549839</v>
      </c>
      <c r="BI96" s="14" t="n">
        <f aca="false">BG96*(2*($BF96/($BD96+273.15)))</f>
        <v>0.0802071832945887</v>
      </c>
      <c r="BK96" s="14" t="n">
        <f aca="false">10^6/((AG96+273.15)^2)</f>
        <v>13.1550290673933</v>
      </c>
      <c r="BL96" s="14" t="n">
        <f aca="false">BK96*(2*($AH96/($AG96+273.15)))</f>
        <v>0.00688403074855899</v>
      </c>
      <c r="BM96" s="14" t="n">
        <f aca="false">10^6/((AI96+273.15)^2)</f>
        <v>13.1550290673933</v>
      </c>
      <c r="BN96" s="14" t="n">
        <f aca="false">BM96*(2*($AJ96/($AI96+273.15)))</f>
        <v>0.00688403074855899</v>
      </c>
    </row>
    <row r="97" s="14" customFormat="true" ht="16" hidden="false" customHeight="false" outlineLevel="0" collapsed="false">
      <c r="A97" s="22" t="s">
        <v>166</v>
      </c>
      <c r="B97" s="56" t="s">
        <v>363</v>
      </c>
      <c r="C97" s="14" t="s">
        <v>53</v>
      </c>
      <c r="D97" s="51" t="s">
        <v>364</v>
      </c>
      <c r="E97" s="24" t="s">
        <v>365</v>
      </c>
      <c r="F97" s="57" t="n">
        <v>4.2333</v>
      </c>
      <c r="G97" s="53" t="n">
        <v>-20.6263</v>
      </c>
      <c r="H97" s="22" t="s">
        <v>78</v>
      </c>
      <c r="I97" s="22" t="s">
        <v>359</v>
      </c>
      <c r="J97" s="22" t="n">
        <v>3792</v>
      </c>
      <c r="K97" s="22" t="s">
        <v>166</v>
      </c>
      <c r="L97" s="22" t="s">
        <v>166</v>
      </c>
      <c r="M97" s="22"/>
      <c r="N97" s="22" t="n">
        <v>3792</v>
      </c>
      <c r="O97" s="22" t="s">
        <v>172</v>
      </c>
      <c r="P97" s="22" t="s">
        <v>172</v>
      </c>
      <c r="Q97" s="22" t="n">
        <v>2</v>
      </c>
      <c r="R97" s="25" t="s">
        <v>234</v>
      </c>
      <c r="S97" s="25" t="n">
        <v>34.89</v>
      </c>
      <c r="T97" s="22" t="n">
        <v>12.39432</v>
      </c>
      <c r="U97" s="58" t="n">
        <v>6</v>
      </c>
      <c r="V97" s="56" t="n">
        <v>0.965</v>
      </c>
      <c r="W97" s="56" t="n">
        <v>0.0266458251889484</v>
      </c>
      <c r="X97" s="14" t="n">
        <f aca="false">W97/SQRT(U97)</f>
        <v>0.0108781125813871</v>
      </c>
      <c r="Y97" s="27" t="n">
        <v>3.08833333333333</v>
      </c>
      <c r="Z97" s="42" t="n">
        <v>0.0376386326354541</v>
      </c>
      <c r="AA97" s="27" t="n">
        <f aca="false">Z97/SQRT(U97)</f>
        <v>0.0153659074288215</v>
      </c>
      <c r="AB97" s="27" t="n">
        <v>0.207677023</v>
      </c>
      <c r="AC97" s="27" t="n">
        <v>0.2</v>
      </c>
      <c r="AD97" s="27" t="n">
        <v>0.2</v>
      </c>
      <c r="AE97" s="43" t="n">
        <v>0.663166666666667</v>
      </c>
      <c r="AF97" s="43" t="n">
        <v>0.0114263341064014</v>
      </c>
      <c r="AG97" s="29" t="n">
        <v>2.39804148674011</v>
      </c>
      <c r="AH97" s="55" t="n">
        <v>0.11418730793803</v>
      </c>
      <c r="AI97" s="44" t="n">
        <v>2.39804148674011</v>
      </c>
      <c r="AJ97" s="44" t="n">
        <v>0.11418730793803</v>
      </c>
      <c r="AK97" s="27" t="s">
        <v>63</v>
      </c>
      <c r="AL97" s="14" t="n">
        <f aca="false">IF(AND(O97="Benthic, infaunal",M97="elegans"),(0.243-SQRT(((Y97)-(AB97))*0.0012+0.053337))/0.0006,IF(O97="Benthic",(0.245-SQRT(((Y97)-(AB97))*0.0044+0.045461))/0.0022,IF(O97="Benthic, infaunal",(0.245-(SQRT(0.045461+0.0044*((Y97-0.47)-(AB97)))))/0.0022,IF(O97="Benthic, epifaunal",(0.245-SQRT(((Y97)-(AB97))*0.0044+0.045461))/0.0022))))</f>
        <v>1.76643266308241</v>
      </c>
      <c r="AM97" s="45" t="n">
        <f aca="false">Y97-AB97</f>
        <v>2.88065631033333</v>
      </c>
      <c r="AN97" s="45" t="n">
        <f aca="false">SQRT((Z97^2)+(AC97^2))</f>
        <v>0.203510851471529</v>
      </c>
      <c r="AO97" s="46" t="n">
        <f aca="false">IF(NOT($M97="elegans"),(0.045461+0.0044*((AM97))),IF($M97="elegans",(0.053337+0.0012*((AM97)))))</f>
        <v>0.0581358877654667</v>
      </c>
      <c r="AP97" s="46" t="n">
        <f aca="false">IF(NOT($M97="elegans"),(0.0044*((AN97))),IF($M97="elegans",(0.0012*((AN97)))))</f>
        <v>0.000895447746474727</v>
      </c>
      <c r="AQ97" s="46" t="n">
        <f aca="false">SQRT(AO97)</f>
        <v>0.241113848141219</v>
      </c>
      <c r="AR97" s="46" t="n">
        <f aca="false">AQ97*(0.5*(AP97/AO97))</f>
        <v>0.00185689821090299</v>
      </c>
      <c r="AS97" s="46" t="n">
        <f aca="false">IF(NOT($M97="elegans"),AR97/0.0022,IF($M97="elegans",AR97/0.0006))</f>
        <v>0.84404464131954</v>
      </c>
      <c r="AT97" s="45" t="n">
        <f aca="false">Y97-AB97</f>
        <v>2.88065631033333</v>
      </c>
      <c r="AU97" s="45" t="n">
        <f aca="false">SQRT((AA97^2)+(AD97^2))</f>
        <v>0.20058940926956</v>
      </c>
      <c r="AV97" s="46" t="n">
        <f aca="false">IF(NOT($M97="elegans"),(0.045461+0.0044*((AT97))),IF($M97="elegans",(0.053337+0.0012*((AT97)))))</f>
        <v>0.0581358877654667</v>
      </c>
      <c r="AW97" s="46" t="n">
        <f aca="false">IF(NOT($M97="elegans"),(0.0044*((AU97))),IF($M97="elegans",(0.0012*((AU97)))))</f>
        <v>0.000882593400786065</v>
      </c>
      <c r="AX97" s="46" t="n">
        <f aca="false">SQRT(AV97)</f>
        <v>0.241113848141219</v>
      </c>
      <c r="AY97" s="46" t="n">
        <f aca="false">AX97*(0.5*(AW97/AV97))</f>
        <v>0.00183024203626234</v>
      </c>
      <c r="AZ97" s="46" t="n">
        <f aca="false">IF(NOT($M97="elegans"),AY97/0.0022,IF($M97="elegans",AY97/0.0006))</f>
        <v>0.831928198301063</v>
      </c>
      <c r="BD97" s="31" t="n">
        <f aca="false">AL97</f>
        <v>1.76643266308241</v>
      </c>
      <c r="BE97" s="31" t="n">
        <f aca="false">AS97</f>
        <v>0.84404464131954</v>
      </c>
      <c r="BF97" s="31" t="n">
        <f aca="false">AZ97</f>
        <v>0.831928198301063</v>
      </c>
      <c r="BG97" s="14" t="n">
        <f aca="false">10^6/((BD97+273.15)^2)</f>
        <v>13.2311806888462</v>
      </c>
      <c r="BH97" s="14" t="n">
        <f aca="false">BG97*(2*($BE97/($BD97+273.15)))</f>
        <v>0.0812443770681221</v>
      </c>
      <c r="BI97" s="14" t="n">
        <f aca="false">BG97*(2*($BF97/($BD97+273.15)))</f>
        <v>0.0800780964982004</v>
      </c>
      <c r="BK97" s="14" t="n">
        <f aca="false">10^6/((AG97+273.15)^2)</f>
        <v>13.1705934127852</v>
      </c>
      <c r="BL97" s="14" t="n">
        <f aca="false">BK97*(2*($AH97/($AG97+273.15)))</f>
        <v>0.0109158068962335</v>
      </c>
      <c r="BM97" s="14" t="n">
        <f aca="false">10^6/((AI97+273.15)^2)</f>
        <v>13.1705934127852</v>
      </c>
      <c r="BN97" s="14" t="n">
        <f aca="false">BM97*(2*($AJ97/($AI97+273.15)))</f>
        <v>0.0109158068962335</v>
      </c>
    </row>
    <row r="98" s="14" customFormat="true" ht="16" hidden="false" customHeight="false" outlineLevel="0" collapsed="false">
      <c r="A98" s="22" t="s">
        <v>166</v>
      </c>
      <c r="B98" s="56" t="s">
        <v>366</v>
      </c>
      <c r="C98" s="14" t="s">
        <v>53</v>
      </c>
      <c r="D98" s="51" t="s">
        <v>367</v>
      </c>
      <c r="E98" s="24" t="s">
        <v>368</v>
      </c>
      <c r="F98" s="52" t="n">
        <v>4.9198</v>
      </c>
      <c r="G98" s="52" t="n">
        <v>-20.499</v>
      </c>
      <c r="H98" s="22" t="s">
        <v>78</v>
      </c>
      <c r="I98" s="22" t="s">
        <v>359</v>
      </c>
      <c r="J98" s="22" t="n">
        <v>2937</v>
      </c>
      <c r="K98" s="22" t="s">
        <v>166</v>
      </c>
      <c r="L98" s="22" t="s">
        <v>166</v>
      </c>
      <c r="M98" s="22"/>
      <c r="N98" s="22" t="n">
        <v>2937</v>
      </c>
      <c r="O98" s="22" t="s">
        <v>172</v>
      </c>
      <c r="P98" s="22" t="s">
        <v>172</v>
      </c>
      <c r="Q98" s="22" t="n">
        <v>2</v>
      </c>
      <c r="R98" s="25" t="s">
        <v>234</v>
      </c>
      <c r="S98" s="25" t="n">
        <v>34.91</v>
      </c>
      <c r="T98" s="22" t="n">
        <v>28.3941887550201</v>
      </c>
      <c r="U98" s="58" t="n">
        <v>6</v>
      </c>
      <c r="V98" s="56" t="n">
        <v>0.925</v>
      </c>
      <c r="W98" s="56" t="n">
        <v>0.017606816861659</v>
      </c>
      <c r="X98" s="14" t="n">
        <f aca="false">W98/SQRT(U98)</f>
        <v>0.00718795288428259</v>
      </c>
      <c r="Y98" s="27" t="n">
        <v>3.20333333333333</v>
      </c>
      <c r="Z98" s="42" t="n">
        <v>0.0338624669312008</v>
      </c>
      <c r="AA98" s="27" t="n">
        <f aca="false">Z98/SQRT(U98)</f>
        <v>0.0138242942355518</v>
      </c>
      <c r="AB98" s="27" t="n">
        <v>0.222318113</v>
      </c>
      <c r="AC98" s="27" t="n">
        <v>0.2</v>
      </c>
      <c r="AD98" s="27" t="n">
        <v>0.2</v>
      </c>
      <c r="AE98" s="43" t="n">
        <v>0.6635</v>
      </c>
      <c r="AF98" s="43" t="n">
        <v>0.0107385598041202</v>
      </c>
      <c r="AG98" s="29" t="n">
        <v>2.66815428733826</v>
      </c>
      <c r="AH98" s="55" t="n">
        <v>0.0556307156697254</v>
      </c>
      <c r="AI98" s="44" t="n">
        <v>2.66815428733826</v>
      </c>
      <c r="AJ98" s="44" t="n">
        <v>0.0556307156697254</v>
      </c>
      <c r="AK98" s="27" t="s">
        <v>63</v>
      </c>
      <c r="AL98" s="14" t="n">
        <f aca="false">IF(AND(O98="Benthic, infaunal",M98="elegans"),(0.243-SQRT(((Y98)-(AB98))*0.0012+0.053337))/0.0006,IF(O98="Benthic",(0.245-SQRT(((Y98)-(AB98))*0.0044+0.045461))/0.0022,IF(O98="Benthic, infaunal",(0.245-(SQRT(0.045461+0.0044*((Y98-0.47)-(AB98)))))/0.0022,IF(O98="Benthic, epifaunal",(0.245-SQRT(((Y98)-(AB98))*0.0044+0.045461))/0.0022))))</f>
        <v>1.35098967377625</v>
      </c>
      <c r="AM98" s="45" t="n">
        <f aca="false">Y98-AB98</f>
        <v>2.98101522033333</v>
      </c>
      <c r="AN98" s="45" t="n">
        <f aca="false">SQRT((Z98^2)+(AC98^2))</f>
        <v>0.202846411520309</v>
      </c>
      <c r="AO98" s="46" t="n">
        <f aca="false">IF(NOT($M98="elegans"),(0.045461+0.0044*((AM98))),IF($M98="elegans",(0.053337+0.0012*((AM98)))))</f>
        <v>0.0585774669694667</v>
      </c>
      <c r="AP98" s="46" t="n">
        <f aca="false">IF(NOT($M98="elegans"),(0.0044*((AN98))),IF($M98="elegans",(0.0012*((AN98)))))</f>
        <v>0.000892524210689361</v>
      </c>
      <c r="AQ98" s="46" t="n">
        <f aca="false">SQRT(AO98)</f>
        <v>0.242027822717692</v>
      </c>
      <c r="AR98" s="46" t="n">
        <f aca="false">AQ98*(0.5*(AP98/AO98))</f>
        <v>0.00184384629970916</v>
      </c>
      <c r="AS98" s="46" t="n">
        <f aca="false">IF(NOT($M98="elegans"),AR98/0.0022,IF($M98="elegans",AR98/0.0006))</f>
        <v>0.838111954413253</v>
      </c>
      <c r="AT98" s="45" t="n">
        <f aca="false">Y98-AB98</f>
        <v>2.98101522033333</v>
      </c>
      <c r="AU98" s="45" t="n">
        <f aca="false">SQRT((AA98^2)+(AD98^2))</f>
        <v>0.200477208457997</v>
      </c>
      <c r="AV98" s="46" t="n">
        <f aca="false">IF(NOT($M98="elegans"),(0.045461+0.0044*((AT98))),IF($M98="elegans",(0.053337+0.0012*((AT98)))))</f>
        <v>0.0585774669694667</v>
      </c>
      <c r="AW98" s="46" t="n">
        <f aca="false">IF(NOT($M98="elegans"),(0.0044*((AU98))),IF($M98="elegans",(0.0012*((AU98)))))</f>
        <v>0.000882099717215186</v>
      </c>
      <c r="AX98" s="46" t="n">
        <f aca="false">SQRT(AV98)</f>
        <v>0.242027822717692</v>
      </c>
      <c r="AY98" s="46" t="n">
        <f aca="false">AX98*(0.5*(AW98/AV98))</f>
        <v>0.00182231056601309</v>
      </c>
      <c r="AZ98" s="46" t="n">
        <f aca="false">IF(NOT($M98="elegans"),AY98/0.0022,IF($M98="elegans",AY98/0.0006))</f>
        <v>0.828322984551404</v>
      </c>
      <c r="BD98" s="31" t="n">
        <f aca="false">AL98</f>
        <v>1.35098967377625</v>
      </c>
      <c r="BE98" s="31" t="n">
        <f aca="false">AS98</f>
        <v>0.838111954413253</v>
      </c>
      <c r="BF98" s="31" t="n">
        <f aca="false">AZ98</f>
        <v>0.828322984551404</v>
      </c>
      <c r="BG98" s="14" t="n">
        <f aca="false">10^6/((BD98+273.15)^2)</f>
        <v>13.2712604045919</v>
      </c>
      <c r="BH98" s="14" t="n">
        <f aca="false">BG98*(2*($BE98/($BD98+273.15)))</f>
        <v>0.0810401595159153</v>
      </c>
      <c r="BI98" s="14" t="n">
        <f aca="false">BG98*(2*($BF98/($BD98+273.15)))</f>
        <v>0.0800936276415953</v>
      </c>
      <c r="BK98" s="14" t="n">
        <f aca="false">10^6/((AG98+273.15)^2)</f>
        <v>13.1448097300338</v>
      </c>
      <c r="BL98" s="14" t="n">
        <f aca="false">BK98*(2*($AH98/($AG98+273.15)))</f>
        <v>0.00530244410135783</v>
      </c>
      <c r="BM98" s="14" t="n">
        <f aca="false">10^6/((AI98+273.15)^2)</f>
        <v>13.1448097300338</v>
      </c>
      <c r="BN98" s="14" t="n">
        <f aca="false">BM98*(2*($AJ98/($AI98+273.15)))</f>
        <v>0.00530244410135783</v>
      </c>
    </row>
    <row r="99" s="14" customFormat="true" ht="16" hidden="false" customHeight="false" outlineLevel="0" collapsed="false">
      <c r="A99" s="22" t="s">
        <v>166</v>
      </c>
      <c r="B99" s="56" t="s">
        <v>369</v>
      </c>
      <c r="C99" s="14" t="s">
        <v>53</v>
      </c>
      <c r="D99" s="51" t="s">
        <v>370</v>
      </c>
      <c r="E99" s="24" t="s">
        <v>371</v>
      </c>
      <c r="F99" s="52" t="n">
        <v>5.4183</v>
      </c>
      <c r="G99" s="52" t="n">
        <v>-22.6995</v>
      </c>
      <c r="H99" s="22" t="s">
        <v>78</v>
      </c>
      <c r="I99" s="22" t="s">
        <v>359</v>
      </c>
      <c r="J99" s="22" t="n">
        <v>4263</v>
      </c>
      <c r="K99" s="22" t="s">
        <v>166</v>
      </c>
      <c r="L99" s="22" t="s">
        <v>166</v>
      </c>
      <c r="M99" s="22"/>
      <c r="N99" s="22" t="n">
        <v>4263</v>
      </c>
      <c r="O99" s="22" t="s">
        <v>172</v>
      </c>
      <c r="P99" s="22" t="s">
        <v>172</v>
      </c>
      <c r="Q99" s="22" t="n">
        <v>2</v>
      </c>
      <c r="R99" s="25" t="s">
        <v>234</v>
      </c>
      <c r="S99" s="25" t="n">
        <v>34.88</v>
      </c>
      <c r="T99" s="22" t="n">
        <v>2.87303090727817</v>
      </c>
      <c r="U99" s="58" t="n">
        <v>3</v>
      </c>
      <c r="V99" s="56" t="n">
        <v>0.856666666666666</v>
      </c>
      <c r="W99" s="56" t="n">
        <v>0.00577350269189626</v>
      </c>
      <c r="X99" s="14" t="n">
        <f aca="false">W99/SQRT(U99)</f>
        <v>0.00333333333333334</v>
      </c>
      <c r="Y99" s="27" t="n">
        <v>3.08333333333333</v>
      </c>
      <c r="Z99" s="42" t="n">
        <v>0.0230940107675851</v>
      </c>
      <c r="AA99" s="27" t="n">
        <f aca="false">Z99/SQRT(U99)</f>
        <v>0.0133333333333333</v>
      </c>
      <c r="AB99" s="27" t="n">
        <v>0.200590952</v>
      </c>
      <c r="AC99" s="27" t="n">
        <v>0.2</v>
      </c>
      <c r="AD99" s="27" t="n">
        <v>0.2</v>
      </c>
      <c r="AE99" s="43" t="n">
        <v>0.644333333333333</v>
      </c>
      <c r="AF99" s="43" t="n">
        <v>0.00635959467611298</v>
      </c>
      <c r="AG99" s="29" t="n">
        <v>2.34999990463257</v>
      </c>
      <c r="AH99" s="55" t="n">
        <v>0.0235839333035983</v>
      </c>
      <c r="AI99" s="44" t="n">
        <v>2.34999990463257</v>
      </c>
      <c r="AJ99" s="44" t="n">
        <v>0.0235839333035983</v>
      </c>
      <c r="AK99" s="27" t="s">
        <v>63</v>
      </c>
      <c r="AL99" s="14" t="n">
        <f aca="false">IF(AND(O99="Benthic, infaunal",M99="elegans"),(0.243-SQRT(((Y99)-(AB99))*0.0012+0.053337))/0.0006,IF(O99="Benthic",(0.245-SQRT(((Y99)-(AB99))*0.0044+0.045461))/0.0022,IF(O99="Benthic, infaunal",(0.245-(SQRT(0.045461+0.0044*((Y99-0.47)-(AB99)))))/0.0022,IF(O99="Benthic, epifaunal",(0.245-SQRT(((Y99)-(AB99))*0.0044+0.045461))/0.0022))))</f>
        <v>1.75778119539028</v>
      </c>
      <c r="AM99" s="45" t="n">
        <f aca="false">Y99-AB99</f>
        <v>2.88274238133333</v>
      </c>
      <c r="AN99" s="45" t="n">
        <f aca="false">SQRT((Z99^2)+(AC99^2))</f>
        <v>0.201328918273887</v>
      </c>
      <c r="AO99" s="46" t="n">
        <f aca="false">IF(NOT($M99="elegans"),(0.045461+0.0044*((AM99))),IF($M99="elegans",(0.053337+0.0012*((AM99)))))</f>
        <v>0.0581450664778667</v>
      </c>
      <c r="AP99" s="46" t="n">
        <f aca="false">IF(NOT($M99="elegans"),(0.0044*((AN99))),IF($M99="elegans",(0.0012*((AN99)))))</f>
        <v>0.000885847240405101</v>
      </c>
      <c r="AQ99" s="46" t="n">
        <f aca="false">SQRT(AO99)</f>
        <v>0.241132881370141</v>
      </c>
      <c r="AR99" s="46" t="n">
        <f aca="false">AQ99*(0.5*(AP99/AO99))</f>
        <v>0.00183684455510926</v>
      </c>
      <c r="AS99" s="46" t="n">
        <f aca="false">IF(NOT($M99="elegans"),AR99/0.0022,IF($M99="elegans",AR99/0.0006))</f>
        <v>0.834929343231481</v>
      </c>
      <c r="AT99" s="45" t="n">
        <f aca="false">Y99-AB99</f>
        <v>2.88274238133333</v>
      </c>
      <c r="AU99" s="45" t="n">
        <f aca="false">SQRT((AA99^2)+(AD99^2))</f>
        <v>0.200443951711639</v>
      </c>
      <c r="AV99" s="46" t="n">
        <f aca="false">IF(NOT($M99="elegans"),(0.045461+0.0044*((AT99))),IF($M99="elegans",(0.053337+0.0012*((AT99)))))</f>
        <v>0.0581450664778667</v>
      </c>
      <c r="AW99" s="46" t="n">
        <f aca="false">IF(NOT($M99="elegans"),(0.0044*((AU99))),IF($M99="elegans",(0.0012*((AU99)))))</f>
        <v>0.000881953387531211</v>
      </c>
      <c r="AX99" s="46" t="n">
        <f aca="false">SQRT(AV99)</f>
        <v>0.241132881370141</v>
      </c>
      <c r="AY99" s="46" t="n">
        <f aca="false">AX99*(0.5*(AW99/AV99))</f>
        <v>0.00182877047402217</v>
      </c>
      <c r="AZ99" s="46" t="n">
        <f aca="false">IF(NOT($M99="elegans"),AY99/0.0022,IF($M99="elegans",AY99/0.0006))</f>
        <v>0.831259306373714</v>
      </c>
      <c r="BD99" s="31" t="n">
        <f aca="false">AL99</f>
        <v>1.75778119539028</v>
      </c>
      <c r="BE99" s="31" t="n">
        <f aca="false">AS99</f>
        <v>0.834929343231481</v>
      </c>
      <c r="BF99" s="31" t="n">
        <f aca="false">AZ99</f>
        <v>0.831259306373714</v>
      </c>
      <c r="BG99" s="14" t="n">
        <f aca="false">10^6/((BD99+273.15)^2)</f>
        <v>13.2320134839963</v>
      </c>
      <c r="BH99" s="14" t="n">
        <f aca="false">BG99*(2*($BE99/($BD99+273.15)))</f>
        <v>0.0803745625517305</v>
      </c>
      <c r="BI99" s="14" t="n">
        <f aca="false">BG99*(2*($BF99/($BD99+273.15)))</f>
        <v>0.0800212660609759</v>
      </c>
      <c r="BK99" s="14" t="n">
        <f aca="false">10^6/((AG99+273.15)^2)</f>
        <v>13.1751871791242</v>
      </c>
      <c r="BL99" s="14" t="n">
        <f aca="false">BK99*(2*($AH99/($AG99+273.15)))</f>
        <v>0.00225570044139709</v>
      </c>
      <c r="BM99" s="14" t="n">
        <f aca="false">10^6/((AI99+273.15)^2)</f>
        <v>13.1751871791242</v>
      </c>
      <c r="BN99" s="14" t="n">
        <f aca="false">BM99*(2*($AJ99/($AI99+273.15)))</f>
        <v>0.00225570044139709</v>
      </c>
    </row>
    <row r="100" s="14" customFormat="true" ht="16" hidden="false" customHeight="false" outlineLevel="0" collapsed="false">
      <c r="A100" s="22" t="s">
        <v>372</v>
      </c>
      <c r="B100" s="56" t="s">
        <v>373</v>
      </c>
      <c r="C100" s="14" t="s">
        <v>53</v>
      </c>
      <c r="D100" s="51" t="s">
        <v>374</v>
      </c>
      <c r="E100" s="24" t="s">
        <v>358</v>
      </c>
      <c r="F100" s="57" t="n">
        <v>6.640667</v>
      </c>
      <c r="G100" s="53" t="n">
        <v>-21.897333</v>
      </c>
      <c r="H100" s="22" t="s">
        <v>78</v>
      </c>
      <c r="I100" s="22" t="s">
        <v>359</v>
      </c>
      <c r="J100" s="22" t="n">
        <v>3527</v>
      </c>
      <c r="K100" s="22" t="s">
        <v>372</v>
      </c>
      <c r="L100" s="22" t="s">
        <v>372</v>
      </c>
      <c r="M100" s="22"/>
      <c r="N100" s="22" t="n">
        <v>3527</v>
      </c>
      <c r="O100" s="22" t="s">
        <v>375</v>
      </c>
      <c r="P100" s="22" t="s">
        <v>375</v>
      </c>
      <c r="Q100" s="22" t="n">
        <v>6</v>
      </c>
      <c r="R100" s="25" t="s">
        <v>234</v>
      </c>
      <c r="S100" s="25" t="n">
        <v>34.93</v>
      </c>
      <c r="T100" s="22" t="n">
        <v>17.7187</v>
      </c>
      <c r="U100" s="58" t="n">
        <v>5</v>
      </c>
      <c r="V100" s="56" t="n">
        <v>-0.072</v>
      </c>
      <c r="W100" s="56" t="n">
        <v>0.11144505372604</v>
      </c>
      <c r="X100" s="14" t="n">
        <f aca="false">W100/SQRT(U100)</f>
        <v>0.0498397431775085</v>
      </c>
      <c r="Y100" s="27" t="n">
        <v>3.556</v>
      </c>
      <c r="Z100" s="42" t="n">
        <v>0.0665582451691749</v>
      </c>
      <c r="AA100" s="27" t="n">
        <f aca="false">Z100/SQRT(U100)</f>
        <v>0.0297657521322744</v>
      </c>
      <c r="AB100" s="27" t="n">
        <v>0.212126981</v>
      </c>
      <c r="AC100" s="27" t="n">
        <v>0.2</v>
      </c>
      <c r="AD100" s="27" t="n">
        <v>0.2</v>
      </c>
      <c r="AE100" s="43" t="n">
        <v>0.654</v>
      </c>
      <c r="AF100" s="43" t="n">
        <v>0.00375499667110372</v>
      </c>
      <c r="AG100" s="29" t="n">
        <v>2.43076222896576</v>
      </c>
      <c r="AH100" s="55" t="n">
        <v>0.0385740510993511</v>
      </c>
      <c r="AI100" s="44" t="n">
        <v>2.43076222896576</v>
      </c>
      <c r="AJ100" s="44" t="n">
        <v>0.0385740510993511</v>
      </c>
      <c r="AK100" s="27" t="s">
        <v>63</v>
      </c>
      <c r="AL100" s="14" t="n">
        <f aca="false">IF(AND(O100="Benthic, infaunal",M100="elegans"),(0.243-SQRT(((Y100)-(AB100))*0.0012+0.053337))/0.0006,IF(O100="Benthic",(0.245-SQRT(((Y100)-(AB100))*0.0044+0.045461))/0.0022,IF(O100="Benthic, infaunal",(0.245-(SQRT(0.045461+0.0044*((Y100-0.47)-(AB100)))))/0.0022,IF(O100="Benthic, epifaunal",(0.245-SQRT(((Y100)-(AB100))*0.0044+0.045461))/0.0022))))</f>
        <v>-0.138171504077588</v>
      </c>
      <c r="AM100" s="45" t="n">
        <f aca="false">Y100-AB100</f>
        <v>3.343873019</v>
      </c>
      <c r="AN100" s="45" t="n">
        <f aca="false">SQRT((Z100^2)+(AC100^2))</f>
        <v>0.210784249885991</v>
      </c>
      <c r="AO100" s="46" t="n">
        <f aca="false">IF(NOT($M100="elegans"),(0.045461+0.0044*((AM100))),IF($M100="elegans",(0.053337+0.0012*((AM100)))))</f>
        <v>0.0601740412836</v>
      </c>
      <c r="AP100" s="46" t="n">
        <f aca="false">IF(NOT($M100="elegans"),(0.0044*((AN100))),IF($M100="elegans",(0.0012*((AN100)))))</f>
        <v>0.000927450699498362</v>
      </c>
      <c r="AQ100" s="46" t="n">
        <f aca="false">SQRT(AO100)</f>
        <v>0.245303977308971</v>
      </c>
      <c r="AR100" s="46" t="n">
        <f aca="false">AQ100*(0.5*(AP100/AO100))</f>
        <v>0.00189041105177475</v>
      </c>
      <c r="AS100" s="46" t="n">
        <f aca="false">IF(NOT($M100="elegans"),AR100/0.0022,IF($M100="elegans",AR100/0.0006))</f>
        <v>0.859277750806705</v>
      </c>
      <c r="AT100" s="45" t="n">
        <f aca="false">Y100-AB100</f>
        <v>3.343873019</v>
      </c>
      <c r="AU100" s="45" t="n">
        <f aca="false">SQRT((AA100^2)+(AD100^2))</f>
        <v>0.202202868426736</v>
      </c>
      <c r="AV100" s="46" t="n">
        <f aca="false">IF(NOT($M100="elegans"),(0.045461+0.0044*((AT100))),IF($M100="elegans",(0.053337+0.0012*((AT100)))))</f>
        <v>0.0601740412836</v>
      </c>
      <c r="AW100" s="46" t="n">
        <f aca="false">IF(NOT($M100="elegans"),(0.0044*((AU100))),IF($M100="elegans",(0.0012*((AU100)))))</f>
        <v>0.000889692621077639</v>
      </c>
      <c r="AX100" s="46" t="n">
        <f aca="false">SQRT(AV100)</f>
        <v>0.245303977308971</v>
      </c>
      <c r="AY100" s="46" t="n">
        <f aca="false">AX100*(0.5*(AW100/AV100))</f>
        <v>0.0018134492372234</v>
      </c>
      <c r="AZ100" s="46" t="n">
        <f aca="false">IF(NOT($M100="elegans"),AY100/0.0022,IF($M100="elegans",AY100/0.0006))</f>
        <v>0.824295107828819</v>
      </c>
      <c r="BD100" s="31" t="n">
        <f aca="false">AL100</f>
        <v>-0.138171504077588</v>
      </c>
      <c r="BE100" s="31" t="n">
        <f aca="false">AS100</f>
        <v>0.859277750806705</v>
      </c>
      <c r="BF100" s="31" t="n">
        <f aca="false">AZ100</f>
        <v>0.824295107828819</v>
      </c>
      <c r="BG100" s="14" t="n">
        <f aca="false">10^6/((BD100+273.15)^2)</f>
        <v>13.4164332002817</v>
      </c>
      <c r="BH100" s="14" t="n">
        <f aca="false">BG100*(2*($BE100/($BD100+273.15)))</f>
        <v>0.084453795336993</v>
      </c>
      <c r="BI100" s="14" t="n">
        <f aca="false">BG100*(2*($BF100/($BD100+273.15)))</f>
        <v>0.0810155392345538</v>
      </c>
      <c r="BK100" s="14" t="n">
        <f aca="false">10^6/((AG100+273.15)^2)</f>
        <v>13.1674660101009</v>
      </c>
      <c r="BL100" s="14" t="n">
        <f aca="false">BK100*(2*($AH100/($AG100+273.15)))</f>
        <v>0.00368619712504165</v>
      </c>
      <c r="BM100" s="14" t="n">
        <f aca="false">10^6/((AI100+273.15)^2)</f>
        <v>13.1674660101009</v>
      </c>
      <c r="BN100" s="14" t="n">
        <f aca="false">BM100*(2*($AJ100/($AI100+273.15)))</f>
        <v>0.00368619712504165</v>
      </c>
    </row>
    <row r="101" s="14" customFormat="true" ht="16" hidden="false" customHeight="false" outlineLevel="0" collapsed="false">
      <c r="A101" s="22" t="s">
        <v>372</v>
      </c>
      <c r="B101" s="56" t="s">
        <v>376</v>
      </c>
      <c r="C101" s="14" t="s">
        <v>53</v>
      </c>
      <c r="D101" s="51" t="s">
        <v>377</v>
      </c>
      <c r="E101" s="24" t="s">
        <v>362</v>
      </c>
      <c r="F101" s="57" t="n">
        <v>5.4547</v>
      </c>
      <c r="G101" s="53" t="n">
        <v>-21.144</v>
      </c>
      <c r="H101" s="22" t="s">
        <v>78</v>
      </c>
      <c r="I101" s="22" t="s">
        <v>359</v>
      </c>
      <c r="J101" s="22" t="n">
        <v>3160</v>
      </c>
      <c r="K101" s="22" t="s">
        <v>372</v>
      </c>
      <c r="L101" s="22" t="s">
        <v>372</v>
      </c>
      <c r="M101" s="22"/>
      <c r="N101" s="22" t="n">
        <v>3160</v>
      </c>
      <c r="O101" s="22" t="s">
        <v>375</v>
      </c>
      <c r="P101" s="22" t="s">
        <v>375</v>
      </c>
      <c r="Q101" s="22" t="n">
        <v>6</v>
      </c>
      <c r="R101" s="25" t="s">
        <v>234</v>
      </c>
      <c r="S101" s="25" t="n">
        <v>34.91</v>
      </c>
      <c r="T101" s="22" t="n">
        <v>24.408464</v>
      </c>
      <c r="U101" s="58" t="n">
        <v>6</v>
      </c>
      <c r="V101" s="56" t="n">
        <v>0.101666666666667</v>
      </c>
      <c r="W101" s="56" t="n">
        <v>0.0386867763798778</v>
      </c>
      <c r="X101" s="14" t="n">
        <f aca="false">W101/SQRT(U101)</f>
        <v>0.0157938103206429</v>
      </c>
      <c r="Y101" s="27" t="n">
        <v>3.92833333333333</v>
      </c>
      <c r="Z101" s="42" t="n">
        <v>0.112679486450137</v>
      </c>
      <c r="AA101" s="27" t="n">
        <f aca="false">Z101/SQRT(U101)</f>
        <v>0.0460012077136146</v>
      </c>
      <c r="AB101" s="27" t="n">
        <v>0.218226655</v>
      </c>
      <c r="AC101" s="27" t="n">
        <v>0.2</v>
      </c>
      <c r="AD101" s="27" t="n">
        <v>0.2</v>
      </c>
      <c r="AE101" s="43" t="n">
        <v>0.6755</v>
      </c>
      <c r="AF101" s="43" t="n">
        <v>0.016748631784915</v>
      </c>
      <c r="AG101" s="29" t="n">
        <v>2.56100034713745</v>
      </c>
      <c r="AH101" s="55" t="n">
        <v>0.0721398255519682</v>
      </c>
      <c r="AI101" s="44" t="n">
        <v>2.56100034713745</v>
      </c>
      <c r="AJ101" s="44" t="n">
        <v>0.0721398255519682</v>
      </c>
      <c r="AK101" s="27" t="s">
        <v>63</v>
      </c>
      <c r="AL101" s="14" t="n">
        <f aca="false">IF(AND(O101="Benthic, infaunal",M101="elegans"),(0.243-SQRT(((Y101)-(AB101))*0.0012+0.053337))/0.0006,IF(O101="Benthic",(0.245-SQRT(((Y101)-(AB101))*0.0044+0.045461))/0.0022,IF(O101="Benthic, infaunal",(0.245-(SQRT(0.045461+0.0044*((Y101-0.47)-(AB101)))))/0.0022,IF(O101="Benthic, epifaunal",(0.245-SQRT(((Y101)-(AB101))*0.0044+0.045461))/0.0022))))</f>
        <v>-1.62128673706599</v>
      </c>
      <c r="AM101" s="45" t="n">
        <f aca="false">Y101-AB101</f>
        <v>3.71010667833333</v>
      </c>
      <c r="AN101" s="45" t="n">
        <f aca="false">SQRT((Z101^2)+(AC101^2))</f>
        <v>0.229557545436143</v>
      </c>
      <c r="AO101" s="46" t="n">
        <f aca="false">IF(NOT($M101="elegans"),(0.045461+0.0044*((AM101))),IF($M101="elegans",(0.053337+0.0012*((AM101)))))</f>
        <v>0.0617854693846667</v>
      </c>
      <c r="AP101" s="46" t="n">
        <f aca="false">IF(NOT($M101="elegans"),(0.0044*((AN101))),IF($M101="elegans",(0.0012*((AN101)))))</f>
        <v>0.00101005319991903</v>
      </c>
      <c r="AQ101" s="46" t="n">
        <f aca="false">SQRT(AO101)</f>
        <v>0.248566830821545</v>
      </c>
      <c r="AR101" s="46" t="n">
        <f aca="false">AQ101*(0.5*(AP101/AO101))</f>
        <v>0.00203175378746366</v>
      </c>
      <c r="AS101" s="46" t="n">
        <f aca="false">IF(NOT($M101="elegans"),AR101/0.0022,IF($M101="elegans",AR101/0.0006))</f>
        <v>0.923524448847119</v>
      </c>
      <c r="AT101" s="45" t="n">
        <f aca="false">Y101-AB101</f>
        <v>3.71010667833333</v>
      </c>
      <c r="AU101" s="45" t="n">
        <f aca="false">SQRT((AA101^2)+(AD101^2))</f>
        <v>0.205222101906961</v>
      </c>
      <c r="AV101" s="46" t="n">
        <f aca="false">IF(NOT($M101="elegans"),(0.045461+0.0044*((AT101))),IF($M101="elegans",(0.053337+0.0012*((AT101)))))</f>
        <v>0.0617854693846667</v>
      </c>
      <c r="AW101" s="46" t="n">
        <f aca="false">IF(NOT($M101="elegans"),(0.0044*((AU101))),IF($M101="elegans",(0.0012*((AU101)))))</f>
        <v>0.000902977248390629</v>
      </c>
      <c r="AX101" s="46" t="n">
        <f aca="false">SQRT(AV101)</f>
        <v>0.248566830821545</v>
      </c>
      <c r="AY101" s="46" t="n">
        <f aca="false">AX101*(0.5*(AW101/AV101))</f>
        <v>0.00181636714240225</v>
      </c>
      <c r="AZ101" s="46" t="n">
        <f aca="false">IF(NOT($M101="elegans"),AY101/0.0022,IF($M101="elegans",AY101/0.0006))</f>
        <v>0.825621428364661</v>
      </c>
      <c r="BD101" s="31" t="n">
        <f aca="false">AL101</f>
        <v>-1.62128673706599</v>
      </c>
      <c r="BE101" s="31" t="n">
        <f aca="false">AS101</f>
        <v>0.923524448847119</v>
      </c>
      <c r="BF101" s="31" t="n">
        <f aca="false">AZ101</f>
        <v>0.825621428364661</v>
      </c>
      <c r="BG101" s="14" t="n">
        <f aca="false">10^6/((BD101+273.15)^2)</f>
        <v>13.5633970988594</v>
      </c>
      <c r="BH101" s="14" t="n">
        <f aca="false">BG101*(2*($BE101/($BD101+273.15)))</f>
        <v>0.0922637512599938</v>
      </c>
      <c r="BI101" s="14" t="n">
        <f aca="false">BG101*(2*($BF101/($BD101+273.15)))</f>
        <v>0.0824828516415031</v>
      </c>
      <c r="BK101" s="14" t="n">
        <f aca="false">10^6/((AG101+273.15)^2)</f>
        <v>13.1550290673933</v>
      </c>
      <c r="BL101" s="14" t="n">
        <f aca="false">BK101*(2*($AH101/($AG101+273.15)))</f>
        <v>0.00688403074855899</v>
      </c>
      <c r="BM101" s="14" t="n">
        <f aca="false">10^6/((AI101+273.15)^2)</f>
        <v>13.1550290673933</v>
      </c>
      <c r="BN101" s="14" t="n">
        <f aca="false">BM101*(2*($AJ101/($AI101+273.15)))</f>
        <v>0.00688403074855899</v>
      </c>
    </row>
    <row r="102" s="14" customFormat="true" ht="16" hidden="false" customHeight="false" outlineLevel="0" collapsed="false">
      <c r="A102" s="22" t="s">
        <v>372</v>
      </c>
      <c r="B102" s="56" t="s">
        <v>378</v>
      </c>
      <c r="C102" s="14" t="s">
        <v>53</v>
      </c>
      <c r="D102" s="51" t="s">
        <v>379</v>
      </c>
      <c r="E102" s="24" t="s">
        <v>368</v>
      </c>
      <c r="F102" s="52" t="n">
        <v>4.9198</v>
      </c>
      <c r="G102" s="52" t="n">
        <v>-20.499</v>
      </c>
      <c r="H102" s="22" t="s">
        <v>78</v>
      </c>
      <c r="I102" s="22" t="s">
        <v>359</v>
      </c>
      <c r="J102" s="22" t="n">
        <v>2937</v>
      </c>
      <c r="K102" s="22" t="s">
        <v>372</v>
      </c>
      <c r="L102" s="22" t="s">
        <v>372</v>
      </c>
      <c r="M102" s="22"/>
      <c r="N102" s="22" t="n">
        <v>2937</v>
      </c>
      <c r="O102" s="22" t="s">
        <v>375</v>
      </c>
      <c r="P102" s="22" t="s">
        <v>375</v>
      </c>
      <c r="Q102" s="22" t="n">
        <v>6</v>
      </c>
      <c r="R102" s="25" t="s">
        <v>234</v>
      </c>
      <c r="S102" s="25" t="n">
        <v>34.91</v>
      </c>
      <c r="T102" s="22" t="n">
        <v>28.3941887550201</v>
      </c>
      <c r="U102" s="58" t="n">
        <v>5</v>
      </c>
      <c r="V102" s="56" t="n">
        <v>0.196</v>
      </c>
      <c r="W102" s="56" t="n">
        <v>0.0304959013639538</v>
      </c>
      <c r="X102" s="14" t="n">
        <f aca="false">W102/SQRT(U102)</f>
        <v>0.0136381816969859</v>
      </c>
      <c r="Y102" s="27" t="n">
        <v>3.656</v>
      </c>
      <c r="Z102" s="42" t="n">
        <v>0.0296647939483828</v>
      </c>
      <c r="AA102" s="27" t="n">
        <f aca="false">Z102/SQRT(U102)</f>
        <v>0.0132664991614216</v>
      </c>
      <c r="AB102" s="27" t="n">
        <v>0.222318113</v>
      </c>
      <c r="AC102" s="27" t="n">
        <v>0.2</v>
      </c>
      <c r="AD102" s="27" t="n">
        <v>0.2</v>
      </c>
      <c r="AE102" s="43" t="n">
        <v>0.6588</v>
      </c>
      <c r="AF102" s="43" t="n">
        <v>0.00936696322187718</v>
      </c>
      <c r="AG102" s="29" t="n">
        <v>2.66815428733826</v>
      </c>
      <c r="AH102" s="55" t="n">
        <v>0.0556307156697254</v>
      </c>
      <c r="AI102" s="44" t="n">
        <v>2.66815428733826</v>
      </c>
      <c r="AJ102" s="44" t="n">
        <v>0.0556307156697254</v>
      </c>
      <c r="AK102" s="27" t="s">
        <v>63</v>
      </c>
      <c r="AL102" s="14" t="n">
        <f aca="false">IF(AND(O102="Benthic, infaunal",M102="elegans"),(0.243-SQRT(((Y102)-(AB102))*0.0012+0.053337))/0.0006,IF(O102="Benthic",(0.245-SQRT(((Y102)-(AB102))*0.0044+0.045461))/0.0022,IF(O102="Benthic, infaunal",(0.245-(SQRT(0.045461+0.0044*((Y102-0.47)-(AB102)))))/0.0022,IF(O102="Benthic, epifaunal",(0.245-SQRT(((Y102)-(AB102))*0.0044+0.045461))/0.0022))))</f>
        <v>-0.503684973844229</v>
      </c>
      <c r="AM102" s="45" t="n">
        <f aca="false">Y102-AB102</f>
        <v>3.433681887</v>
      </c>
      <c r="AN102" s="45" t="n">
        <f aca="false">SQRT((Z102^2)+(AC102^2))</f>
        <v>0.202188031297602</v>
      </c>
      <c r="AO102" s="46" t="n">
        <f aca="false">IF(NOT($M102="elegans"),(0.045461+0.0044*((AM102))),IF($M102="elegans",(0.053337+0.0012*((AM102)))))</f>
        <v>0.0605692003028</v>
      </c>
      <c r="AP102" s="46" t="n">
        <f aca="false">IF(NOT($M102="elegans"),(0.0044*((AN102))),IF($M102="elegans",(0.0012*((AN102)))))</f>
        <v>0.000889627337709448</v>
      </c>
      <c r="AQ102" s="46" t="n">
        <f aca="false">SQRT(AO102)</f>
        <v>0.246108106942457</v>
      </c>
      <c r="AR102" s="46" t="n">
        <f aca="false">AQ102*(0.5*(AP102/AO102))</f>
        <v>0.00180739137113726</v>
      </c>
      <c r="AS102" s="46" t="n">
        <f aca="false">IF(NOT($M102="elegans"),AR102/0.0022,IF($M102="elegans",AR102/0.0006))</f>
        <v>0.821541532335119</v>
      </c>
      <c r="AT102" s="45" t="n">
        <f aca="false">Y102-AB102</f>
        <v>3.433681887</v>
      </c>
      <c r="AU102" s="45" t="n">
        <f aca="false">SQRT((AA102^2)+(AD102^2))</f>
        <v>0.200439517061881</v>
      </c>
      <c r="AV102" s="46" t="n">
        <f aca="false">IF(NOT($M102="elegans"),(0.045461+0.0044*((AT102))),IF($M102="elegans",(0.053337+0.0012*((AT102)))))</f>
        <v>0.0605692003028</v>
      </c>
      <c r="AW102" s="46" t="n">
        <f aca="false">IF(NOT($M102="elegans"),(0.0044*((AU102))),IF($M102="elegans",(0.0012*((AU102)))))</f>
        <v>0.000881933875072276</v>
      </c>
      <c r="AX102" s="46" t="n">
        <f aca="false">SQRT(AV102)</f>
        <v>0.246108106942457</v>
      </c>
      <c r="AY102" s="46" t="n">
        <f aca="false">AX102*(0.5*(AW102/AV102))</f>
        <v>0.001791761120812</v>
      </c>
      <c r="AZ102" s="46" t="n">
        <f aca="false">IF(NOT($M102="elegans"),AY102/0.0022,IF($M102="elegans",AY102/0.0006))</f>
        <v>0.814436873096365</v>
      </c>
      <c r="BD102" s="31" t="n">
        <f aca="false">AL102</f>
        <v>-0.503684973844229</v>
      </c>
      <c r="BE102" s="31" t="n">
        <f aca="false">AS102</f>
        <v>0.821541532335119</v>
      </c>
      <c r="BF102" s="31" t="n">
        <f aca="false">AZ102</f>
        <v>0.814436873096365</v>
      </c>
      <c r="BG102" s="14" t="n">
        <f aca="false">10^6/((BD102+273.15)^2)</f>
        <v>13.4524298295433</v>
      </c>
      <c r="BH102" s="14" t="n">
        <f aca="false">BG102*(2*($BE102/($BD102+273.15)))</f>
        <v>0.0810700838904309</v>
      </c>
      <c r="BI102" s="14" t="n">
        <f aca="false">BG102*(2*($BF102/($BD102+273.15)))</f>
        <v>0.0803689929560973</v>
      </c>
      <c r="BK102" s="14" t="n">
        <f aca="false">10^6/((AG102+273.15)^2)</f>
        <v>13.1448097300338</v>
      </c>
      <c r="BL102" s="14" t="n">
        <f aca="false">BK102*(2*($AH102/($AG102+273.15)))</f>
        <v>0.00530244410135783</v>
      </c>
      <c r="BM102" s="14" t="n">
        <f aca="false">10^6/((AI102+273.15)^2)</f>
        <v>13.1448097300338</v>
      </c>
      <c r="BN102" s="14" t="n">
        <f aca="false">BM102*(2*($AJ102/($AI102+273.15)))</f>
        <v>0.00530244410135783</v>
      </c>
    </row>
    <row r="103" s="14" customFormat="true" ht="16" hidden="false" customHeight="false" outlineLevel="0" collapsed="false">
      <c r="A103" s="22" t="s">
        <v>173</v>
      </c>
      <c r="B103" s="56" t="s">
        <v>380</v>
      </c>
      <c r="C103" s="14" t="s">
        <v>53</v>
      </c>
      <c r="D103" s="51" t="s">
        <v>381</v>
      </c>
      <c r="E103" s="24" t="s">
        <v>358</v>
      </c>
      <c r="F103" s="52" t="n">
        <v>6.640667</v>
      </c>
      <c r="G103" s="53" t="n">
        <v>-21.897333</v>
      </c>
      <c r="H103" s="22" t="s">
        <v>78</v>
      </c>
      <c r="I103" s="22" t="s">
        <v>359</v>
      </c>
      <c r="J103" s="22" t="n">
        <v>3527</v>
      </c>
      <c r="K103" s="22" t="s">
        <v>173</v>
      </c>
      <c r="L103" s="22" t="s">
        <v>176</v>
      </c>
      <c r="M103" s="22" t="s">
        <v>177</v>
      </c>
      <c r="N103" s="22" t="n">
        <v>3527</v>
      </c>
      <c r="O103" s="22" t="s">
        <v>178</v>
      </c>
      <c r="P103" s="22" t="s">
        <v>178</v>
      </c>
      <c r="Q103" s="22" t="n">
        <v>1</v>
      </c>
      <c r="R103" s="25" t="s">
        <v>234</v>
      </c>
      <c r="S103" s="25" t="n">
        <v>34.93</v>
      </c>
      <c r="T103" s="22" t="n">
        <v>17.7187</v>
      </c>
      <c r="U103" s="58" t="n">
        <v>4</v>
      </c>
      <c r="V103" s="56" t="n">
        <v>2.66</v>
      </c>
      <c r="W103" s="56" t="n">
        <v>0.0875595035770915</v>
      </c>
      <c r="X103" s="14" t="n">
        <f aca="false">W103/SQRT(U103)</f>
        <v>0.0437797517885457</v>
      </c>
      <c r="Y103" s="27" t="n">
        <v>4.4775</v>
      </c>
      <c r="Z103" s="42" t="n">
        <v>0.161735380586108</v>
      </c>
      <c r="AA103" s="27" t="n">
        <f aca="false">Z103/SQRT(U103)</f>
        <v>0.0808676902930541</v>
      </c>
      <c r="AB103" s="27" t="n">
        <v>0.212126981</v>
      </c>
      <c r="AC103" s="27" t="n">
        <v>0.2</v>
      </c>
      <c r="AD103" s="27" t="n">
        <v>0.2</v>
      </c>
      <c r="AE103" s="43" t="n">
        <v>0.6575</v>
      </c>
      <c r="AF103" s="43" t="n">
        <v>0.0101775897605147</v>
      </c>
      <c r="AG103" s="29" t="n">
        <v>2.43076222896576</v>
      </c>
      <c r="AH103" s="55" t="n">
        <v>0.0385740510993511</v>
      </c>
      <c r="AI103" s="44" t="n">
        <v>2.43076222896576</v>
      </c>
      <c r="AJ103" s="44" t="n">
        <v>0.0385740510993511</v>
      </c>
      <c r="AK103" s="27" t="s">
        <v>63</v>
      </c>
      <c r="AL103" s="14" t="n">
        <f aca="false">IF(AND(O103="Benthic, infaunal",M103="elegans"),(0.243-SQRT(((Y103)-(AB103))*0.0012+0.053337))/0.0006,IF(O103="Benthic",(0.245-SQRT(((Y103)-(AB103))*0.0044+0.045461))/0.0022,IF(O103="Benthic, infaunal",(0.245-(SQRT(0.045461+0.0044*((Y103-0.47)-(AB103)))))/0.0022,IF(O103="Benthic, epifaunal",(0.245-SQRT(((Y103)-(AB103))*0.0044+0.045461))/0.0022))))</f>
        <v>2.04064299650933</v>
      </c>
      <c r="AM103" s="45" t="n">
        <f aca="false">Y103-AB103</f>
        <v>4.265373019</v>
      </c>
      <c r="AN103" s="45" t="n">
        <f aca="false">SQRT((Z103^2)+(AC103^2))</f>
        <v>0.257212622811038</v>
      </c>
      <c r="AO103" s="46" t="n">
        <f aca="false">IF(NOT($M103="elegans"),(0.045461+0.0044*((AM103))),IF($M103="elegans",(0.053337+0.0012*((AM103)))))</f>
        <v>0.0584554476228</v>
      </c>
      <c r="AP103" s="46" t="n">
        <f aca="false">IF(NOT($M103="elegans"),(0.0044*((AN103))),IF($M103="elegans",(0.0012*((AN103)))))</f>
        <v>0.000308655147373245</v>
      </c>
      <c r="AQ103" s="46" t="n">
        <f aca="false">SQRT(AO103)</f>
        <v>0.241775614202094</v>
      </c>
      <c r="AR103" s="46" t="n">
        <f aca="false">AQ103*(0.5*(AP103/AO103))</f>
        <v>0.000638309095795013</v>
      </c>
      <c r="AS103" s="46" t="n">
        <f aca="false">IF(NOT($M103="elegans"),AR103/0.0022,IF($M103="elegans",AR103/0.0006))</f>
        <v>1.06384849299169</v>
      </c>
      <c r="AT103" s="45" t="n">
        <f aca="false">Y103-AB103</f>
        <v>4.265373019</v>
      </c>
      <c r="AU103" s="45" t="n">
        <f aca="false">SQRT((AA103^2)+(AD103^2))</f>
        <v>0.215730348660853</v>
      </c>
      <c r="AV103" s="46" t="n">
        <f aca="false">IF(NOT($M103="elegans"),(0.045461+0.0044*((AT103))),IF($M103="elegans",(0.053337+0.0012*((AT103)))))</f>
        <v>0.0584554476228</v>
      </c>
      <c r="AW103" s="46" t="n">
        <f aca="false">IF(NOT($M103="elegans"),(0.0044*((AU103))),IF($M103="elegans",(0.0012*((AU103)))))</f>
        <v>0.000258876418393024</v>
      </c>
      <c r="AX103" s="46" t="n">
        <f aca="false">SQRT(AV103)</f>
        <v>0.241775614202094</v>
      </c>
      <c r="AY103" s="46" t="n">
        <f aca="false">AX103*(0.5*(AW103/AV103))</f>
        <v>0.000535365031017221</v>
      </c>
      <c r="AZ103" s="46" t="n">
        <f aca="false">IF(NOT($M103="elegans"),AY103/0.0022,IF($M103="elegans",AY103/0.0006))</f>
        <v>0.892275051695369</v>
      </c>
      <c r="BD103" s="31" t="n">
        <f aca="false">AL103</f>
        <v>2.04064299650933</v>
      </c>
      <c r="BE103" s="31" t="n">
        <f aca="false">AS103</f>
        <v>1.06384849299169</v>
      </c>
      <c r="BF103" s="31" t="n">
        <f aca="false">AZ103</f>
        <v>0.892275051695369</v>
      </c>
      <c r="BG103" s="14" t="n">
        <f aca="false">10^6/((BD103+273.15)^2)</f>
        <v>13.2048257312225</v>
      </c>
      <c r="BH103" s="14" t="n">
        <f aca="false">BG103*(2*($BE103/($BD103+273.15)))</f>
        <v>0.102096014613092</v>
      </c>
      <c r="BI103" s="14" t="n">
        <f aca="false">BG103*(2*($BF103/($BD103+273.15)))</f>
        <v>0.08563035743991</v>
      </c>
      <c r="BK103" s="14" t="n">
        <f aca="false">10^6/((AG103+273.15)^2)</f>
        <v>13.1674660101009</v>
      </c>
      <c r="BL103" s="14" t="n">
        <f aca="false">BK103*(2*($AH103/($AG103+273.15)))</f>
        <v>0.00368619712504165</v>
      </c>
      <c r="BM103" s="14" t="n">
        <f aca="false">10^6/((AI103+273.15)^2)</f>
        <v>13.1674660101009</v>
      </c>
      <c r="BN103" s="14" t="n">
        <f aca="false">BM103*(2*($AJ103/($AI103+273.15)))</f>
        <v>0.00368619712504165</v>
      </c>
    </row>
    <row r="104" s="14" customFormat="true" ht="16" hidden="false" customHeight="false" outlineLevel="0" collapsed="false">
      <c r="A104" s="22" t="s">
        <v>173</v>
      </c>
      <c r="B104" s="56" t="s">
        <v>382</v>
      </c>
      <c r="C104" s="14" t="s">
        <v>53</v>
      </c>
      <c r="D104" s="51" t="s">
        <v>383</v>
      </c>
      <c r="E104" s="24" t="s">
        <v>362</v>
      </c>
      <c r="F104" s="57" t="n">
        <v>5.4547</v>
      </c>
      <c r="G104" s="53" t="n">
        <v>-21.144</v>
      </c>
      <c r="H104" s="22" t="s">
        <v>78</v>
      </c>
      <c r="I104" s="22" t="s">
        <v>359</v>
      </c>
      <c r="J104" s="22" t="n">
        <v>3160</v>
      </c>
      <c r="K104" s="22" t="s">
        <v>173</v>
      </c>
      <c r="L104" s="22" t="s">
        <v>176</v>
      </c>
      <c r="M104" s="22" t="s">
        <v>177</v>
      </c>
      <c r="N104" s="22" t="n">
        <v>3160</v>
      </c>
      <c r="O104" s="22" t="s">
        <v>178</v>
      </c>
      <c r="P104" s="22" t="s">
        <v>178</v>
      </c>
      <c r="Q104" s="22" t="n">
        <v>1</v>
      </c>
      <c r="R104" s="25" t="s">
        <v>234</v>
      </c>
      <c r="S104" s="25" t="n">
        <v>34.91</v>
      </c>
      <c r="T104" s="22" t="n">
        <v>24.408464</v>
      </c>
      <c r="U104" s="58" t="n">
        <v>5</v>
      </c>
      <c r="V104" s="56" t="n">
        <v>2.314</v>
      </c>
      <c r="W104" s="56" t="n">
        <v>0.0602494813255682</v>
      </c>
      <c r="X104" s="14" t="n">
        <f aca="false">W104/SQRT(U104)</f>
        <v>0.0269443871706149</v>
      </c>
      <c r="Y104" s="27" t="n">
        <v>4.488</v>
      </c>
      <c r="Z104" s="42" t="n">
        <v>0.0258843582110894</v>
      </c>
      <c r="AA104" s="27" t="n">
        <f aca="false">Z104/SQRT(U104)</f>
        <v>0.0115758369027902</v>
      </c>
      <c r="AB104" s="27" t="n">
        <v>0.218226655</v>
      </c>
      <c r="AC104" s="27" t="n">
        <v>0.2</v>
      </c>
      <c r="AD104" s="27" t="n">
        <v>0.2</v>
      </c>
      <c r="AE104" s="43" t="n">
        <v>0.673</v>
      </c>
      <c r="AF104" s="43" t="n">
        <v>0.0114760620423558</v>
      </c>
      <c r="AG104" s="29" t="n">
        <v>2.56100034713745</v>
      </c>
      <c r="AH104" s="55" t="n">
        <v>0.0721398255519682</v>
      </c>
      <c r="AI104" s="44" t="n">
        <v>2.56100034713745</v>
      </c>
      <c r="AJ104" s="44" t="n">
        <v>0.0721398255519682</v>
      </c>
      <c r="AK104" s="27" t="s">
        <v>63</v>
      </c>
      <c r="AL104" s="14" t="n">
        <f aca="false">IF(AND(O104="Benthic, infaunal",M104="elegans"),(0.243-SQRT(((Y104)-(AB104))*0.0012+0.053337))/0.0006,IF(O104="Benthic",(0.245-SQRT(((Y104)-(AB104))*0.0044+0.045461))/0.0022,IF(O104="Benthic, infaunal",(0.245-(SQRT(0.045461+0.0044*((Y104-0.47)-(AB104)))))/0.0022,IF(O104="Benthic, epifaunal",(0.245-SQRT(((Y104)-(AB104))*0.0044+0.045461))/0.0022))))</f>
        <v>2.02244336687927</v>
      </c>
      <c r="AM104" s="45" t="n">
        <f aca="false">Y104-AB104</f>
        <v>4.269773345</v>
      </c>
      <c r="AN104" s="45" t="n">
        <f aca="false">SQRT((Z104^2)+(AC104^2))</f>
        <v>0.201668044072431</v>
      </c>
      <c r="AO104" s="46" t="n">
        <f aca="false">IF(NOT($M104="elegans"),(0.045461+0.0044*((AM104))),IF($M104="elegans",(0.053337+0.0012*((AM104)))))</f>
        <v>0.058460728014</v>
      </c>
      <c r="AP104" s="46" t="n">
        <f aca="false">IF(NOT($M104="elegans"),(0.0044*((AN104))),IF($M104="elegans",(0.0012*((AN104)))))</f>
        <v>0.000242001652886917</v>
      </c>
      <c r="AQ104" s="46" t="n">
        <f aca="false">SQRT(AO104)</f>
        <v>0.241786533979872</v>
      </c>
      <c r="AR104" s="46" t="n">
        <f aca="false">AQ104*(0.5*(AP104/AO104))</f>
        <v>0.000500444852952528</v>
      </c>
      <c r="AS104" s="46" t="n">
        <f aca="false">IF(NOT($M104="elegans"),AR104/0.0022,IF($M104="elegans",AR104/0.0006))</f>
        <v>0.83407475492088</v>
      </c>
      <c r="AT104" s="45" t="n">
        <f aca="false">Y104-AB104</f>
        <v>4.269773345</v>
      </c>
      <c r="AU104" s="45" t="n">
        <f aca="false">SQRT((AA104^2)+(AD104^2))</f>
        <v>0.200334719906461</v>
      </c>
      <c r="AV104" s="46" t="n">
        <f aca="false">IF(NOT($M104="elegans"),(0.045461+0.0044*((AT104))),IF($M104="elegans",(0.053337+0.0012*((AT104)))))</f>
        <v>0.058460728014</v>
      </c>
      <c r="AW104" s="46" t="n">
        <f aca="false">IF(NOT($M104="elegans"),(0.0044*((AU104))),IF($M104="elegans",(0.0012*((AU104)))))</f>
        <v>0.000240401663887753</v>
      </c>
      <c r="AX104" s="46" t="n">
        <f aca="false">SQRT(AV104)</f>
        <v>0.241786533979872</v>
      </c>
      <c r="AY104" s="46" t="n">
        <f aca="false">AX104*(0.5*(AW104/AV104))</f>
        <v>0.000497136171999895</v>
      </c>
      <c r="AZ104" s="46" t="n">
        <f aca="false">IF(NOT($M104="elegans"),AY104/0.0022,IF($M104="elegans",AY104/0.0006))</f>
        <v>0.828560286666492</v>
      </c>
      <c r="BD104" s="31" t="n">
        <f aca="false">AL104</f>
        <v>2.02244336687927</v>
      </c>
      <c r="BE104" s="31" t="n">
        <f aca="false">AS104</f>
        <v>0.83407475492088</v>
      </c>
      <c r="BF104" s="31" t="n">
        <f aca="false">AZ104</f>
        <v>0.828560286666492</v>
      </c>
      <c r="BG104" s="14" t="n">
        <f aca="false">10^6/((BD104+273.15)^2)</f>
        <v>13.2065724968656</v>
      </c>
      <c r="BH104" s="14" t="n">
        <f aca="false">BG104*(2*($BE104/($BD104+273.15)))</f>
        <v>0.0800608417317548</v>
      </c>
      <c r="BI104" s="14" t="n">
        <f aca="false">BG104*(2*($BF104/($BD104+273.15)))</f>
        <v>0.0795315211072608</v>
      </c>
      <c r="BK104" s="14" t="n">
        <f aca="false">10^6/((AG104+273.15)^2)</f>
        <v>13.1550290673933</v>
      </c>
      <c r="BL104" s="14" t="n">
        <f aca="false">BK104*(2*($AH104/($AG104+273.15)))</f>
        <v>0.00688403074855899</v>
      </c>
      <c r="BM104" s="14" t="n">
        <f aca="false">10^6/((AI104+273.15)^2)</f>
        <v>13.1550290673933</v>
      </c>
      <c r="BN104" s="14" t="n">
        <f aca="false">BM104*(2*($AJ104/($AI104+273.15)))</f>
        <v>0.00688403074855899</v>
      </c>
    </row>
    <row r="105" s="14" customFormat="true" ht="16" hidden="false" customHeight="false" outlineLevel="0" collapsed="false">
      <c r="A105" s="22" t="s">
        <v>173</v>
      </c>
      <c r="B105" s="56" t="s">
        <v>384</v>
      </c>
      <c r="C105" s="14" t="s">
        <v>53</v>
      </c>
      <c r="D105" s="51" t="s">
        <v>385</v>
      </c>
      <c r="E105" s="24" t="s">
        <v>365</v>
      </c>
      <c r="F105" s="57" t="n">
        <v>4.2333</v>
      </c>
      <c r="G105" s="53" t="n">
        <v>-20.6263</v>
      </c>
      <c r="H105" s="22" t="s">
        <v>78</v>
      </c>
      <c r="I105" s="22" t="s">
        <v>359</v>
      </c>
      <c r="J105" s="22" t="n">
        <v>3792</v>
      </c>
      <c r="K105" s="22" t="s">
        <v>173</v>
      </c>
      <c r="L105" s="22" t="s">
        <v>176</v>
      </c>
      <c r="M105" s="22" t="s">
        <v>177</v>
      </c>
      <c r="N105" s="22" t="n">
        <v>3792</v>
      </c>
      <c r="O105" s="22" t="s">
        <v>178</v>
      </c>
      <c r="P105" s="22" t="s">
        <v>178</v>
      </c>
      <c r="Q105" s="22" t="n">
        <v>1</v>
      </c>
      <c r="R105" s="25" t="s">
        <v>234</v>
      </c>
      <c r="S105" s="25" t="n">
        <v>34.89</v>
      </c>
      <c r="T105" s="22" t="n">
        <v>12.39432</v>
      </c>
      <c r="U105" s="58" t="n">
        <v>4</v>
      </c>
      <c r="V105" s="56" t="n">
        <v>2.55</v>
      </c>
      <c r="W105" s="56" t="n">
        <v>0.0875595035770913</v>
      </c>
      <c r="X105" s="14" t="n">
        <f aca="false">W105/SQRT(U105)</f>
        <v>0.0437797517885457</v>
      </c>
      <c r="Y105" s="27" t="n">
        <v>4.2325</v>
      </c>
      <c r="Z105" s="42" t="n">
        <v>0.0732006375199926</v>
      </c>
      <c r="AA105" s="27" t="n">
        <f aca="false">Z105/SQRT(U105)</f>
        <v>0.0366003187599963</v>
      </c>
      <c r="AB105" s="27" t="n">
        <v>0.207677023</v>
      </c>
      <c r="AC105" s="27" t="n">
        <v>0.2</v>
      </c>
      <c r="AD105" s="27" t="n">
        <v>0.2</v>
      </c>
      <c r="AE105" s="43" t="n">
        <v>0.659</v>
      </c>
      <c r="AF105" s="43" t="n">
        <v>0.00387298334620742</v>
      </c>
      <c r="AG105" s="29" t="n">
        <v>2.39804148674011</v>
      </c>
      <c r="AH105" s="55" t="n">
        <v>0.11418730793803</v>
      </c>
      <c r="AI105" s="44" t="n">
        <v>2.39804148674011</v>
      </c>
      <c r="AJ105" s="44" t="n">
        <v>0.11418730793803</v>
      </c>
      <c r="AK105" s="27" t="s">
        <v>63</v>
      </c>
      <c r="AL105" s="14" t="n">
        <f aca="false">IF(AND(O105="Benthic, infaunal",M105="elegans"),(0.243-SQRT(((Y105)-(AB105))*0.0012+0.053337))/0.0006,IF(O105="Benthic",(0.245-SQRT(((Y105)-(AB105))*0.0044+0.045461))/0.0022,IF(O105="Benthic, infaunal",(0.245-(SQRT(0.045461+0.0044*((Y105-0.47)-(AB105)))))/0.0022,IF(O105="Benthic, epifaunal",(0.245-SQRT(((Y105)-(AB105))*0.0044+0.045461))/0.0022))))</f>
        <v>3.03680526280353</v>
      </c>
      <c r="AM105" s="45" t="n">
        <f aca="false">Y105-AB105</f>
        <v>4.024822977</v>
      </c>
      <c r="AN105" s="45" t="n">
        <f aca="false">SQRT((Z105^2)+(AC105^2))</f>
        <v>0.212974959404465</v>
      </c>
      <c r="AO105" s="46" t="n">
        <f aca="false">IF(NOT($M105="elegans"),(0.045461+0.0044*((AM105))),IF($M105="elegans",(0.053337+0.0012*((AM105)))))</f>
        <v>0.0581667875724</v>
      </c>
      <c r="AP105" s="46" t="n">
        <f aca="false">IF(NOT($M105="elegans"),(0.0044*((AN105))),IF($M105="elegans",(0.0012*((AN105)))))</f>
        <v>0.000255569951285358</v>
      </c>
      <c r="AQ105" s="46" t="n">
        <f aca="false">SQRT(AO105)</f>
        <v>0.241177916842318</v>
      </c>
      <c r="AR105" s="46" t="n">
        <f aca="false">AQ105*(0.5*(AP105/AO105))</f>
        <v>0.000529836965654798</v>
      </c>
      <c r="AS105" s="46" t="n">
        <f aca="false">IF(NOT($M105="elegans"),AR105/0.0022,IF($M105="elegans",AR105/0.0006))</f>
        <v>0.883061609424662</v>
      </c>
      <c r="AT105" s="45" t="n">
        <f aca="false">Y105-AB105</f>
        <v>4.024822977</v>
      </c>
      <c r="AU105" s="45" t="n">
        <f aca="false">SQRT((AA105^2)+(AD105^2))</f>
        <v>0.203321379430038</v>
      </c>
      <c r="AV105" s="46" t="n">
        <f aca="false">IF(NOT($M105="elegans"),(0.045461+0.0044*((AT105))),IF($M105="elegans",(0.053337+0.0012*((AT105)))))</f>
        <v>0.0581667875724</v>
      </c>
      <c r="AW105" s="46" t="n">
        <f aca="false">IF(NOT($M105="elegans"),(0.0044*((AU105))),IF($M105="elegans",(0.0012*((AU105)))))</f>
        <v>0.000243985655316045</v>
      </c>
      <c r="AX105" s="46" t="n">
        <f aca="false">SQRT(AV105)</f>
        <v>0.241177916842318</v>
      </c>
      <c r="AY105" s="46" t="n">
        <f aca="false">AX105*(0.5*(AW105/AV105))</f>
        <v>0.000505820886320125</v>
      </c>
      <c r="AZ105" s="46" t="n">
        <f aca="false">IF(NOT($M105="elegans"),AY105/0.0022,IF($M105="elegans",AY105/0.0006))</f>
        <v>0.843034810533541</v>
      </c>
      <c r="BD105" s="31" t="n">
        <f aca="false">AL105</f>
        <v>3.03680526280353</v>
      </c>
      <c r="BE105" s="31" t="n">
        <f aca="false">AS105</f>
        <v>0.883061609424662</v>
      </c>
      <c r="BF105" s="31" t="n">
        <f aca="false">AZ105</f>
        <v>0.843034810533541</v>
      </c>
      <c r="BG105" s="14" t="n">
        <f aca="false">10^6/((BD105+273.15)^2)</f>
        <v>13.1097420675199</v>
      </c>
      <c r="BH105" s="14" t="n">
        <f aca="false">BG105*(2*($BE105/($BD105+273.15)))</f>
        <v>0.083832462005349</v>
      </c>
      <c r="BI105" s="14" t="n">
        <f aca="false">BG105*(2*($BF105/($BD105+273.15)))</f>
        <v>0.0800325628121071</v>
      </c>
      <c r="BK105" s="14" t="n">
        <f aca="false">10^6/((AG105+273.15)^2)</f>
        <v>13.1705934127852</v>
      </c>
      <c r="BL105" s="14" t="n">
        <f aca="false">BK105*(2*($AH105/($AG105+273.15)))</f>
        <v>0.0109158068962335</v>
      </c>
      <c r="BM105" s="14" t="n">
        <f aca="false">10^6/((AI105+273.15)^2)</f>
        <v>13.1705934127852</v>
      </c>
      <c r="BN105" s="14" t="n">
        <f aca="false">BM105*(2*($AJ105/($AI105+273.15)))</f>
        <v>0.0109158068962335</v>
      </c>
    </row>
    <row r="106" s="14" customFormat="true" ht="16" hidden="false" customHeight="false" outlineLevel="0" collapsed="false">
      <c r="A106" s="22" t="s">
        <v>173</v>
      </c>
      <c r="B106" s="56" t="s">
        <v>386</v>
      </c>
      <c r="C106" s="14" t="s">
        <v>53</v>
      </c>
      <c r="D106" s="51" t="s">
        <v>387</v>
      </c>
      <c r="E106" s="24" t="s">
        <v>371</v>
      </c>
      <c r="F106" s="59" t="n">
        <v>5.4183</v>
      </c>
      <c r="G106" s="59" t="n">
        <v>-22.6995</v>
      </c>
      <c r="H106" s="22" t="s">
        <v>78</v>
      </c>
      <c r="I106" s="22" t="s">
        <v>359</v>
      </c>
      <c r="J106" s="22" t="n">
        <v>4263</v>
      </c>
      <c r="K106" s="22" t="s">
        <v>173</v>
      </c>
      <c r="L106" s="22" t="s">
        <v>176</v>
      </c>
      <c r="M106" s="22" t="s">
        <v>177</v>
      </c>
      <c r="N106" s="22" t="n">
        <v>4263</v>
      </c>
      <c r="O106" s="22" t="s">
        <v>178</v>
      </c>
      <c r="P106" s="22" t="s">
        <v>178</v>
      </c>
      <c r="Q106" s="22" t="n">
        <v>1</v>
      </c>
      <c r="R106" s="25" t="s">
        <v>234</v>
      </c>
      <c r="S106" s="25" t="n">
        <v>34.88</v>
      </c>
      <c r="T106" s="22" t="n">
        <v>2.87303090727817</v>
      </c>
      <c r="U106" s="58" t="n">
        <v>5</v>
      </c>
      <c r="V106" s="56" t="n">
        <v>2.51</v>
      </c>
      <c r="W106" s="56" t="n">
        <v>0.0374165738677392</v>
      </c>
      <c r="X106" s="14" t="n">
        <f aca="false">W106/SQRT(U106)</f>
        <v>0.0167332005306814</v>
      </c>
      <c r="Y106" s="27" t="n">
        <v>4.652</v>
      </c>
      <c r="Z106" s="42" t="n">
        <v>0.0303315017762063</v>
      </c>
      <c r="AA106" s="27" t="n">
        <f aca="false">Z106/SQRT(U106)</f>
        <v>0.0135646599662506</v>
      </c>
      <c r="AB106" s="27" t="n">
        <v>0.200590952</v>
      </c>
      <c r="AC106" s="27" t="n">
        <v>0.2</v>
      </c>
      <c r="AD106" s="27" t="n">
        <v>0.2</v>
      </c>
      <c r="AE106" s="43" t="n">
        <v>0.6572</v>
      </c>
      <c r="AF106" s="43" t="n">
        <v>0.0095571962415763</v>
      </c>
      <c r="AG106" s="29" t="n">
        <v>2.34999990463257</v>
      </c>
      <c r="AH106" s="55" t="n">
        <v>0.0235839333035983</v>
      </c>
      <c r="AI106" s="44" t="n">
        <v>2.34999990463257</v>
      </c>
      <c r="AJ106" s="44" t="n">
        <v>0.0235839333035983</v>
      </c>
      <c r="AK106" s="27" t="s">
        <v>63</v>
      </c>
      <c r="AL106" s="14" t="n">
        <f aca="false">IF(AND(O106="Benthic, infaunal",M106="elegans"),(0.243-SQRT(((Y106)-(AB106))*0.0012+0.053337))/0.0006,IF(O106="Benthic",(0.245-SQRT(((Y106)-(AB106))*0.0044+0.045461))/0.0022,IF(O106="Benthic, infaunal",(0.245-(SQRT(0.045461+0.0044*((Y106-0.47)-(AB106)))))/0.0022,IF(O106="Benthic, epifaunal",(0.245-SQRT(((Y106)-(AB106))*0.0044+0.045461))/0.0022))))</f>
        <v>1.27191886947801</v>
      </c>
      <c r="AM106" s="45" t="n">
        <f aca="false">Y106-AB106</f>
        <v>4.451409048</v>
      </c>
      <c r="AN106" s="45" t="n">
        <f aca="false">SQRT((Z106^2)+(AC106^2))</f>
        <v>0.202286924935845</v>
      </c>
      <c r="AO106" s="46" t="n">
        <f aca="false">IF(NOT($M106="elegans"),(0.045461+0.0044*((AM106))),IF($M106="elegans",(0.053337+0.0012*((AM106)))))</f>
        <v>0.0586786908576</v>
      </c>
      <c r="AP106" s="46" t="n">
        <f aca="false">IF(NOT($M106="elegans"),(0.0044*((AN106))),IF($M106="elegans",(0.0012*((AN106)))))</f>
        <v>0.000242744309923013</v>
      </c>
      <c r="AQ106" s="46" t="n">
        <f aca="false">SQRT(AO106)</f>
        <v>0.242236848678313</v>
      </c>
      <c r="AR106" s="46" t="n">
        <f aca="false">AQ106*(0.5*(AP106/AO106))</f>
        <v>0.000501047448494044</v>
      </c>
      <c r="AS106" s="46" t="n">
        <f aca="false">IF(NOT($M106="elegans"),AR106/0.0022,IF($M106="elegans",AR106/0.0006))</f>
        <v>0.835079080823407</v>
      </c>
      <c r="AT106" s="45" t="n">
        <f aca="false">Y106-AB106</f>
        <v>4.451409048</v>
      </c>
      <c r="AU106" s="45" t="n">
        <f aca="false">SQRT((AA106^2)+(AD106^2))</f>
        <v>0.200459472213213</v>
      </c>
      <c r="AV106" s="46" t="n">
        <f aca="false">IF(NOT($M106="elegans"),(0.045461+0.0044*((AT106))),IF($M106="elegans",(0.053337+0.0012*((AT106)))))</f>
        <v>0.0586786908576</v>
      </c>
      <c r="AW106" s="46" t="n">
        <f aca="false">IF(NOT($M106="elegans"),(0.0044*((AU106))),IF($M106="elegans",(0.0012*((AU106)))))</f>
        <v>0.000240551366655856</v>
      </c>
      <c r="AX106" s="46" t="n">
        <f aca="false">SQRT(AV106)</f>
        <v>0.242236848678313</v>
      </c>
      <c r="AY106" s="46" t="n">
        <f aca="false">AX106*(0.5*(AW106/AV106))</f>
        <v>0.000496521004067602</v>
      </c>
      <c r="AZ106" s="46" t="n">
        <f aca="false">IF(NOT($M106="elegans"),AY106/0.0022,IF($M106="elegans",AY106/0.0006))</f>
        <v>0.827535006779337</v>
      </c>
      <c r="BD106" s="31" t="n">
        <f aca="false">AL106</f>
        <v>1.27191886947801</v>
      </c>
      <c r="BE106" s="31" t="n">
        <f aca="false">AS106</f>
        <v>0.835079080823407</v>
      </c>
      <c r="BF106" s="31" t="n">
        <f aca="false">AZ106</f>
        <v>0.827535006779337</v>
      </c>
      <c r="BG106" s="14" t="n">
        <f aca="false">10^6/((BD106+273.15)^2)</f>
        <v>13.2789093593039</v>
      </c>
      <c r="BH106" s="14" t="n">
        <f aca="false">BG106*(2*($BE106/($BD106+273.15)))</f>
        <v>0.0808167180507112</v>
      </c>
      <c r="BI106" s="14" t="n">
        <f aca="false">BG106*(2*($BF106/($BD106+273.15)))</f>
        <v>0.0800866227591705</v>
      </c>
      <c r="BK106" s="14" t="n">
        <f aca="false">10^6/((AG106+273.15)^2)</f>
        <v>13.1751871791242</v>
      </c>
      <c r="BL106" s="14" t="n">
        <f aca="false">BK106*(2*($AH106/($AG106+273.15)))</f>
        <v>0.00225570044139709</v>
      </c>
      <c r="BM106" s="14" t="n">
        <f aca="false">10^6/((AI106+273.15)^2)</f>
        <v>13.1751871791242</v>
      </c>
      <c r="BN106" s="14" t="n">
        <f aca="false">BM106*(2*($AJ106/($AI106+273.15)))</f>
        <v>0.00225570044139709</v>
      </c>
    </row>
    <row r="107" s="14" customFormat="true" ht="16" hidden="false" customHeight="false" outlineLevel="0" collapsed="false">
      <c r="A107" s="22" t="s">
        <v>166</v>
      </c>
      <c r="B107" s="56" t="s">
        <v>388</v>
      </c>
      <c r="C107" s="14" t="s">
        <v>53</v>
      </c>
      <c r="D107" s="51" t="s">
        <v>389</v>
      </c>
      <c r="E107" s="24" t="s">
        <v>390</v>
      </c>
      <c r="F107" s="57" t="n">
        <v>26.2508</v>
      </c>
      <c r="G107" s="59" t="n">
        <v>-77.7037</v>
      </c>
      <c r="H107" s="22" t="s">
        <v>78</v>
      </c>
      <c r="I107" s="22" t="s">
        <v>391</v>
      </c>
      <c r="J107" s="22" t="n">
        <v>479</v>
      </c>
      <c r="K107" s="22" t="s">
        <v>166</v>
      </c>
      <c r="L107" s="22" t="s">
        <v>166</v>
      </c>
      <c r="M107" s="22"/>
      <c r="N107" s="22" t="n">
        <v>479</v>
      </c>
      <c r="O107" s="22" t="s">
        <v>172</v>
      </c>
      <c r="P107" s="22" t="s">
        <v>172</v>
      </c>
      <c r="Q107" s="22" t="n">
        <v>2</v>
      </c>
      <c r="R107" s="25" t="s">
        <v>234</v>
      </c>
      <c r="S107" s="25" t="n">
        <v>36.31</v>
      </c>
      <c r="T107" s="22" t="n">
        <v>121.684253968254</v>
      </c>
      <c r="U107" s="58" t="n">
        <v>3</v>
      </c>
      <c r="V107" s="56" t="n">
        <v>1.69666666666667</v>
      </c>
      <c r="W107" s="56" t="n">
        <v>0.0208166599946613</v>
      </c>
      <c r="X107" s="14" t="n">
        <f aca="false">W107/SQRT(U107)</f>
        <v>0.0120185042515466</v>
      </c>
      <c r="Y107" s="27" t="n">
        <v>0.913333333333333</v>
      </c>
      <c r="Z107" s="42" t="n">
        <v>0.055075705472861</v>
      </c>
      <c r="AA107" s="27" t="n">
        <f aca="false">Z107/SQRT(U107)</f>
        <v>0.0317979733805648</v>
      </c>
      <c r="AB107" s="27" t="n">
        <v>0.8292917558</v>
      </c>
      <c r="AC107" s="27" t="n">
        <v>0.2</v>
      </c>
      <c r="AD107" s="27" t="n">
        <v>0.2</v>
      </c>
      <c r="AE107" s="43" t="n">
        <v>0.64</v>
      </c>
      <c r="AF107" s="43" t="n">
        <v>0.00721110255092799</v>
      </c>
      <c r="AG107" s="29" t="n">
        <v>16.4746356964111</v>
      </c>
      <c r="AH107" s="55" t="n">
        <v>0.0757131330668926</v>
      </c>
      <c r="AI107" s="44" t="n">
        <v>16.4746356964111</v>
      </c>
      <c r="AJ107" s="44" t="n">
        <v>0.0757131330668926</v>
      </c>
      <c r="AK107" s="27" t="s">
        <v>63</v>
      </c>
      <c r="AL107" s="14" t="n">
        <f aca="false">IF(AND(O107="Benthic, infaunal",M107="elegans"),(0.243-SQRT(((Y107)-(AB107))*0.0012+0.053337))/0.0006,IF(O107="Benthic",(0.245-SQRT(((Y107)-(AB107))*0.0044+0.045461))/0.0022,IF(O107="Benthic, infaunal",(0.245-(SQRT(0.045461+0.0044*((Y107-0.47)-(AB107)))))/0.0022,IF(O107="Benthic, epifaunal",(0.245-SQRT(((Y107)-(AB107))*0.0044+0.045461))/0.0022))))</f>
        <v>14.0539758505992</v>
      </c>
      <c r="AM107" s="45" t="n">
        <f aca="false">Y107-AB107</f>
        <v>0.0840415775333336</v>
      </c>
      <c r="AN107" s="45" t="n">
        <f aca="false">SQRT((Z107^2)+(AC107^2))</f>
        <v>0.207444771766688</v>
      </c>
      <c r="AO107" s="46" t="n">
        <f aca="false">IF(NOT($M107="elegans"),(0.045461+0.0044*((AM107))),IF($M107="elegans",(0.053337+0.0012*((AM107)))))</f>
        <v>0.0458307829411467</v>
      </c>
      <c r="AP107" s="46" t="n">
        <f aca="false">IF(NOT($M107="elegans"),(0.0044*((AN107))),IF($M107="elegans",(0.0012*((AN107)))))</f>
        <v>0.000912756995773428</v>
      </c>
      <c r="AQ107" s="46" t="n">
        <f aca="false">SQRT(AO107)</f>
        <v>0.214081253128682</v>
      </c>
      <c r="AR107" s="46" t="n">
        <f aca="false">AQ107*(0.5*(AP107/AO107))</f>
        <v>0.00213180038521351</v>
      </c>
      <c r="AS107" s="46" t="n">
        <f aca="false">IF(NOT($M107="elegans"),AR107/0.0022,IF($M107="elegans",AR107/0.0006))</f>
        <v>0.969000175097049</v>
      </c>
      <c r="AT107" s="45" t="n">
        <f aca="false">Y107-AB107</f>
        <v>0.0840415775333336</v>
      </c>
      <c r="AU107" s="45" t="n">
        <f aca="false">SQRT((AA107^2)+(AD107^2))</f>
        <v>0.202512002387787</v>
      </c>
      <c r="AV107" s="46" t="n">
        <f aca="false">IF(NOT($M107="elegans"),(0.045461+0.0044*((AT107))),IF($M107="elegans",(0.053337+0.0012*((AT107)))))</f>
        <v>0.0458307829411467</v>
      </c>
      <c r="AW107" s="46" t="n">
        <f aca="false">IF(NOT($M107="elegans"),(0.0044*((AU107))),IF($M107="elegans",(0.0012*((AU107)))))</f>
        <v>0.000891052810506264</v>
      </c>
      <c r="AX107" s="46" t="n">
        <f aca="false">SQRT(AV107)</f>
        <v>0.214081253128682</v>
      </c>
      <c r="AY107" s="46" t="n">
        <f aca="false">AX107*(0.5*(AW107/AV107))</f>
        <v>0.00208110891888946</v>
      </c>
      <c r="AZ107" s="46" t="n">
        <f aca="false">IF(NOT($M107="elegans"),AY107/0.0022,IF($M107="elegans",AY107/0.0006))</f>
        <v>0.94595859949521</v>
      </c>
      <c r="BD107" s="31" t="n">
        <f aca="false">AL107</f>
        <v>14.0539758505992</v>
      </c>
      <c r="BE107" s="31" t="n">
        <f aca="false">AS107</f>
        <v>0.969000175097049</v>
      </c>
      <c r="BF107" s="31" t="n">
        <f aca="false">AZ107</f>
        <v>0.94595859949521</v>
      </c>
      <c r="BG107" s="14" t="n">
        <f aca="false">10^6/((BD107+273.15)^2)</f>
        <v>12.1232512161537</v>
      </c>
      <c r="BH107" s="14" t="n">
        <f aca="false">BG107*(2*($BE107/($BD107+273.15)))</f>
        <v>0.0818055008911809</v>
      </c>
      <c r="BI107" s="14" t="n">
        <f aca="false">BG107*(2*($BF107/($BD107+273.15)))</f>
        <v>0.0798602714868191</v>
      </c>
      <c r="BK107" s="14" t="n">
        <f aca="false">10^6/((AG107+273.15)^2)</f>
        <v>11.9214477303699</v>
      </c>
      <c r="BL107" s="14" t="n">
        <f aca="false">BK107*(2*($AH107/($AG107+273.15)))</f>
        <v>0.00623296534280758</v>
      </c>
      <c r="BM107" s="14" t="n">
        <f aca="false">10^6/((AI107+273.15)^2)</f>
        <v>11.9214477303699</v>
      </c>
      <c r="BN107" s="14" t="n">
        <f aca="false">BM107*(2*($AJ107/($AI107+273.15)))</f>
        <v>0.00623296534280758</v>
      </c>
    </row>
    <row r="108" s="14" customFormat="true" ht="16" hidden="false" customHeight="false" outlineLevel="0" collapsed="false">
      <c r="A108" s="22" t="s">
        <v>372</v>
      </c>
      <c r="B108" s="56" t="s">
        <v>392</v>
      </c>
      <c r="C108" s="14" t="s">
        <v>53</v>
      </c>
      <c r="D108" s="51" t="s">
        <v>393</v>
      </c>
      <c r="E108" s="24" t="s">
        <v>390</v>
      </c>
      <c r="F108" s="57" t="n">
        <v>26.2508</v>
      </c>
      <c r="G108" s="59" t="n">
        <v>-77.7037</v>
      </c>
      <c r="H108" s="22" t="s">
        <v>78</v>
      </c>
      <c r="I108" s="22" t="s">
        <v>391</v>
      </c>
      <c r="J108" s="22" t="n">
        <v>479</v>
      </c>
      <c r="K108" s="22" t="s">
        <v>372</v>
      </c>
      <c r="L108" s="22" t="s">
        <v>372</v>
      </c>
      <c r="M108" s="22"/>
      <c r="N108" s="22" t="n">
        <v>479</v>
      </c>
      <c r="O108" s="22" t="s">
        <v>375</v>
      </c>
      <c r="P108" s="22" t="s">
        <v>375</v>
      </c>
      <c r="Q108" s="22" t="n">
        <v>6</v>
      </c>
      <c r="R108" s="25" t="s">
        <v>234</v>
      </c>
      <c r="S108" s="25" t="n">
        <v>36.31</v>
      </c>
      <c r="T108" s="22" t="n">
        <v>121.684253968254</v>
      </c>
      <c r="U108" s="58" t="n">
        <v>3</v>
      </c>
      <c r="V108" s="56" t="n">
        <v>1.22333333333333</v>
      </c>
      <c r="W108" s="56" t="n">
        <v>0.0929157324317758</v>
      </c>
      <c r="X108" s="14" t="n">
        <f aca="false">W108/SQRT(U108)</f>
        <v>0.053644923131437</v>
      </c>
      <c r="Y108" s="27" t="n">
        <v>1.11666666666667</v>
      </c>
      <c r="Z108" s="42" t="n">
        <v>0.0351188458428424</v>
      </c>
      <c r="AA108" s="27" t="n">
        <f aca="false">Z108/SQRT(U108)</f>
        <v>0.020275875100994</v>
      </c>
      <c r="AB108" s="27" t="n">
        <v>0.8292917558</v>
      </c>
      <c r="AC108" s="27" t="n">
        <v>0.2</v>
      </c>
      <c r="AD108" s="27" t="n">
        <v>0.2</v>
      </c>
      <c r="AE108" s="43" t="n">
        <v>0.653333333333333</v>
      </c>
      <c r="AF108" s="43" t="n">
        <v>0.0112891294812507</v>
      </c>
      <c r="AG108" s="29" t="n">
        <v>16.4746356964111</v>
      </c>
      <c r="AH108" s="55" t="n">
        <v>0.0757131330668926</v>
      </c>
      <c r="AI108" s="44" t="n">
        <v>16.4746356964111</v>
      </c>
      <c r="AJ108" s="44" t="n">
        <v>0.0757131330668926</v>
      </c>
      <c r="AK108" s="27" t="s">
        <v>63</v>
      </c>
      <c r="AL108" s="14" t="n">
        <f aca="false">IF(AND(O108="Benthic, infaunal",M108="elegans"),(0.243-SQRT(((Y108)-(AB108))*0.0012+0.053337))/0.0006,IF(O108="Benthic",(0.245-SQRT(((Y108)-(AB108))*0.0044+0.045461))/0.0022,IF(O108="Benthic, infaunal",(0.245-(SQRT(0.045461+0.0044*((Y108-0.47)-(AB108)))))/0.0022,IF(O108="Benthic, epifaunal",(0.245-SQRT(((Y108)-(AB108))*0.0044+0.045461))/0.0022))))</f>
        <v>13.1087712728378</v>
      </c>
      <c r="AM108" s="45" t="n">
        <f aca="false">Y108-AB108</f>
        <v>0.287374910866667</v>
      </c>
      <c r="AN108" s="45" t="n">
        <f aca="false">SQRT((Z108^2)+(AC108^2))</f>
        <v>0.203059925473574</v>
      </c>
      <c r="AO108" s="46" t="n">
        <f aca="false">IF(NOT($M108="elegans"),(0.045461+0.0044*((AM108))),IF($M108="elegans",(0.053337+0.0012*((AM108)))))</f>
        <v>0.0467254496078133</v>
      </c>
      <c r="AP108" s="46" t="n">
        <f aca="false">IF(NOT($M108="elegans"),(0.0044*((AN108))),IF($M108="elegans",(0.0012*((AN108)))))</f>
        <v>0.000893463672083725</v>
      </c>
      <c r="AQ108" s="46" t="n">
        <f aca="false">SQRT(AO108)</f>
        <v>0.216160703199757</v>
      </c>
      <c r="AR108" s="46" t="n">
        <f aca="false">AQ108*(0.5*(AP108/AO108))</f>
        <v>0.00206666535327206</v>
      </c>
      <c r="AS108" s="46" t="n">
        <f aca="false">IF(NOT($M108="elegans"),AR108/0.0022,IF($M108="elegans",AR108/0.0006))</f>
        <v>0.939393342396391</v>
      </c>
      <c r="AT108" s="45" t="n">
        <f aca="false">Y108-AB108</f>
        <v>0.287374910866667</v>
      </c>
      <c r="AU108" s="45" t="n">
        <f aca="false">SQRT((AA108^2)+(AD108^2))</f>
        <v>0.201025150444195</v>
      </c>
      <c r="AV108" s="46" t="n">
        <f aca="false">IF(NOT($M108="elegans"),(0.045461+0.0044*((AT108))),IF($M108="elegans",(0.053337+0.0012*((AT108)))))</f>
        <v>0.0467254496078133</v>
      </c>
      <c r="AW108" s="46" t="n">
        <f aca="false">IF(NOT($M108="elegans"),(0.0044*((AU108))),IF($M108="elegans",(0.0012*((AU108)))))</f>
        <v>0.000884510661954457</v>
      </c>
      <c r="AX108" s="46" t="n">
        <f aca="false">SQRT(AV108)</f>
        <v>0.216160703199757</v>
      </c>
      <c r="AY108" s="46" t="n">
        <f aca="false">AX108*(0.5*(AW108/AV108))</f>
        <v>0.00204595620032072</v>
      </c>
      <c r="AZ108" s="46" t="n">
        <f aca="false">IF(NOT($M108="elegans"),AY108/0.0022,IF($M108="elegans",AY108/0.0006))</f>
        <v>0.929980091054871</v>
      </c>
      <c r="BD108" s="31" t="n">
        <f aca="false">AL108</f>
        <v>13.1087712728378</v>
      </c>
      <c r="BE108" s="31" t="n">
        <f aca="false">AS108</f>
        <v>0.939393342396391</v>
      </c>
      <c r="BF108" s="31" t="n">
        <f aca="false">AZ108</f>
        <v>0.929980091054871</v>
      </c>
      <c r="BG108" s="14" t="n">
        <f aca="false">10^6/((BD108+273.15)^2)</f>
        <v>12.2034434896582</v>
      </c>
      <c r="BH108" s="14" t="n">
        <f aca="false">BG108*(2*($BE108/($BD108+273.15)))</f>
        <v>0.0800941995071245</v>
      </c>
      <c r="BI108" s="14" t="n">
        <f aca="false">BG108*(2*($BF108/($BD108+273.15)))</f>
        <v>0.0792916104350803</v>
      </c>
      <c r="BK108" s="14" t="n">
        <f aca="false">10^6/((AG108+273.15)^2)</f>
        <v>11.9214477303699</v>
      </c>
      <c r="BL108" s="14" t="n">
        <f aca="false">BK108*(2*($AH108/($AG108+273.15)))</f>
        <v>0.00623296534280758</v>
      </c>
      <c r="BM108" s="14" t="n">
        <f aca="false">10^6/((AI108+273.15)^2)</f>
        <v>11.9214477303699</v>
      </c>
      <c r="BN108" s="14" t="n">
        <f aca="false">BM108*(2*($AJ108/($AI108+273.15)))</f>
        <v>0.00623296534280758</v>
      </c>
    </row>
    <row r="109" s="14" customFormat="true" ht="16" hidden="false" customHeight="false" outlineLevel="0" collapsed="false">
      <c r="A109" s="22" t="s">
        <v>166</v>
      </c>
      <c r="B109" s="56" t="s">
        <v>394</v>
      </c>
      <c r="C109" s="14" t="s">
        <v>53</v>
      </c>
      <c r="D109" s="51" t="s">
        <v>395</v>
      </c>
      <c r="E109" s="24" t="s">
        <v>396</v>
      </c>
      <c r="F109" s="57" t="n">
        <v>26.2258</v>
      </c>
      <c r="G109" s="59" t="n">
        <v>-77.7018</v>
      </c>
      <c r="H109" s="22" t="s">
        <v>78</v>
      </c>
      <c r="I109" s="22" t="s">
        <v>391</v>
      </c>
      <c r="J109" s="22" t="n">
        <v>830</v>
      </c>
      <c r="K109" s="22" t="s">
        <v>166</v>
      </c>
      <c r="L109" s="22" t="s">
        <v>166</v>
      </c>
      <c r="M109" s="22"/>
      <c r="N109" s="22" t="n">
        <v>830</v>
      </c>
      <c r="O109" s="22" t="s">
        <v>172</v>
      </c>
      <c r="P109" s="22" t="s">
        <v>172</v>
      </c>
      <c r="Q109" s="22" t="n">
        <v>2</v>
      </c>
      <c r="R109" s="25" t="s">
        <v>234</v>
      </c>
      <c r="S109" s="25" t="n">
        <v>35.17</v>
      </c>
      <c r="T109" s="22" t="n">
        <v>53.9396640316206</v>
      </c>
      <c r="U109" s="58" t="n">
        <v>4</v>
      </c>
      <c r="V109" s="56" t="n">
        <v>1.16</v>
      </c>
      <c r="W109" s="56" t="n">
        <v>0.0408248290463863</v>
      </c>
      <c r="X109" s="14" t="n">
        <f aca="false">W109/SQRT(U109)</f>
        <v>0.0204124145231932</v>
      </c>
      <c r="Y109" s="27" t="n">
        <v>2.16</v>
      </c>
      <c r="Z109" s="42" t="n">
        <v>0.0875595035770915</v>
      </c>
      <c r="AA109" s="27" t="n">
        <f aca="false">Z109/SQRT(U109)</f>
        <v>0.0437797517885458</v>
      </c>
      <c r="AB109" s="27" t="n">
        <v>0.377079863</v>
      </c>
      <c r="AC109" s="27" t="n">
        <v>0.2</v>
      </c>
      <c r="AD109" s="27" t="n">
        <v>0.2</v>
      </c>
      <c r="AE109" s="43" t="n">
        <v>0.6685</v>
      </c>
      <c r="AF109" s="43" t="n">
        <v>0.0115289490703475</v>
      </c>
      <c r="AG109" s="29" t="n">
        <v>8.60078086853028</v>
      </c>
      <c r="AH109" s="55" t="n">
        <v>0.0757131330668926</v>
      </c>
      <c r="AI109" s="44" t="n">
        <v>8.60078086853028</v>
      </c>
      <c r="AJ109" s="44" t="n">
        <v>0.0757131330668926</v>
      </c>
      <c r="AK109" s="27" t="s">
        <v>63</v>
      </c>
      <c r="AL109" s="14" t="n">
        <f aca="false">IF(AND(O109="Benthic, infaunal",M109="elegans"),(0.243-SQRT(((Y109)-(AB109))*0.0012+0.053337))/0.0006,IF(O109="Benthic",(0.245-SQRT(((Y109)-(AB109))*0.0044+0.045461))/0.0022,IF(O109="Benthic, infaunal",(0.245-(SQRT(0.045461+0.0044*((Y109-0.47)-(AB109)))))/0.0022,IF(O109="Benthic, epifaunal",(0.245-SQRT(((Y109)-(AB109))*0.0044+0.045461))/0.0022))))</f>
        <v>6.41791189987776</v>
      </c>
      <c r="AM109" s="45" t="n">
        <f aca="false">Y109-AB109</f>
        <v>1.782920137</v>
      </c>
      <c r="AN109" s="45" t="n">
        <f aca="false">SQRT((Z109^2)+(AC109^2))</f>
        <v>0.218326971917504</v>
      </c>
      <c r="AO109" s="46" t="n">
        <f aca="false">IF(NOT($M109="elegans"),(0.045461+0.0044*((AM109))),IF($M109="elegans",(0.053337+0.0012*((AM109)))))</f>
        <v>0.0533058486028</v>
      </c>
      <c r="AP109" s="46" t="n">
        <f aca="false">IF(NOT($M109="elegans"),(0.0044*((AN109))),IF($M109="elegans",(0.0012*((AN109)))))</f>
        <v>0.000960638676437019</v>
      </c>
      <c r="AQ109" s="46" t="n">
        <f aca="false">SQRT(AO109)</f>
        <v>0.230880593820269</v>
      </c>
      <c r="AR109" s="46" t="n">
        <f aca="false">AQ109*(0.5*(AP109/AO109))</f>
        <v>0.00208037986333498</v>
      </c>
      <c r="AS109" s="46" t="n">
        <f aca="false">IF(NOT($M109="elegans"),AR109/0.0022,IF($M109="elegans",AR109/0.0006))</f>
        <v>0.945627210606808</v>
      </c>
      <c r="AT109" s="45" t="n">
        <f aca="false">Y109-AB109</f>
        <v>1.782920137</v>
      </c>
      <c r="AU109" s="45" t="n">
        <f aca="false">SQRT((AA109^2)+(AD109^2))</f>
        <v>0.204735601854359</v>
      </c>
      <c r="AV109" s="46" t="n">
        <f aca="false">IF(NOT($M109="elegans"),(0.045461+0.0044*((AT109))),IF($M109="elegans",(0.053337+0.0012*((AT109)))))</f>
        <v>0.0533058486028</v>
      </c>
      <c r="AW109" s="46" t="n">
        <f aca="false">IF(NOT($M109="elegans"),(0.0044*((AU109))),IF($M109="elegans",(0.0012*((AU109)))))</f>
        <v>0.00090083664815918</v>
      </c>
      <c r="AX109" s="46" t="n">
        <f aca="false">SQRT(AV109)</f>
        <v>0.230880593820269</v>
      </c>
      <c r="AY109" s="46" t="n">
        <f aca="false">AX109*(0.5*(AW109/AV109))</f>
        <v>0.00195087129943118</v>
      </c>
      <c r="AZ109" s="46" t="n">
        <f aca="false">IF(NOT($M109="elegans"),AY109/0.0022,IF($M109="elegans",AY109/0.0006))</f>
        <v>0.886759681559627</v>
      </c>
      <c r="BD109" s="31" t="n">
        <f aca="false">AL109</f>
        <v>6.41791189987776</v>
      </c>
      <c r="BE109" s="31" t="n">
        <f aca="false">AS109</f>
        <v>0.945627210606808</v>
      </c>
      <c r="BF109" s="31" t="n">
        <f aca="false">AZ109</f>
        <v>0.886759681559627</v>
      </c>
      <c r="BG109" s="14" t="n">
        <f aca="false">10^6/((BD109+273.15)^2)</f>
        <v>12.7945599800727</v>
      </c>
      <c r="BH109" s="14" t="n">
        <f aca="false">BG109*(2*($BE109/($BD109+273.15)))</f>
        <v>0.0865541684142254</v>
      </c>
      <c r="BI109" s="14" t="n">
        <f aca="false">BG109*(2*($BF109/($BD109+273.15)))</f>
        <v>0.0811659668416317</v>
      </c>
      <c r="BK109" s="14" t="n">
        <f aca="false">10^6/((AG109+273.15)^2)</f>
        <v>12.5970758187159</v>
      </c>
      <c r="BL109" s="14" t="n">
        <f aca="false">BK109*(2*($AH109/($AG109+273.15)))</f>
        <v>0.00677026750219525</v>
      </c>
      <c r="BM109" s="14" t="n">
        <f aca="false">10^6/((AI109+273.15)^2)</f>
        <v>12.5970758187159</v>
      </c>
      <c r="BN109" s="14" t="n">
        <f aca="false">BM109*(2*($AJ109/($AI109+273.15)))</f>
        <v>0.00677026750219525</v>
      </c>
    </row>
    <row r="110" s="14" customFormat="true" ht="16" hidden="false" customHeight="false" outlineLevel="0" collapsed="false">
      <c r="A110" s="22" t="s">
        <v>372</v>
      </c>
      <c r="B110" s="56" t="s">
        <v>397</v>
      </c>
      <c r="C110" s="14" t="s">
        <v>53</v>
      </c>
      <c r="D110" s="51" t="s">
        <v>398</v>
      </c>
      <c r="E110" s="24" t="s">
        <v>396</v>
      </c>
      <c r="F110" s="57" t="n">
        <v>26.2258</v>
      </c>
      <c r="G110" s="59" t="n">
        <v>-77.7018</v>
      </c>
      <c r="H110" s="22" t="s">
        <v>78</v>
      </c>
      <c r="I110" s="22" t="s">
        <v>391</v>
      </c>
      <c r="J110" s="22" t="n">
        <v>830</v>
      </c>
      <c r="K110" s="22" t="s">
        <v>372</v>
      </c>
      <c r="L110" s="22" t="s">
        <v>372</v>
      </c>
      <c r="M110" s="22"/>
      <c r="N110" s="22" t="n">
        <v>830</v>
      </c>
      <c r="O110" s="22" t="s">
        <v>375</v>
      </c>
      <c r="P110" s="22" t="s">
        <v>375</v>
      </c>
      <c r="Q110" s="22" t="n">
        <v>6</v>
      </c>
      <c r="R110" s="25" t="s">
        <v>234</v>
      </c>
      <c r="S110" s="25" t="n">
        <v>35.17</v>
      </c>
      <c r="T110" s="22" t="n">
        <v>53.9396640316206</v>
      </c>
      <c r="U110" s="58" t="n">
        <v>3</v>
      </c>
      <c r="V110" s="56" t="n">
        <v>0.62</v>
      </c>
      <c r="W110" s="56" t="n">
        <v>0.0173205080756888</v>
      </c>
      <c r="X110" s="14" t="n">
        <f aca="false">W110/SQRT(U110)</f>
        <v>0.01</v>
      </c>
      <c r="Y110" s="27" t="n">
        <v>2.3</v>
      </c>
      <c r="Z110" s="42" t="n">
        <v>0.0458257569495583</v>
      </c>
      <c r="AA110" s="27" t="n">
        <f aca="false">Z110/SQRT(U110)</f>
        <v>0.0264575131106459</v>
      </c>
      <c r="AB110" s="27" t="n">
        <v>0.377079863</v>
      </c>
      <c r="AC110" s="27" t="n">
        <v>0.2</v>
      </c>
      <c r="AD110" s="27" t="n">
        <v>0.2</v>
      </c>
      <c r="AE110" s="43" t="n">
        <v>0.653333333333333</v>
      </c>
      <c r="AF110" s="43" t="n">
        <v>0.0108371788046726</v>
      </c>
      <c r="AG110" s="29" t="n">
        <v>8.60078086853028</v>
      </c>
      <c r="AH110" s="55" t="n">
        <v>0.0757131330668926</v>
      </c>
      <c r="AI110" s="44" t="n">
        <v>8.60078086853028</v>
      </c>
      <c r="AJ110" s="44" t="n">
        <v>0.0757131330668926</v>
      </c>
      <c r="AK110" s="27" t="s">
        <v>63</v>
      </c>
      <c r="AL110" s="14" t="n">
        <f aca="false">IF(AND(O110="Benthic, infaunal",M110="elegans"),(0.243-SQRT(((Y110)-(AB110))*0.0012+0.053337))/0.0006,IF(O110="Benthic",(0.245-SQRT(((Y110)-(AB110))*0.0044+0.045461))/0.0022,IF(O110="Benthic, infaunal",(0.245-(SQRT(0.045461+0.0044*((Y110-0.47)-(AB110)))))/0.0022,IF(O110="Benthic, epifaunal",(0.245-SQRT(((Y110)-(AB110))*0.0044+0.045461))/0.0022))))</f>
        <v>5.813279611535</v>
      </c>
      <c r="AM110" s="45" t="n">
        <f aca="false">Y110-AB110</f>
        <v>1.922920137</v>
      </c>
      <c r="AN110" s="45" t="n">
        <f aca="false">SQRT((Z110^2)+(AC110^2))</f>
        <v>0.205182845286832</v>
      </c>
      <c r="AO110" s="46" t="n">
        <f aca="false">IF(NOT($M110="elegans"),(0.045461+0.0044*((AM110))),IF($M110="elegans",(0.053337+0.0012*((AM110)))))</f>
        <v>0.0539218486028</v>
      </c>
      <c r="AP110" s="46" t="n">
        <f aca="false">IF(NOT($M110="elegans"),(0.0044*((AN110))),IF($M110="elegans",(0.0012*((AN110)))))</f>
        <v>0.00090280451926206</v>
      </c>
      <c r="AQ110" s="46" t="n">
        <f aca="false">SQRT(AO110)</f>
        <v>0.232210784854623</v>
      </c>
      <c r="AR110" s="46" t="n">
        <f aca="false">AQ110*(0.5*(AP110/AO110))</f>
        <v>0.00194393322391823</v>
      </c>
      <c r="AS110" s="46" t="n">
        <f aca="false">IF(NOT($M110="elegans"),AR110/0.0022,IF($M110="elegans",AR110/0.0006))</f>
        <v>0.883606010871924</v>
      </c>
      <c r="AT110" s="45" t="n">
        <f aca="false">Y110-AB110</f>
        <v>1.922920137</v>
      </c>
      <c r="AU110" s="45" t="n">
        <f aca="false">SQRT((AA110^2)+(AD110^2))</f>
        <v>0.20174241001832</v>
      </c>
      <c r="AV110" s="46" t="n">
        <f aca="false">IF(NOT($M110="elegans"),(0.045461+0.0044*((AT110))),IF($M110="elegans",(0.053337+0.0012*((AT110)))))</f>
        <v>0.0539218486028</v>
      </c>
      <c r="AW110" s="46" t="n">
        <f aca="false">IF(NOT($M110="elegans"),(0.0044*((AU110))),IF($M110="elegans",(0.0012*((AU110)))))</f>
        <v>0.000887666604080609</v>
      </c>
      <c r="AX110" s="46" t="n">
        <f aca="false">SQRT(AV110)</f>
        <v>0.232210784854623</v>
      </c>
      <c r="AY110" s="46" t="n">
        <f aca="false">AX110*(0.5*(AW110/AV110))</f>
        <v>0.00191133802126447</v>
      </c>
      <c r="AZ110" s="46" t="n">
        <f aca="false">IF(NOT($M110="elegans"),AY110/0.0022,IF($M110="elegans",AY110/0.0006))</f>
        <v>0.868790009665668</v>
      </c>
      <c r="BD110" s="31" t="n">
        <f aca="false">AL110</f>
        <v>5.813279611535</v>
      </c>
      <c r="BE110" s="31" t="n">
        <f aca="false">AS110</f>
        <v>0.883606010871924</v>
      </c>
      <c r="BF110" s="31" t="n">
        <f aca="false">AZ110</f>
        <v>0.868790009665668</v>
      </c>
      <c r="BG110" s="14" t="n">
        <f aca="false">10^6/((BD110+273.15)^2)</f>
        <v>12.8500826115702</v>
      </c>
      <c r="BH110" s="14" t="n">
        <f aca="false">BG110*(2*($BE110/($BD110+273.15)))</f>
        <v>0.0814043357361986</v>
      </c>
      <c r="BI110" s="14" t="n">
        <f aca="false">BG110*(2*($BF110/($BD110+273.15)))</f>
        <v>0.0800393758766885</v>
      </c>
      <c r="BK110" s="14" t="n">
        <f aca="false">10^6/((AG110+273.15)^2)</f>
        <v>12.5970758187159</v>
      </c>
      <c r="BL110" s="14" t="n">
        <f aca="false">BK110*(2*($AH110/($AG110+273.15)))</f>
        <v>0.00677026750219525</v>
      </c>
      <c r="BM110" s="14" t="n">
        <f aca="false">10^6/((AI110+273.15)^2)</f>
        <v>12.5970758187159</v>
      </c>
      <c r="BN110" s="14" t="n">
        <f aca="false">BM110*(2*($AJ110/($AI110+273.15)))</f>
        <v>0.00677026750219525</v>
      </c>
    </row>
    <row r="111" s="14" customFormat="true" ht="16" hidden="false" customHeight="false" outlineLevel="0" collapsed="false">
      <c r="A111" s="22" t="s">
        <v>372</v>
      </c>
      <c r="B111" s="56" t="s">
        <v>399</v>
      </c>
      <c r="C111" s="14" t="s">
        <v>53</v>
      </c>
      <c r="D111" s="51" t="s">
        <v>400</v>
      </c>
      <c r="E111" s="24" t="s">
        <v>401</v>
      </c>
      <c r="F111" s="57" t="n">
        <v>26.1928</v>
      </c>
      <c r="G111" s="57" t="n">
        <v>-77.7092</v>
      </c>
      <c r="H111" s="22" t="s">
        <v>78</v>
      </c>
      <c r="I111" s="22" t="s">
        <v>391</v>
      </c>
      <c r="J111" s="22" t="n">
        <v>1038</v>
      </c>
      <c r="K111" s="22" t="s">
        <v>372</v>
      </c>
      <c r="L111" s="22" t="s">
        <v>372</v>
      </c>
      <c r="M111" s="22"/>
      <c r="N111" s="22" t="n">
        <v>1038</v>
      </c>
      <c r="O111" s="22" t="s">
        <v>375</v>
      </c>
      <c r="P111" s="22" t="s">
        <v>375</v>
      </c>
      <c r="Q111" s="22" t="n">
        <v>6</v>
      </c>
      <c r="R111" s="25" t="s">
        <v>234</v>
      </c>
      <c r="S111" s="25" t="n">
        <v>35.07</v>
      </c>
      <c r="T111" s="22" t="n">
        <v>47.6362786561265</v>
      </c>
      <c r="U111" s="58" t="n">
        <v>5</v>
      </c>
      <c r="V111" s="56" t="n">
        <v>1.124</v>
      </c>
      <c r="W111" s="56" t="n">
        <v>0.0841427358718505</v>
      </c>
      <c r="X111" s="14" t="n">
        <f aca="false">W111/SQRT(U111)</f>
        <v>0.0376297754444535</v>
      </c>
      <c r="Y111" s="27" t="n">
        <v>2.756</v>
      </c>
      <c r="Z111" s="42" t="n">
        <v>0.0581377674149945</v>
      </c>
      <c r="AA111" s="27" t="n">
        <f aca="false">Z111/SQRT(U111)</f>
        <v>0.026</v>
      </c>
      <c r="AB111" s="27" t="n">
        <v>0.2958504282</v>
      </c>
      <c r="AC111" s="27" t="n">
        <v>0.2</v>
      </c>
      <c r="AD111" s="27" t="n">
        <v>0.2</v>
      </c>
      <c r="AE111" s="43" t="n">
        <v>0.653</v>
      </c>
      <c r="AF111" s="43" t="n">
        <v>0.0113357840487546</v>
      </c>
      <c r="AG111" s="29" t="n">
        <v>5.50696525573731</v>
      </c>
      <c r="AH111" s="55" t="n">
        <v>0.0757131330668926</v>
      </c>
      <c r="AI111" s="44" t="n">
        <v>5.50696525573731</v>
      </c>
      <c r="AJ111" s="44" t="n">
        <v>0.0757131330668926</v>
      </c>
      <c r="AK111" s="27" t="s">
        <v>63</v>
      </c>
      <c r="AL111" s="14" t="n">
        <f aca="false">IF(AND(O111="Benthic, infaunal",M111="elegans"),(0.243-SQRT(((Y111)-(AB111))*0.0012+0.053337))/0.0006,IF(O111="Benthic",(0.245-SQRT(((Y111)-(AB111))*0.0044+0.045461))/0.0022,IF(O111="Benthic, infaunal",(0.245-(SQRT(0.045461+0.0044*((Y111-0.47)-(AB111)))))/0.0022,IF(O111="Benthic, epifaunal",(0.245-SQRT(((Y111)-(AB111))*0.0044+0.045461))/0.0022))))</f>
        <v>3.52455158558108</v>
      </c>
      <c r="AM111" s="45" t="n">
        <f aca="false">Y111-AB111</f>
        <v>2.4601495718</v>
      </c>
      <c r="AN111" s="45" t="n">
        <f aca="false">SQRT((Z111^2)+(AC111^2))</f>
        <v>0.208278659492517</v>
      </c>
      <c r="AO111" s="46" t="n">
        <f aca="false">IF(NOT($M111="elegans"),(0.045461+0.0044*((AM111))),IF($M111="elegans",(0.053337+0.0012*((AM111)))))</f>
        <v>0.05628565811592</v>
      </c>
      <c r="AP111" s="46" t="n">
        <f aca="false">IF(NOT($M111="elegans"),(0.0044*((AN111))),IF($M111="elegans",(0.0012*((AN111)))))</f>
        <v>0.000916426101767077</v>
      </c>
      <c r="AQ111" s="46" t="n">
        <f aca="false">SQRT(AO111)</f>
        <v>0.237245986511722</v>
      </c>
      <c r="AR111" s="46" t="n">
        <f aca="false">AQ111*(0.5*(AP111/AO111))</f>
        <v>0.00193138378280173</v>
      </c>
      <c r="AS111" s="46" t="n">
        <f aca="false">IF(NOT($M111="elegans"),AR111/0.0022,IF($M111="elegans",AR111/0.0006))</f>
        <v>0.877901719455334</v>
      </c>
      <c r="AT111" s="45" t="n">
        <f aca="false">Y111-AB111</f>
        <v>2.4601495718</v>
      </c>
      <c r="AU111" s="45" t="n">
        <f aca="false">SQRT((AA111^2)+(AD111^2))</f>
        <v>0.201682919455268</v>
      </c>
      <c r="AV111" s="46" t="n">
        <f aca="false">IF(NOT($M111="elegans"),(0.045461+0.0044*((AT111))),IF($M111="elegans",(0.053337+0.0012*((AT111)))))</f>
        <v>0.05628565811592</v>
      </c>
      <c r="AW111" s="46" t="n">
        <f aca="false">IF(NOT($M111="elegans"),(0.0044*((AU111))),IF($M111="elegans",(0.0012*((AU111)))))</f>
        <v>0.000887404845603178</v>
      </c>
      <c r="AX111" s="46" t="n">
        <f aca="false">SQRT(AV111)</f>
        <v>0.237245986511722</v>
      </c>
      <c r="AY111" s="46" t="n">
        <f aca="false">AX111*(0.5*(AW111/AV111))</f>
        <v>0.00187022098592874</v>
      </c>
      <c r="AZ111" s="46" t="n">
        <f aca="false">IF(NOT($M111="elegans"),AY111/0.0022,IF($M111="elegans",AY111/0.0006))</f>
        <v>0.850100448149428</v>
      </c>
      <c r="BD111" s="31" t="n">
        <f aca="false">AL111</f>
        <v>3.52455158558108</v>
      </c>
      <c r="BE111" s="31" t="n">
        <f aca="false">AS111</f>
        <v>0.877901719455334</v>
      </c>
      <c r="BF111" s="31" t="n">
        <f aca="false">AZ111</f>
        <v>0.850100448149428</v>
      </c>
      <c r="BG111" s="14" t="n">
        <f aca="false">10^6/((BD111+273.15)^2)</f>
        <v>13.0635607885105</v>
      </c>
      <c r="BH111" s="14" t="n">
        <f aca="false">BG111*(2*($BE111/($BD111+273.15)))</f>
        <v>0.0829026190715284</v>
      </c>
      <c r="BI111" s="14" t="n">
        <f aca="false">BG111*(2*($BF111/($BD111+273.15)))</f>
        <v>0.0802772702953491</v>
      </c>
      <c r="BK111" s="14" t="n">
        <f aca="false">10^6/((AG111+273.15)^2)</f>
        <v>12.8783491090031</v>
      </c>
      <c r="BL111" s="14" t="n">
        <f aca="false">BK111*(2*($AH111/($AG111+273.15)))</f>
        <v>0.00699828306015596</v>
      </c>
      <c r="BM111" s="14" t="n">
        <f aca="false">10^6/((AI111+273.15)^2)</f>
        <v>12.8783491090031</v>
      </c>
      <c r="BN111" s="14" t="n">
        <f aca="false">BM111*(2*($AJ111/($AI111+273.15)))</f>
        <v>0.00699828306015596</v>
      </c>
    </row>
    <row r="112" s="14" customFormat="true" ht="16" hidden="false" customHeight="false" outlineLevel="0" collapsed="false">
      <c r="A112" s="22" t="s">
        <v>173</v>
      </c>
      <c r="B112" s="56" t="s">
        <v>402</v>
      </c>
      <c r="C112" s="14" t="s">
        <v>53</v>
      </c>
      <c r="D112" s="51" t="s">
        <v>403</v>
      </c>
      <c r="E112" s="24" t="s">
        <v>401</v>
      </c>
      <c r="F112" s="57" t="n">
        <v>26.1928</v>
      </c>
      <c r="G112" s="57" t="n">
        <v>-77.7092</v>
      </c>
      <c r="H112" s="22" t="s">
        <v>78</v>
      </c>
      <c r="I112" s="22" t="s">
        <v>391</v>
      </c>
      <c r="J112" s="22" t="n">
        <v>1038</v>
      </c>
      <c r="K112" s="22" t="s">
        <v>173</v>
      </c>
      <c r="L112" s="22" t="s">
        <v>176</v>
      </c>
      <c r="M112" s="22" t="s">
        <v>177</v>
      </c>
      <c r="N112" s="22" t="n">
        <v>1038</v>
      </c>
      <c r="O112" s="22" t="s">
        <v>178</v>
      </c>
      <c r="P112" s="22" t="s">
        <v>178</v>
      </c>
      <c r="Q112" s="22" t="n">
        <v>1</v>
      </c>
      <c r="R112" s="25" t="s">
        <v>234</v>
      </c>
      <c r="S112" s="25" t="n">
        <v>35.07</v>
      </c>
      <c r="T112" s="22" t="n">
        <v>47.6362786561265</v>
      </c>
      <c r="U112" s="58" t="n">
        <v>5</v>
      </c>
      <c r="V112" s="56" t="n">
        <v>2.902</v>
      </c>
      <c r="W112" s="56" t="n">
        <v>0.0704982269280582</v>
      </c>
      <c r="X112" s="14" t="n">
        <f aca="false">W112/SQRT(U112)</f>
        <v>0.0315277655408688</v>
      </c>
      <c r="Y112" s="27" t="n">
        <v>3.83</v>
      </c>
      <c r="Z112" s="42" t="n">
        <v>0.0489897948556636</v>
      </c>
      <c r="AA112" s="27" t="n">
        <f aca="false">Z112/SQRT(U112)</f>
        <v>0.0219089023002067</v>
      </c>
      <c r="AB112" s="27" t="n">
        <v>0.2958504282</v>
      </c>
      <c r="AC112" s="27" t="n">
        <v>0.2</v>
      </c>
      <c r="AD112" s="27" t="n">
        <v>0.2</v>
      </c>
      <c r="AE112" s="43" t="n">
        <v>0.6462</v>
      </c>
      <c r="AF112" s="43" t="n">
        <v>0.0133056379027839</v>
      </c>
      <c r="AG112" s="29" t="n">
        <v>5.50696525573731</v>
      </c>
      <c r="AH112" s="55" t="n">
        <v>0.0757131330668926</v>
      </c>
      <c r="AI112" s="44" t="n">
        <v>5.50696525573731</v>
      </c>
      <c r="AJ112" s="44" t="n">
        <v>0.0757131330668926</v>
      </c>
      <c r="AK112" s="27" t="s">
        <v>63</v>
      </c>
      <c r="AL112" s="14" t="n">
        <f aca="false">IF(AND(O112="Benthic, infaunal",M112="elegans"),(0.243-SQRT(((Y112)-(AB112))*0.0012+0.053337))/0.0006,IF(O112="Benthic",(0.245-SQRT(((Y112)-(AB112))*0.0044+0.045461))/0.0022,IF(O112="Benthic, infaunal",(0.245-(SQRT(0.045461+0.0044*((Y112-0.47)-(AB112)))))/0.0022,IF(O112="Benthic, epifaunal",(0.245-SQRT(((Y112)-(AB112))*0.0044+0.045461))/0.0022))))</f>
        <v>5.07646742658417</v>
      </c>
      <c r="AM112" s="45" t="n">
        <f aca="false">Y112-AB112</f>
        <v>3.5341495718</v>
      </c>
      <c r="AN112" s="45" t="n">
        <f aca="false">SQRT((Z112^2)+(AC112^2))</f>
        <v>0.20591260281974</v>
      </c>
      <c r="AO112" s="46" t="n">
        <f aca="false">IF(NOT($M112="elegans"),(0.045461+0.0044*((AM112))),IF($M112="elegans",(0.053337+0.0012*((AM112)))))</f>
        <v>0.05757797948616</v>
      </c>
      <c r="AP112" s="46" t="n">
        <f aca="false">IF(NOT($M112="elegans"),(0.0044*((AN112))),IF($M112="elegans",(0.0012*((AN112)))))</f>
        <v>0.000247095123383688</v>
      </c>
      <c r="AQ112" s="46" t="n">
        <f aca="false">SQRT(AO112)</f>
        <v>0.239954119544049</v>
      </c>
      <c r="AR112" s="46" t="n">
        <f aca="false">AQ112*(0.5*(AP112/AO112))</f>
        <v>0.000514879935908597</v>
      </c>
      <c r="AS112" s="46" t="n">
        <f aca="false">IF(NOT($M112="elegans"),AR112/0.0022,IF($M112="elegans",AR112/0.0006))</f>
        <v>0.858133226514328</v>
      </c>
      <c r="AT112" s="45" t="n">
        <f aca="false">Y112-AB112</f>
        <v>3.5341495718</v>
      </c>
      <c r="AU112" s="45" t="n">
        <f aca="false">SQRT((AA112^2)+(AD112^2))</f>
        <v>0.201196421439349</v>
      </c>
      <c r="AV112" s="46" t="n">
        <f aca="false">IF(NOT($M112="elegans"),(0.045461+0.0044*((AT112))),IF($M112="elegans",(0.053337+0.0012*((AT112)))))</f>
        <v>0.05757797948616</v>
      </c>
      <c r="AW112" s="46" t="n">
        <f aca="false">IF(NOT($M112="elegans"),(0.0044*((AU112))),IF($M112="elegans",(0.0012*((AU112)))))</f>
        <v>0.000241435705727218</v>
      </c>
      <c r="AX112" s="46" t="n">
        <f aca="false">SQRT(AV112)</f>
        <v>0.239954119544049</v>
      </c>
      <c r="AY112" s="46" t="n">
        <f aca="false">AX112*(0.5*(AW112/AV112))</f>
        <v>0.000503087228062565</v>
      </c>
      <c r="AZ112" s="46" t="n">
        <f aca="false">IF(NOT($M112="elegans"),AY112/0.0022,IF($M112="elegans",AY112/0.0006))</f>
        <v>0.838478713437608</v>
      </c>
      <c r="BD112" s="31" t="n">
        <f aca="false">AL112</f>
        <v>5.07646742658417</v>
      </c>
      <c r="BE112" s="31" t="n">
        <f aca="false">AS112</f>
        <v>0.858133226514328</v>
      </c>
      <c r="BF112" s="31" t="n">
        <f aca="false">AZ112</f>
        <v>0.838478713437608</v>
      </c>
      <c r="BG112" s="14" t="n">
        <f aca="false">10^6/((BD112+273.15)^2)</f>
        <v>12.9182330967491</v>
      </c>
      <c r="BH112" s="14" t="n">
        <f aca="false">BG112*(2*($BE112/($BD112+273.15)))</f>
        <v>0.0796873507449658</v>
      </c>
      <c r="BI112" s="14" t="n">
        <f aca="false">BG112*(2*($BF112/($BD112+273.15)))</f>
        <v>0.0778622074818061</v>
      </c>
      <c r="BK112" s="14" t="n">
        <f aca="false">10^6/((AG112+273.15)^2)</f>
        <v>12.8783491090031</v>
      </c>
      <c r="BL112" s="14" t="n">
        <f aca="false">BK112*(2*($AH112/($AG112+273.15)))</f>
        <v>0.00699828306015596</v>
      </c>
      <c r="BM112" s="14" t="n">
        <f aca="false">10^6/((AI112+273.15)^2)</f>
        <v>12.8783491090031</v>
      </c>
      <c r="BN112" s="14" t="n">
        <f aca="false">BM112*(2*($AJ112/($AI112+273.15)))</f>
        <v>0.00699828306015596</v>
      </c>
    </row>
    <row r="113" s="14" customFormat="true" ht="16" hidden="false" customHeight="false" outlineLevel="0" collapsed="false">
      <c r="A113" s="22" t="s">
        <v>372</v>
      </c>
      <c r="B113" s="56" t="s">
        <v>404</v>
      </c>
      <c r="C113" s="14" t="s">
        <v>53</v>
      </c>
      <c r="D113" s="51" t="s">
        <v>405</v>
      </c>
      <c r="E113" s="24" t="s">
        <v>406</v>
      </c>
      <c r="F113" s="57" t="n">
        <v>26.1685</v>
      </c>
      <c r="G113" s="59" t="n">
        <v>-77.7075</v>
      </c>
      <c r="H113" s="22" t="s">
        <v>78</v>
      </c>
      <c r="I113" s="22" t="s">
        <v>391</v>
      </c>
      <c r="J113" s="22" t="n">
        <v>1140</v>
      </c>
      <c r="K113" s="22" t="s">
        <v>372</v>
      </c>
      <c r="L113" s="22" t="s">
        <v>372</v>
      </c>
      <c r="M113" s="22"/>
      <c r="N113" s="22" t="n">
        <v>1140</v>
      </c>
      <c r="O113" s="22" t="s">
        <v>375</v>
      </c>
      <c r="P113" s="22" t="s">
        <v>375</v>
      </c>
      <c r="Q113" s="22" t="n">
        <v>6</v>
      </c>
      <c r="R113" s="25" t="s">
        <v>234</v>
      </c>
      <c r="S113" s="25" t="n">
        <v>35.04</v>
      </c>
      <c r="T113" s="22" t="n">
        <v>47.3961956521739</v>
      </c>
      <c r="U113" s="58" t="n">
        <v>4</v>
      </c>
      <c r="V113" s="56" t="n">
        <v>0.845</v>
      </c>
      <c r="W113" s="56" t="n">
        <v>0.0412310562561766</v>
      </c>
      <c r="X113" s="14" t="n">
        <f aca="false">W113/SQRT(U113)</f>
        <v>0.0206155281280883</v>
      </c>
      <c r="Y113" s="27" t="n">
        <v>2.6975</v>
      </c>
      <c r="Z113" s="42" t="n">
        <v>0.0464578662158878</v>
      </c>
      <c r="AA113" s="27" t="n">
        <f aca="false">Z113/SQRT(U113)</f>
        <v>0.0232289331079439</v>
      </c>
      <c r="AB113" s="27" t="n">
        <v>0.2936</v>
      </c>
      <c r="AC113" s="27" t="n">
        <v>0.2</v>
      </c>
      <c r="AD113" s="27" t="n">
        <v>0.2</v>
      </c>
      <c r="AE113" s="43" t="n">
        <v>0.659</v>
      </c>
      <c r="AF113" s="43" t="n">
        <v>0.011098047876391</v>
      </c>
      <c r="AG113" s="29" t="n">
        <v>4.73677349090576</v>
      </c>
      <c r="AH113" s="55" t="n">
        <v>0.0757131330668926</v>
      </c>
      <c r="AI113" s="44" t="n">
        <v>4.73677349090576</v>
      </c>
      <c r="AJ113" s="44" t="n">
        <v>0.0757131330668926</v>
      </c>
      <c r="AK113" s="27" t="s">
        <v>63</v>
      </c>
      <c r="AL113" s="14" t="n">
        <f aca="false">IF(AND(O113="Benthic, infaunal",M113="elegans"),(0.243-SQRT(((Y113)-(AB113))*0.0012+0.053337))/0.0006,IF(O113="Benthic",(0.245-SQRT(((Y113)-(AB113))*0.0044+0.045461))/0.0022,IF(O113="Benthic, infaunal",(0.245-(SQRT(0.045461+0.0044*((Y113-0.47)-(AB113)))))/0.0022,IF(O113="Benthic, epifaunal",(0.245-SQRT(((Y113)-(AB113))*0.0044+0.045461))/0.0022))))</f>
        <v>3.76190667770167</v>
      </c>
      <c r="AM113" s="45" t="n">
        <f aca="false">Y113-AB113</f>
        <v>2.4039</v>
      </c>
      <c r="AN113" s="45" t="n">
        <f aca="false">SQRT((Z113^2)+(AC113^2))</f>
        <v>0.205324945716134</v>
      </c>
      <c r="AO113" s="46" t="n">
        <f aca="false">IF(NOT($M113="elegans"),(0.045461+0.0044*((AM113))),IF($M113="elegans",(0.053337+0.0012*((AM113)))))</f>
        <v>0.05603816</v>
      </c>
      <c r="AP113" s="46" t="n">
        <f aca="false">IF(NOT($M113="elegans"),(0.0044*((AN113))),IF($M113="elegans",(0.0012*((AN113)))))</f>
        <v>0.000903429761150989</v>
      </c>
      <c r="AQ113" s="46" t="n">
        <f aca="false">SQRT(AO113)</f>
        <v>0.236723805309056</v>
      </c>
      <c r="AR113" s="46" t="n">
        <f aca="false">AQ113*(0.5*(AP113/AO113))</f>
        <v>0.00190819372806953</v>
      </c>
      <c r="AS113" s="46" t="n">
        <f aca="false">IF(NOT($M113="elegans"),AR113/0.0022,IF($M113="elegans",AR113/0.0006))</f>
        <v>0.867360785486151</v>
      </c>
      <c r="AT113" s="45" t="n">
        <f aca="false">Y113-AB113</f>
        <v>2.4039</v>
      </c>
      <c r="AU113" s="45" t="n">
        <f aca="false">SQRT((AA113^2)+(AD113^2))</f>
        <v>0.201344439539147</v>
      </c>
      <c r="AV113" s="46" t="n">
        <f aca="false">IF(NOT($M113="elegans"),(0.045461+0.0044*((AT113))),IF($M113="elegans",(0.053337+0.0012*((AT113)))))</f>
        <v>0.05603816</v>
      </c>
      <c r="AW113" s="46" t="n">
        <f aca="false">IF(NOT($M113="elegans"),(0.0044*((AU113))),IF($M113="elegans",(0.0012*((AU113)))))</f>
        <v>0.000885915533972248</v>
      </c>
      <c r="AX113" s="46" t="n">
        <f aca="false">SQRT(AV113)</f>
        <v>0.236723805309056</v>
      </c>
      <c r="AY113" s="46" t="n">
        <f aca="false">AX113*(0.5*(AW113/AV113))</f>
        <v>0.00187120077090607</v>
      </c>
      <c r="AZ113" s="46" t="n">
        <f aca="false">IF(NOT($M113="elegans"),AY113/0.0022,IF($M113="elegans",AY113/0.0006))</f>
        <v>0.850545804957303</v>
      </c>
      <c r="BD113" s="31" t="n">
        <f aca="false">AL113</f>
        <v>3.76190667770167</v>
      </c>
      <c r="BE113" s="31" t="n">
        <f aca="false">AS113</f>
        <v>0.867360785486151</v>
      </c>
      <c r="BF113" s="31" t="n">
        <f aca="false">AZ113</f>
        <v>0.850545804957303</v>
      </c>
      <c r="BG113" s="14" t="n">
        <f aca="false">10^6/((BD113+273.15)^2)</f>
        <v>13.0411755192917</v>
      </c>
      <c r="BH113" s="14" t="n">
        <f aca="false">BG113*(2*($BE113/($BD113+273.15)))</f>
        <v>0.0816967704840585</v>
      </c>
      <c r="BI113" s="14" t="n">
        <f aca="false">BG113*(2*($BF113/($BD113+273.15)))</f>
        <v>0.080112966341715</v>
      </c>
      <c r="BK113" s="14" t="n">
        <f aca="false">10^6/((AG113+273.15)^2)</f>
        <v>12.9498353750707</v>
      </c>
      <c r="BL113" s="14" t="n">
        <f aca="false">BK113*(2*($AH113/($AG113+273.15)))</f>
        <v>0.00705663387019152</v>
      </c>
      <c r="BM113" s="14" t="n">
        <f aca="false">10^6/((AI113+273.15)^2)</f>
        <v>12.9498353750707</v>
      </c>
      <c r="BN113" s="14" t="n">
        <f aca="false">BM113*(2*($AJ113/($AI113+273.15)))</f>
        <v>0.00705663387019152</v>
      </c>
    </row>
    <row r="114" s="14" customFormat="true" ht="16" hidden="false" customHeight="false" outlineLevel="0" collapsed="false">
      <c r="A114" s="22" t="s">
        <v>173</v>
      </c>
      <c r="B114" s="56" t="s">
        <v>407</v>
      </c>
      <c r="C114" s="14" t="s">
        <v>53</v>
      </c>
      <c r="D114" s="51" t="s">
        <v>408</v>
      </c>
      <c r="E114" s="24" t="s">
        <v>406</v>
      </c>
      <c r="F114" s="57" t="n">
        <v>26.1685</v>
      </c>
      <c r="G114" s="59" t="n">
        <v>-77.7075</v>
      </c>
      <c r="H114" s="22" t="s">
        <v>78</v>
      </c>
      <c r="I114" s="22" t="s">
        <v>391</v>
      </c>
      <c r="J114" s="22" t="n">
        <v>1140</v>
      </c>
      <c r="K114" s="22" t="s">
        <v>173</v>
      </c>
      <c r="L114" s="22" t="s">
        <v>176</v>
      </c>
      <c r="M114" s="22" t="s">
        <v>177</v>
      </c>
      <c r="N114" s="22" t="n">
        <v>1140</v>
      </c>
      <c r="O114" s="22" t="s">
        <v>178</v>
      </c>
      <c r="P114" s="22" t="s">
        <v>178</v>
      </c>
      <c r="Q114" s="22" t="n">
        <v>1</v>
      </c>
      <c r="R114" s="25" t="s">
        <v>234</v>
      </c>
      <c r="S114" s="25" t="n">
        <v>34.04</v>
      </c>
      <c r="T114" s="22" t="n">
        <v>47.3961956521739</v>
      </c>
      <c r="U114" s="58" t="n">
        <v>5</v>
      </c>
      <c r="V114" s="56" t="n">
        <v>2.566</v>
      </c>
      <c r="W114" s="56" t="n">
        <v>0.16379865689315</v>
      </c>
      <c r="X114" s="14" t="n">
        <f aca="false">W114/SQRT(U114)</f>
        <v>0.0732529862872497</v>
      </c>
      <c r="Y114" s="27" t="n">
        <v>3.628</v>
      </c>
      <c r="Z114" s="42" t="n">
        <v>0.321434285663493</v>
      </c>
      <c r="AA114" s="27" t="n">
        <f aca="false">Z114/SQRT(U114)</f>
        <v>0.143749782608531</v>
      </c>
      <c r="AB114" s="27" t="n">
        <v>0.2936</v>
      </c>
      <c r="AC114" s="27" t="n">
        <v>0.2</v>
      </c>
      <c r="AD114" s="27" t="n">
        <v>0.2</v>
      </c>
      <c r="AE114" s="43" t="n">
        <v>0.6402</v>
      </c>
      <c r="AF114" s="43" t="n">
        <v>0.0119306328415554</v>
      </c>
      <c r="AG114" s="29" t="n">
        <v>4.73677349090576</v>
      </c>
      <c r="AH114" s="55" t="n">
        <v>0.0757131330668926</v>
      </c>
      <c r="AI114" s="44" t="n">
        <v>4.73677349090576</v>
      </c>
      <c r="AJ114" s="44" t="n">
        <v>0.0757131330668926</v>
      </c>
      <c r="AK114" s="27" t="s">
        <v>63</v>
      </c>
      <c r="AL114" s="14" t="n">
        <f aca="false">IF(AND(O114="Benthic, infaunal",M114="elegans"),(0.243-SQRT(((Y114)-(AB114))*0.0012+0.053337))/0.0006,IF(O114="Benthic",(0.245-SQRT(((Y114)-(AB114))*0.0044+0.045461))/0.0022,IF(O114="Benthic, infaunal",(0.245-(SQRT(0.045461+0.0044*((Y114-0.47)-(AB114)))))/0.0022,IF(O114="Benthic, epifaunal",(0.245-SQRT(((Y114)-(AB114))*0.0044+0.045461))/0.0022))))</f>
        <v>5.90978463510282</v>
      </c>
      <c r="AM114" s="45" t="n">
        <f aca="false">Y114-AB114</f>
        <v>3.3344</v>
      </c>
      <c r="AN114" s="45" t="n">
        <f aca="false">SQRT((Z114^2)+(AC114^2))</f>
        <v>0.378576280292361</v>
      </c>
      <c r="AO114" s="46" t="n">
        <f aca="false">IF(NOT($M114="elegans"),(0.045461+0.0044*((AM114))),IF($M114="elegans",(0.053337+0.0012*((AM114)))))</f>
        <v>0.05733828</v>
      </c>
      <c r="AP114" s="46" t="n">
        <f aca="false">IF(NOT($M114="elegans"),(0.0044*((AN114))),IF($M114="elegans",(0.0012*((AN114)))))</f>
        <v>0.000454291536350833</v>
      </c>
      <c r="AQ114" s="46" t="n">
        <f aca="false">SQRT(AO114)</f>
        <v>0.239454129218938</v>
      </c>
      <c r="AR114" s="46" t="n">
        <f aca="false">AQ114*(0.5*(AP114/AO114))</f>
        <v>0.000948598251015049</v>
      </c>
      <c r="AS114" s="46" t="n">
        <f aca="false">IF(NOT($M114="elegans"),AR114/0.0022,IF($M114="elegans",AR114/0.0006))</f>
        <v>1.58099708502508</v>
      </c>
      <c r="AT114" s="45" t="n">
        <f aca="false">Y114-AB114</f>
        <v>3.3344</v>
      </c>
      <c r="AU114" s="45" t="n">
        <f aca="false">SQRT((AA114^2)+(AD114^2))</f>
        <v>0.246300629313041</v>
      </c>
      <c r="AV114" s="46" t="n">
        <f aca="false">IF(NOT($M114="elegans"),(0.045461+0.0044*((AT114))),IF($M114="elegans",(0.053337+0.0012*((AT114)))))</f>
        <v>0.05733828</v>
      </c>
      <c r="AW114" s="46" t="n">
        <f aca="false">IF(NOT($M114="elegans"),(0.0044*((AU114))),IF($M114="elegans",(0.0012*((AU114)))))</f>
        <v>0.000295560755175649</v>
      </c>
      <c r="AX114" s="46" t="n">
        <f aca="false">SQRT(AV114)</f>
        <v>0.239454129218938</v>
      </c>
      <c r="AY114" s="46" t="n">
        <f aca="false">AX114*(0.5*(AW114/AV114))</f>
        <v>0.000617155269236162</v>
      </c>
      <c r="AZ114" s="46" t="n">
        <f aca="false">IF(NOT($M114="elegans"),AY114/0.0022,IF($M114="elegans",AY114/0.0006))</f>
        <v>1.0285921153936</v>
      </c>
      <c r="BD114" s="31" t="n">
        <f aca="false">AL114</f>
        <v>5.90978463510282</v>
      </c>
      <c r="BE114" s="31" t="n">
        <f aca="false">AS114</f>
        <v>1.58099708502508</v>
      </c>
      <c r="BF114" s="31" t="n">
        <f aca="false">AZ114</f>
        <v>1.0285921153936</v>
      </c>
      <c r="BG114" s="14" t="n">
        <f aca="false">10^6/((BD114+273.15)^2)</f>
        <v>12.841196464823</v>
      </c>
      <c r="BH114" s="14" t="n">
        <f aca="false">BG114*(2*($BE114/($BD114+273.15)))</f>
        <v>0.145502113145155</v>
      </c>
      <c r="BI114" s="14" t="n">
        <f aca="false">BG114*(2*($BF114/($BD114+273.15)))</f>
        <v>0.094663252558647</v>
      </c>
      <c r="BK114" s="14" t="n">
        <f aca="false">10^6/((AG114+273.15)^2)</f>
        <v>12.9498353750707</v>
      </c>
      <c r="BL114" s="14" t="n">
        <f aca="false">BK114*(2*($AH114/($AG114+273.15)))</f>
        <v>0.00705663387019152</v>
      </c>
      <c r="BM114" s="14" t="n">
        <f aca="false">10^6/((AI114+273.15)^2)</f>
        <v>12.9498353750707</v>
      </c>
      <c r="BN114" s="14" t="n">
        <f aca="false">BM114*(2*($AJ114/($AI114+273.15)))</f>
        <v>0.00705663387019152</v>
      </c>
    </row>
    <row r="115" s="14" customFormat="true" ht="16" hidden="false" customHeight="false" outlineLevel="0" collapsed="false">
      <c r="A115" s="22" t="s">
        <v>166</v>
      </c>
      <c r="B115" s="56" t="s">
        <v>409</v>
      </c>
      <c r="C115" s="14" t="s">
        <v>53</v>
      </c>
      <c r="D115" s="51" t="s">
        <v>410</v>
      </c>
      <c r="E115" s="24" t="s">
        <v>341</v>
      </c>
      <c r="F115" s="59" t="n">
        <v>-29.1248</v>
      </c>
      <c r="G115" s="59" t="n">
        <v>47.549</v>
      </c>
      <c r="H115" s="22" t="s">
        <v>120</v>
      </c>
      <c r="I115" s="22" t="s">
        <v>342</v>
      </c>
      <c r="J115" s="22" t="n">
        <v>3520</v>
      </c>
      <c r="K115" s="22" t="s">
        <v>166</v>
      </c>
      <c r="L115" s="22" t="s">
        <v>166</v>
      </c>
      <c r="M115" s="22"/>
      <c r="N115" s="22" t="n">
        <v>3520</v>
      </c>
      <c r="O115" s="22" t="s">
        <v>172</v>
      </c>
      <c r="P115" s="22" t="s">
        <v>172</v>
      </c>
      <c r="Q115" s="22" t="n">
        <v>2</v>
      </c>
      <c r="R115" s="25" t="s">
        <v>234</v>
      </c>
      <c r="S115" s="25" t="n">
        <v>35.5302105263158</v>
      </c>
      <c r="T115" s="14" t="n">
        <v>-2.645</v>
      </c>
      <c r="U115" s="58" t="n">
        <v>3</v>
      </c>
      <c r="V115" s="56" t="n">
        <v>0.453333333333333</v>
      </c>
      <c r="W115" s="56" t="n">
        <v>0.0208166599946613</v>
      </c>
      <c r="X115" s="14" t="n">
        <f aca="false">W115/SQRT(U115)</f>
        <v>0.0120185042515466</v>
      </c>
      <c r="Y115" s="27" t="n">
        <v>3.81666666666667</v>
      </c>
      <c r="Z115" s="42" t="n">
        <v>0.119303534454489</v>
      </c>
      <c r="AA115" s="27" t="n">
        <f aca="false">Z115/SQRT(U115)</f>
        <v>0.0688799277325728</v>
      </c>
      <c r="AB115" s="27" t="n">
        <v>-0.1005</v>
      </c>
      <c r="AC115" s="27" t="n">
        <v>0.2</v>
      </c>
      <c r="AD115" s="27" t="n">
        <v>0.2</v>
      </c>
      <c r="AE115" s="43" t="n">
        <v>0.676</v>
      </c>
      <c r="AF115" s="43" t="n">
        <v>0.0145258390463339</v>
      </c>
      <c r="AG115" s="29" t="n">
        <v>1.68299996852875</v>
      </c>
      <c r="AH115" s="55" t="n">
        <v>0.118710497997596</v>
      </c>
      <c r="AI115" s="44" t="n">
        <v>1.68299996852875</v>
      </c>
      <c r="AJ115" s="44" t="n">
        <v>0.118710497997596</v>
      </c>
      <c r="AK115" s="27" t="s">
        <v>63</v>
      </c>
      <c r="AL115" s="14" t="n">
        <f aca="false">IF(AND(O115="Benthic, infaunal",M115="elegans"),(0.243-SQRT(((Y115)-(AB115))*0.0012+0.053337))/0.0006,IF(O115="Benthic",(0.245-SQRT(((Y115)-(AB115))*0.0044+0.045461))/0.0022,IF(O115="Benthic, infaunal",(0.245-(SQRT(0.045461+0.0044*((Y115-0.47)-(AB115)))))/0.0022,IF(O115="Benthic, epifaunal",(0.245-SQRT(((Y115)-(AB115))*0.0044+0.045461))/0.0022))))</f>
        <v>-2.45125370397266</v>
      </c>
      <c r="AM115" s="45" t="n">
        <f aca="false">Y115-AB115</f>
        <v>3.91716666666667</v>
      </c>
      <c r="AN115" s="45" t="n">
        <f aca="false">SQRT((Z115^2)+(AC115^2))</f>
        <v>0.232880512996114</v>
      </c>
      <c r="AO115" s="46" t="n">
        <f aca="false">IF(NOT($M115="elegans"),(0.045461+0.0044*((AM115))),IF($M115="elegans",(0.053337+0.0012*((AM115)))))</f>
        <v>0.0626965333333333</v>
      </c>
      <c r="AP115" s="46" t="n">
        <f aca="false">IF(NOT($M115="elegans"),(0.0044*((AN115))),IF($M115="elegans",(0.0012*((AN115)))))</f>
        <v>0.0010246742571829</v>
      </c>
      <c r="AQ115" s="46" t="n">
        <f aca="false">SQRT(AO115)</f>
        <v>0.25039275814874</v>
      </c>
      <c r="AR115" s="46" t="n">
        <f aca="false">AQ115*(0.5*(AP115/AO115))</f>
        <v>0.00204613397120339</v>
      </c>
      <c r="AS115" s="46" t="n">
        <f aca="false">IF(NOT($M115="elegans"),AR115/0.0022,IF($M115="elegans",AR115/0.0006))</f>
        <v>0.930060896001542</v>
      </c>
      <c r="AT115" s="45" t="n">
        <f aca="false">Y115-AB115</f>
        <v>3.91716666666667</v>
      </c>
      <c r="AU115" s="45" t="n">
        <f aca="false">SQRT((AA115^2)+(AD115^2))</f>
        <v>0.211528826509401</v>
      </c>
      <c r="AV115" s="46" t="n">
        <f aca="false">IF(NOT($M115="elegans"),(0.045461+0.0044*((AT115))),IF($M115="elegans",(0.053337+0.0012*((AT115)))))</f>
        <v>0.0626965333333333</v>
      </c>
      <c r="AW115" s="46" t="n">
        <f aca="false">IF(NOT($M115="elegans"),(0.0044*((AU115))),IF($M115="elegans",(0.0012*((AU115)))))</f>
        <v>0.000930726836641366</v>
      </c>
      <c r="AX115" s="46" t="n">
        <f aca="false">SQRT(AV115)</f>
        <v>0.25039275814874</v>
      </c>
      <c r="AY115" s="46" t="n">
        <f aca="false">AX115*(0.5*(AW115/AV115))</f>
        <v>0.0018585338560161</v>
      </c>
      <c r="AZ115" s="46" t="n">
        <f aca="false">IF(NOT($M115="elegans"),AY115/0.0022,IF($M115="elegans",AY115/0.0006))</f>
        <v>0.844788116370953</v>
      </c>
      <c r="BD115" s="31" t="n">
        <f aca="false">AL115</f>
        <v>-2.45125370397266</v>
      </c>
      <c r="BE115" s="31" t="n">
        <f aca="false">AS115</f>
        <v>0.930060896001542</v>
      </c>
      <c r="BF115" s="31" t="n">
        <f aca="false">AZ115</f>
        <v>0.844788116370953</v>
      </c>
      <c r="BG115" s="14" t="n">
        <f aca="false">10^6/((BD115+273.15)^2)</f>
        <v>13.6466958140934</v>
      </c>
      <c r="BH115" s="14" t="n">
        <f aca="false">BG115*(2*($BE115/($BD115+273.15)))</f>
        <v>0.0937740444681359</v>
      </c>
      <c r="BI115" s="14" t="n">
        <f aca="false">BG115*(2*($BF115/($BD115+273.15)))</f>
        <v>0.085176356442139</v>
      </c>
      <c r="BK115" s="14" t="n">
        <f aca="false">10^6/((AG115+273.15)^2)</f>
        <v>13.239215245234</v>
      </c>
      <c r="BL115" s="14" t="n">
        <f aca="false">BK115*(2*($AH115/($AG115+273.15)))</f>
        <v>0.0114370096388648</v>
      </c>
      <c r="BM115" s="14" t="n">
        <f aca="false">10^6/((AI115+273.15)^2)</f>
        <v>13.239215245234</v>
      </c>
      <c r="BN115" s="14" t="n">
        <f aca="false">BM115*(2*($AJ115/($AI115+273.15)))</f>
        <v>0.0114370096388648</v>
      </c>
    </row>
    <row r="116" s="14" customFormat="true" ht="16" hidden="false" customHeight="false" outlineLevel="0" collapsed="false">
      <c r="A116" s="22" t="s">
        <v>184</v>
      </c>
      <c r="B116" s="56" t="s">
        <v>411</v>
      </c>
      <c r="C116" s="14" t="s">
        <v>53</v>
      </c>
      <c r="D116" s="23" t="s">
        <v>412</v>
      </c>
      <c r="E116" s="24" t="s">
        <v>413</v>
      </c>
      <c r="F116" s="59" t="n">
        <v>23.3</v>
      </c>
      <c r="G116" s="59" t="n">
        <v>66.7</v>
      </c>
      <c r="H116" s="22" t="s">
        <v>125</v>
      </c>
      <c r="I116" s="22" t="s">
        <v>121</v>
      </c>
      <c r="J116" s="22" t="n">
        <v>151</v>
      </c>
      <c r="K116" s="22" t="s">
        <v>184</v>
      </c>
      <c r="L116" s="22" t="s">
        <v>184</v>
      </c>
      <c r="M116" s="22"/>
      <c r="N116" s="22" t="n">
        <v>151</v>
      </c>
      <c r="O116" s="22" t="s">
        <v>178</v>
      </c>
      <c r="P116" s="22" t="s">
        <v>178</v>
      </c>
      <c r="Q116" s="22" t="n">
        <v>1</v>
      </c>
      <c r="R116" s="25" t="s">
        <v>234</v>
      </c>
      <c r="S116" s="25" t="n">
        <v>35.742</v>
      </c>
      <c r="T116" s="22" t="n">
        <v>62.2654680851064</v>
      </c>
      <c r="U116" s="58" t="n">
        <v>5</v>
      </c>
      <c r="V116" s="56" t="n">
        <v>-0.39</v>
      </c>
      <c r="W116" s="56" t="n">
        <v>0.085732140997411</v>
      </c>
      <c r="X116" s="14" t="n">
        <f aca="false">W116/SQRT(U116)</f>
        <v>0.0383405790253615</v>
      </c>
      <c r="Y116" s="27" t="n">
        <v>0.944</v>
      </c>
      <c r="Z116" s="42" t="n">
        <v>0.096591925128346</v>
      </c>
      <c r="AA116" s="27" t="n">
        <f aca="false">Z116/SQRT(U116)</f>
        <v>0.0431972221329104</v>
      </c>
      <c r="AB116" s="27" t="n">
        <v>0.6055</v>
      </c>
      <c r="AC116" s="27" t="n">
        <v>0.2</v>
      </c>
      <c r="AD116" s="27" t="n">
        <v>0.2</v>
      </c>
      <c r="AE116" s="43" t="n">
        <v>0.6288</v>
      </c>
      <c r="AF116" s="43" t="n">
        <v>0.00406693988153256</v>
      </c>
      <c r="AG116" s="29" t="n">
        <v>19.9146427154541</v>
      </c>
      <c r="AH116" s="55" t="n">
        <v>0.0979857999350755</v>
      </c>
      <c r="AI116" s="44" t="n">
        <v>19.9146427154541</v>
      </c>
      <c r="AJ116" s="44" t="n">
        <v>0.0979857999350755</v>
      </c>
      <c r="AK116" s="27" t="s">
        <v>63</v>
      </c>
      <c r="AL116" s="14" t="n">
        <f aca="false">IF(AND(O116="Benthic, infaunal",M116="elegans"),(0.243-SQRT(((Y116)-(AB116))*0.0012+0.053337))/0.0006,IF(O116="Benthic",(0.245-SQRT(((Y116)-(AB116))*0.0044+0.045461))/0.0022,IF(O116="Benthic, infaunal",(0.245-(SQRT(0.045461+0.0044*((Y116-0.47)-(AB116)))))/0.0022,IF(O116="Benthic, epifaunal",(0.245-SQRT(((Y116)-(AB116))*0.0044+0.045461))/0.0022))))</f>
        <v>15.0660603791088</v>
      </c>
      <c r="AM116" s="45" t="n">
        <f aca="false">Y116-AB116</f>
        <v>0.3385</v>
      </c>
      <c r="AN116" s="45" t="n">
        <f aca="false">SQRT((Z116^2)+(AC116^2))</f>
        <v>0.222103579439864</v>
      </c>
      <c r="AO116" s="46" t="n">
        <f aca="false">IF(NOT($M116="elegans"),(0.045461+0.0044*((AM116))),IF($M116="elegans",(0.053337+0.0012*((AM116)))))</f>
        <v>0.0469504</v>
      </c>
      <c r="AP116" s="46" t="n">
        <f aca="false">IF(NOT($M116="elegans"),(0.0044*((AN116))),IF($M116="elegans",(0.0012*((AN116)))))</f>
        <v>0.000977255749535402</v>
      </c>
      <c r="AQ116" s="46" t="n">
        <f aca="false">SQRT(AO116)</f>
        <v>0.216680409820546</v>
      </c>
      <c r="AR116" s="46" t="n">
        <f aca="false">AQ116*(0.5*(AP116/AO116))</f>
        <v>0.00225506253736727</v>
      </c>
      <c r="AS116" s="46" t="n">
        <f aca="false">IF(NOT($M116="elegans"),AR116/0.0022,IF($M116="elegans",AR116/0.0006))</f>
        <v>1.02502842607603</v>
      </c>
      <c r="AT116" s="45" t="n">
        <f aca="false">Y116-AB116</f>
        <v>0.3385</v>
      </c>
      <c r="AU116" s="45" t="n">
        <f aca="false">SQRT((AA116^2)+(AD116^2))</f>
        <v>0.204611827615121</v>
      </c>
      <c r="AV116" s="46" t="n">
        <f aca="false">IF(NOT($M116="elegans"),(0.045461+0.0044*((AT116))),IF($M116="elegans",(0.053337+0.0012*((AT116)))))</f>
        <v>0.0469504</v>
      </c>
      <c r="AW116" s="46" t="n">
        <f aca="false">IF(NOT($M116="elegans"),(0.0044*((AU116))),IF($M116="elegans",(0.0012*((AU116)))))</f>
        <v>0.000900292041506533</v>
      </c>
      <c r="AX116" s="46" t="n">
        <f aca="false">SQRT(AV116)</f>
        <v>0.216680409820546</v>
      </c>
      <c r="AY116" s="46" t="n">
        <f aca="false">AX116*(0.5*(AW116/AV116))</f>
        <v>0.00207746524536332</v>
      </c>
      <c r="AZ116" s="46" t="n">
        <f aca="false">IF(NOT($M116="elegans"),AY116/0.0022,IF($M116="elegans",AY116/0.0006))</f>
        <v>0.944302384256054</v>
      </c>
      <c r="BD116" s="31" t="n">
        <f aca="false">AL116</f>
        <v>15.0660603791088</v>
      </c>
      <c r="BE116" s="31" t="n">
        <f aca="false">AS116</f>
        <v>1.02502842607603</v>
      </c>
      <c r="BF116" s="31" t="n">
        <f aca="false">AZ116</f>
        <v>0.944302384256054</v>
      </c>
      <c r="BG116" s="14" t="n">
        <f aca="false">10^6/((BD116+273.15)^2)</f>
        <v>12.0382579506276</v>
      </c>
      <c r="BH116" s="14" t="n">
        <f aca="false">BG116*(2*($BE116/($BD116+273.15)))</f>
        <v>0.085627126979656</v>
      </c>
      <c r="BI116" s="14" t="n">
        <f aca="false">BG116*(2*($BF116/($BD116+273.15)))</f>
        <v>0.0788835685986015</v>
      </c>
      <c r="BK116" s="14" t="n">
        <f aca="false">10^6/((AG116+273.15)^2)</f>
        <v>11.6432212230418</v>
      </c>
      <c r="BL116" s="14" t="n">
        <f aca="false">BK116*(2*($AH116/($AG116+273.15)))</f>
        <v>0.00778579316010158</v>
      </c>
      <c r="BM116" s="14" t="n">
        <f aca="false">10^6/((AI116+273.15)^2)</f>
        <v>11.6432212230418</v>
      </c>
      <c r="BN116" s="14" t="n">
        <f aca="false">BM116*(2*($AJ116/($AI116+273.15)))</f>
        <v>0.00778579316010158</v>
      </c>
    </row>
    <row r="117" s="14" customFormat="true" ht="16" hidden="false" customHeight="false" outlineLevel="0" collapsed="false">
      <c r="A117" s="22" t="s">
        <v>414</v>
      </c>
      <c r="B117" s="56" t="s">
        <v>415</v>
      </c>
      <c r="C117" s="14" t="s">
        <v>53</v>
      </c>
      <c r="D117" s="23" t="s">
        <v>416</v>
      </c>
      <c r="E117" s="24" t="s">
        <v>413</v>
      </c>
      <c r="F117" s="59" t="n">
        <v>23.3</v>
      </c>
      <c r="G117" s="59" t="n">
        <v>66.7</v>
      </c>
      <c r="H117" s="22" t="s">
        <v>125</v>
      </c>
      <c r="I117" s="22" t="s">
        <v>121</v>
      </c>
      <c r="J117" s="22" t="n">
        <v>151</v>
      </c>
      <c r="K117" s="22" t="s">
        <v>414</v>
      </c>
      <c r="L117" s="22" t="s">
        <v>414</v>
      </c>
      <c r="M117" s="22"/>
      <c r="N117" s="22" t="n">
        <v>151</v>
      </c>
      <c r="O117" s="22" t="s">
        <v>178</v>
      </c>
      <c r="P117" s="22" t="s">
        <v>178</v>
      </c>
      <c r="Q117" s="22" t="n">
        <v>1</v>
      </c>
      <c r="R117" s="25" t="s">
        <v>234</v>
      </c>
      <c r="S117" s="25" t="n">
        <v>35.742</v>
      </c>
      <c r="T117" s="22" t="n">
        <v>62.2654680851064</v>
      </c>
      <c r="U117" s="58" t="n">
        <v>3</v>
      </c>
      <c r="V117" s="56" t="n">
        <v>-0.236666666666667</v>
      </c>
      <c r="W117" s="56" t="n">
        <v>0.0115470053837925</v>
      </c>
      <c r="X117" s="14" t="n">
        <f aca="false">W117/SQRT(U117)</f>
        <v>0.00666666666666666</v>
      </c>
      <c r="Y117" s="27" t="n">
        <v>0.846666666666667</v>
      </c>
      <c r="Z117" s="42" t="n">
        <v>0.0577350269189626</v>
      </c>
      <c r="AA117" s="27" t="n">
        <f aca="false">Z117/SQRT(U117)</f>
        <v>0.0333333333333333</v>
      </c>
      <c r="AB117" s="27" t="n">
        <v>0.6055</v>
      </c>
      <c r="AC117" s="27" t="n">
        <v>0.2</v>
      </c>
      <c r="AD117" s="27" t="n">
        <v>0.2</v>
      </c>
      <c r="AE117" s="43" t="n">
        <v>0.620666666666667</v>
      </c>
      <c r="AF117" s="43" t="n">
        <v>0.0167564249700758</v>
      </c>
      <c r="AG117" s="29" t="n">
        <v>19.9146427154541</v>
      </c>
      <c r="AH117" s="55" t="n">
        <v>0.0979857999350755</v>
      </c>
      <c r="AI117" s="44" t="n">
        <v>19.9146427154541</v>
      </c>
      <c r="AJ117" s="44" t="n">
        <v>0.0979857999350755</v>
      </c>
      <c r="AK117" s="27" t="s">
        <v>63</v>
      </c>
      <c r="AL117" s="14" t="n">
        <f aca="false">IF(AND(O117="Benthic, infaunal",M117="elegans"),(0.243-SQRT(((Y117)-(AB117))*0.0012+0.053337))/0.0006,IF(O117="Benthic",(0.245-SQRT(((Y117)-(AB117))*0.0044+0.045461))/0.0022,IF(O117="Benthic, infaunal",(0.245-(SQRT(0.045461+0.0044*((Y117-0.47)-(AB117)))))/0.0022,IF(O117="Benthic, epifaunal",(0.245-SQRT(((Y117)-(AB117))*0.0044+0.045461))/0.0022))))</f>
        <v>15.5265960712159</v>
      </c>
      <c r="AM117" s="45" t="n">
        <f aca="false">Y117-AB117</f>
        <v>0.241166666666667</v>
      </c>
      <c r="AN117" s="45" t="n">
        <f aca="false">SQRT((Z117^2)+(AC117^2))</f>
        <v>0.208166599946613</v>
      </c>
      <c r="AO117" s="46" t="n">
        <f aca="false">IF(NOT($M117="elegans"),(0.045461+0.0044*((AM117))),IF($M117="elegans",(0.053337+0.0012*((AM117)))))</f>
        <v>0.0465221333333333</v>
      </c>
      <c r="AP117" s="46" t="n">
        <f aca="false">IF(NOT($M117="elegans"),(0.0044*((AN117))),IF($M117="elegans",(0.0012*((AN117)))))</f>
        <v>0.000915933039765099</v>
      </c>
      <c r="AQ117" s="46" t="n">
        <f aca="false">SQRT(AO117)</f>
        <v>0.215689900860781</v>
      </c>
      <c r="AR117" s="46" t="n">
        <f aca="false">AQ117*(0.5*(AP117/AO117))</f>
        <v>0.00212326362085051</v>
      </c>
      <c r="AS117" s="46" t="n">
        <f aca="false">IF(NOT($M117="elegans"),AR117/0.0022,IF($M117="elegans",AR117/0.0006))</f>
        <v>0.965119827659324</v>
      </c>
      <c r="AT117" s="45" t="n">
        <f aca="false">Y117-AB117</f>
        <v>0.241166666666667</v>
      </c>
      <c r="AU117" s="45" t="n">
        <f aca="false">SQRT((AA117^2)+(AD117^2))</f>
        <v>0.202758751009941</v>
      </c>
      <c r="AV117" s="46" t="n">
        <f aca="false">IF(NOT($M117="elegans"),(0.045461+0.0044*((AT117))),IF($M117="elegans",(0.053337+0.0012*((AT117)))))</f>
        <v>0.0465221333333333</v>
      </c>
      <c r="AW117" s="46" t="n">
        <f aca="false">IF(NOT($M117="elegans"),(0.0044*((AU117))),IF($M117="elegans",(0.0012*((AU117)))))</f>
        <v>0.000892138504443739</v>
      </c>
      <c r="AX117" s="46" t="n">
        <f aca="false">SQRT(AV117)</f>
        <v>0.215689900860781</v>
      </c>
      <c r="AY117" s="46" t="n">
        <f aca="false">AX117*(0.5*(AW117/AV117))</f>
        <v>0.00206810448909145</v>
      </c>
      <c r="AZ117" s="46" t="n">
        <f aca="false">IF(NOT($M117="elegans"),AY117/0.0022,IF($M117="elegans",AY117/0.0006))</f>
        <v>0.940047495041567</v>
      </c>
      <c r="BD117" s="31" t="n">
        <f aca="false">AL117</f>
        <v>15.5265960712159</v>
      </c>
      <c r="BE117" s="31" t="n">
        <f aca="false">AS117</f>
        <v>0.965119827659324</v>
      </c>
      <c r="BF117" s="31" t="n">
        <f aca="false">AZ117</f>
        <v>0.940047495041567</v>
      </c>
      <c r="BG117" s="14" t="n">
        <f aca="false">10^6/((BD117+273.15)^2)</f>
        <v>11.9998784960563</v>
      </c>
      <c r="BH117" s="14" t="n">
        <f aca="false">BG117*(2*($BE117/($BD117+273.15)))</f>
        <v>0.0802373370315727</v>
      </c>
      <c r="BI117" s="14" t="n">
        <f aca="false">BG117*(2*($BF117/($BD117+273.15)))</f>
        <v>0.0781528941004833</v>
      </c>
      <c r="BK117" s="14" t="n">
        <f aca="false">10^6/((AG117+273.15)^2)</f>
        <v>11.6432212230418</v>
      </c>
      <c r="BL117" s="14" t="n">
        <f aca="false">BK117*(2*($AH117/($AG117+273.15)))</f>
        <v>0.00778579316010158</v>
      </c>
      <c r="BM117" s="14" t="n">
        <f aca="false">10^6/((AI117+273.15)^2)</f>
        <v>11.6432212230418</v>
      </c>
      <c r="BN117" s="14" t="n">
        <f aca="false">BM117*(2*($AJ117/($AI117+273.15)))</f>
        <v>0.00778579316010158</v>
      </c>
    </row>
    <row r="118" s="14" customFormat="true" ht="16" hidden="false" customHeight="false" outlineLevel="0" collapsed="false">
      <c r="A118" s="22" t="s">
        <v>372</v>
      </c>
      <c r="B118" s="56" t="s">
        <v>417</v>
      </c>
      <c r="C118" s="14" t="s">
        <v>53</v>
      </c>
      <c r="D118" s="51" t="s">
        <v>418</v>
      </c>
      <c r="E118" s="24" t="s">
        <v>413</v>
      </c>
      <c r="F118" s="59" t="n">
        <v>23.3</v>
      </c>
      <c r="G118" s="59" t="n">
        <v>66.7</v>
      </c>
      <c r="H118" s="22" t="s">
        <v>125</v>
      </c>
      <c r="I118" s="22" t="s">
        <v>121</v>
      </c>
      <c r="J118" s="22" t="n">
        <v>151</v>
      </c>
      <c r="K118" s="22" t="s">
        <v>372</v>
      </c>
      <c r="L118" s="22" t="s">
        <v>372</v>
      </c>
      <c r="M118" s="22"/>
      <c r="N118" s="22" t="n">
        <v>151</v>
      </c>
      <c r="O118" s="22" t="s">
        <v>375</v>
      </c>
      <c r="P118" s="22" t="s">
        <v>375</v>
      </c>
      <c r="Q118" s="22" t="n">
        <v>6</v>
      </c>
      <c r="R118" s="25" t="s">
        <v>234</v>
      </c>
      <c r="S118" s="25" t="n">
        <v>35.742</v>
      </c>
      <c r="T118" s="22" t="n">
        <v>62.2654680851064</v>
      </c>
      <c r="U118" s="58" t="n">
        <v>3</v>
      </c>
      <c r="V118" s="56" t="n">
        <v>-0.166666666666667</v>
      </c>
      <c r="W118" s="56" t="n">
        <v>0.185831464863551</v>
      </c>
      <c r="X118" s="14" t="n">
        <f aca="false">W118/SQRT(U118)</f>
        <v>0.107289846262874</v>
      </c>
      <c r="Y118" s="27" t="n">
        <v>-0.55</v>
      </c>
      <c r="Z118" s="42" t="n">
        <v>0.151327459504216</v>
      </c>
      <c r="AA118" s="27" t="n">
        <f aca="false">Z118/SQRT(U118)</f>
        <v>0.0873689494805411</v>
      </c>
      <c r="AB118" s="27" t="n">
        <v>0.6055</v>
      </c>
      <c r="AC118" s="27" t="n">
        <v>0.2</v>
      </c>
      <c r="AD118" s="27" t="n">
        <v>0.2</v>
      </c>
      <c r="AE118" s="43" t="n">
        <v>0.608333333333333</v>
      </c>
      <c r="AF118" s="43" t="n">
        <v>0.00497772817435603</v>
      </c>
      <c r="AG118" s="29" t="n">
        <v>19.9146427154541</v>
      </c>
      <c r="AH118" s="55" t="n">
        <v>0.0979857999350755</v>
      </c>
      <c r="AI118" s="44" t="n">
        <v>19.9146427154541</v>
      </c>
      <c r="AJ118" s="44" t="n">
        <v>0.0979857999350755</v>
      </c>
      <c r="AK118" s="27" t="s">
        <v>63</v>
      </c>
      <c r="AL118" s="14" t="n">
        <f aca="false">IF(AND(O118="Benthic, infaunal",M118="elegans"),(0.243-SQRT(((Y118)-(AB118))*0.0012+0.053337))/0.0006,IF(O118="Benthic",(0.245-SQRT(((Y118)-(AB118))*0.0044+0.045461))/0.0022,IF(O118="Benthic, infaunal",(0.245-(SQRT(0.045461+0.0044*((Y118-0.47)-(AB118)))))/0.0022,IF(O118="Benthic, epifaunal",(0.245-SQRT(((Y118)-(AB118))*0.0044+0.045461))/0.0022))))</f>
        <v>20.0273672829104</v>
      </c>
      <c r="AM118" s="45" t="n">
        <f aca="false">Y118-AB118</f>
        <v>-1.1555</v>
      </c>
      <c r="AN118" s="45" t="n">
        <f aca="false">SQRT((Z118^2)+(AC118^2))</f>
        <v>0.250798724079689</v>
      </c>
      <c r="AO118" s="46" t="n">
        <f aca="false">IF(NOT($M118="elegans"),(0.045461+0.0044*((AM118))),IF($M118="elegans",(0.053337+0.0012*((AM118)))))</f>
        <v>0.0403768</v>
      </c>
      <c r="AP118" s="46" t="n">
        <f aca="false">IF(NOT($M118="elegans"),(0.0044*((AN118))),IF($M118="elegans",(0.0012*((AN118)))))</f>
        <v>0.00110351438595063</v>
      </c>
      <c r="AQ118" s="46" t="n">
        <f aca="false">SQRT(AO118)</f>
        <v>0.200939791977597</v>
      </c>
      <c r="AR118" s="46" t="n">
        <f aca="false">AQ118*(0.5*(AP118/AO118))</f>
        <v>0.00274588317000364</v>
      </c>
      <c r="AS118" s="46" t="n">
        <f aca="false">IF(NOT($M118="elegans"),AR118/0.0022,IF($M118="elegans",AR118/0.0006))</f>
        <v>1.24812871363802</v>
      </c>
      <c r="AT118" s="45" t="n">
        <f aca="false">Y118-AB118</f>
        <v>-1.1555</v>
      </c>
      <c r="AU118" s="45" t="n">
        <f aca="false">SQRT((AA118^2)+(AD118^2))</f>
        <v>0.218250620464945</v>
      </c>
      <c r="AV118" s="46" t="n">
        <f aca="false">IF(NOT($M118="elegans"),(0.045461+0.0044*((AT118))),IF($M118="elegans",(0.053337+0.0012*((AT118)))))</f>
        <v>0.0403768</v>
      </c>
      <c r="AW118" s="46" t="n">
        <f aca="false">IF(NOT($M118="elegans"),(0.0044*((AU118))),IF($M118="elegans",(0.0012*((AU118)))))</f>
        <v>0.000960302730045757</v>
      </c>
      <c r="AX118" s="46" t="n">
        <f aca="false">SQRT(AV118)</f>
        <v>0.200939791977597</v>
      </c>
      <c r="AY118" s="46" t="n">
        <f aca="false">AX118*(0.5*(AW118/AV118))</f>
        <v>0.00238952852641756</v>
      </c>
      <c r="AZ118" s="46" t="n">
        <f aca="false">IF(NOT($M118="elegans"),AY118/0.0022,IF($M118="elegans",AY118/0.0006))</f>
        <v>1.0861493301898</v>
      </c>
      <c r="BD118" s="31" t="n">
        <f aca="false">AL118</f>
        <v>20.0273672829104</v>
      </c>
      <c r="BE118" s="31" t="n">
        <f aca="false">AS118</f>
        <v>1.24812871363802</v>
      </c>
      <c r="BF118" s="31" t="n">
        <f aca="false">AZ118</f>
        <v>1.0861493301898</v>
      </c>
      <c r="BG118" s="14" t="n">
        <f aca="false">10^6/((BD118+273.15)^2)</f>
        <v>11.6342694763952</v>
      </c>
      <c r="BH118" s="14" t="n">
        <f aca="false">BG118*(2*($BE118/($BD118+273.15)))</f>
        <v>0.0990599371995767</v>
      </c>
      <c r="BI118" s="14" t="n">
        <f aca="false">BG118*(2*($BF118/($BD118+273.15)))</f>
        <v>0.0862041576820644</v>
      </c>
      <c r="BK118" s="14" t="n">
        <f aca="false">10^6/((AG118+273.15)^2)</f>
        <v>11.6432212230418</v>
      </c>
      <c r="BL118" s="14" t="n">
        <f aca="false">BK118*(2*($AH118/($AG118+273.15)))</f>
        <v>0.00778579316010158</v>
      </c>
      <c r="BM118" s="14" t="n">
        <f aca="false">10^6/((AI118+273.15)^2)</f>
        <v>11.6432212230418</v>
      </c>
      <c r="BN118" s="14" t="n">
        <f aca="false">BM118*(2*($AJ118/($AI118+273.15)))</f>
        <v>0.00778579316010158</v>
      </c>
    </row>
    <row r="119" s="14" customFormat="true" ht="16" hidden="false" customHeight="false" outlineLevel="0" collapsed="false">
      <c r="A119" s="22" t="s">
        <v>372</v>
      </c>
      <c r="B119" s="56" t="s">
        <v>419</v>
      </c>
      <c r="C119" s="14" t="s">
        <v>53</v>
      </c>
      <c r="D119" s="51" t="s">
        <v>420</v>
      </c>
      <c r="E119" s="24" t="s">
        <v>421</v>
      </c>
      <c r="F119" s="52" t="n">
        <v>19.9993</v>
      </c>
      <c r="G119" s="52" t="n">
        <v>65.5833</v>
      </c>
      <c r="H119" s="22" t="s">
        <v>120</v>
      </c>
      <c r="I119" s="22" t="s">
        <v>121</v>
      </c>
      <c r="J119" s="22" t="n">
        <v>3190</v>
      </c>
      <c r="K119" s="22" t="s">
        <v>372</v>
      </c>
      <c r="L119" s="22" t="s">
        <v>372</v>
      </c>
      <c r="M119" s="22"/>
      <c r="N119" s="22" t="n">
        <v>3190</v>
      </c>
      <c r="O119" s="22" t="s">
        <v>375</v>
      </c>
      <c r="P119" s="22" t="s">
        <v>375</v>
      </c>
      <c r="Q119" s="22" t="n">
        <v>6</v>
      </c>
      <c r="R119" s="25" t="s">
        <v>234</v>
      </c>
      <c r="S119" s="25" t="n">
        <v>36.4762352941176</v>
      </c>
      <c r="T119" s="22" t="n">
        <v>-3.12037638376384</v>
      </c>
      <c r="U119" s="58" t="n">
        <v>6</v>
      </c>
      <c r="V119" s="56" t="n">
        <v>-0.478333333333333</v>
      </c>
      <c r="W119" s="56" t="n">
        <v>0.057067211835402</v>
      </c>
      <c r="X119" s="14" t="n">
        <f aca="false">W119/SQRT(U119)</f>
        <v>0.023297591673342</v>
      </c>
      <c r="Y119" s="27" t="n">
        <v>3.53</v>
      </c>
      <c r="Z119" s="42" t="n">
        <v>0.0569209978830308</v>
      </c>
      <c r="AA119" s="27" t="n">
        <f aca="false">Z119/SQRT(U119)</f>
        <v>0.0232379000772445</v>
      </c>
      <c r="AB119" s="27" t="n">
        <v>-0.095</v>
      </c>
      <c r="AC119" s="27" t="n">
        <v>0.2</v>
      </c>
      <c r="AD119" s="27" t="n">
        <v>0.2</v>
      </c>
      <c r="AE119" s="43" t="n">
        <v>0.646666666666667</v>
      </c>
      <c r="AF119" s="43" t="n">
        <v>0.00668164982952897</v>
      </c>
      <c r="AG119" s="29" t="n">
        <v>1.74441664218903</v>
      </c>
      <c r="AH119" s="55" t="n">
        <v>0.057252682452208</v>
      </c>
      <c r="AI119" s="44" t="n">
        <v>1.74441664218903</v>
      </c>
      <c r="AJ119" s="44" t="n">
        <v>0.057252682452208</v>
      </c>
      <c r="AK119" s="27" t="s">
        <v>63</v>
      </c>
      <c r="AL119" s="14" t="n">
        <f aca="false">IF(AND(O119="Benthic, infaunal",M119="elegans"),(0.243-SQRT(((Y119)-(AB119))*0.0012+0.053337))/0.0006,IF(O119="Benthic",(0.245-SQRT(((Y119)-(AB119))*0.0044+0.045461))/0.0022,IF(O119="Benthic, infaunal",(0.245-(SQRT(0.045461+0.0044*((Y119-0.47)-(AB119)))))/0.0022,IF(O119="Benthic, epifaunal",(0.245-SQRT(((Y119)-(AB119))*0.0044+0.045461))/0.0022))))</f>
        <v>-1.27837684855666</v>
      </c>
      <c r="AM119" s="45" t="n">
        <f aca="false">Y119-AB119</f>
        <v>3.625</v>
      </c>
      <c r="AN119" s="45" t="n">
        <f aca="false">SQRT((Z119^2)+(AC119^2))</f>
        <v>0.20794229968912</v>
      </c>
      <c r="AO119" s="46" t="n">
        <f aca="false">IF(NOT($M119="elegans"),(0.045461+0.0044*((AM119))),IF($M119="elegans",(0.053337+0.0012*((AM119)))))</f>
        <v>0.061411</v>
      </c>
      <c r="AP119" s="46" t="n">
        <f aca="false">IF(NOT($M119="elegans"),(0.0044*((AN119))),IF($M119="elegans",(0.0012*((AN119)))))</f>
        <v>0.00091494611863213</v>
      </c>
      <c r="AQ119" s="46" t="n">
        <f aca="false">SQRT(AO119)</f>
        <v>0.247812429066825</v>
      </c>
      <c r="AR119" s="46" t="n">
        <f aca="false">AQ119*(0.5*(AP119/AO119))</f>
        <v>0.00184604566057784</v>
      </c>
      <c r="AS119" s="46" t="n">
        <f aca="false">IF(NOT($M119="elegans"),AR119/0.0022,IF($M119="elegans",AR119/0.0006))</f>
        <v>0.839111663899018</v>
      </c>
      <c r="AT119" s="45" t="n">
        <f aca="false">Y119-AB119</f>
        <v>3.625</v>
      </c>
      <c r="AU119" s="45" t="n">
        <f aca="false">SQRT((AA119^2)+(AD119^2))</f>
        <v>0.201345474247622</v>
      </c>
      <c r="AV119" s="46" t="n">
        <f aca="false">IF(NOT($M119="elegans"),(0.045461+0.0044*((AT119))),IF($M119="elegans",(0.053337+0.0012*((AT119)))))</f>
        <v>0.061411</v>
      </c>
      <c r="AW119" s="46" t="n">
        <f aca="false">IF(NOT($M119="elegans"),(0.0044*((AU119))),IF($M119="elegans",(0.0012*((AU119)))))</f>
        <v>0.000885920086689539</v>
      </c>
      <c r="AX119" s="46" t="n">
        <f aca="false">SQRT(AV119)</f>
        <v>0.247812429066825</v>
      </c>
      <c r="AY119" s="46" t="n">
        <f aca="false">AX119*(0.5*(AW119/AV119))</f>
        <v>0.00178748114052553</v>
      </c>
      <c r="AZ119" s="46" t="n">
        <f aca="false">IF(NOT($M119="elegans"),AY119/0.0022,IF($M119="elegans",AY119/0.0006))</f>
        <v>0.812491427511604</v>
      </c>
      <c r="BD119" s="31" t="n">
        <f aca="false">AL119</f>
        <v>-1.27837684855666</v>
      </c>
      <c r="BE119" s="31" t="n">
        <f aca="false">AS119</f>
        <v>0.839111663899018</v>
      </c>
      <c r="BF119" s="31" t="n">
        <f aca="false">AZ119</f>
        <v>0.812491427511604</v>
      </c>
      <c r="BG119" s="14" t="n">
        <f aca="false">10^6/((BD119+273.15)^2)</f>
        <v>13.5292038293982</v>
      </c>
      <c r="BH119" s="14" t="n">
        <f aca="false">BG119*(2*($BE119/($BD119+273.15)))</f>
        <v>0.0835137746626206</v>
      </c>
      <c r="BI119" s="14" t="n">
        <f aca="false">BG119*(2*($BF119/($BD119+273.15)))</f>
        <v>0.0808643580012027</v>
      </c>
      <c r="BK119" s="14" t="n">
        <f aca="false">10^6/((AG119+273.15)^2)</f>
        <v>13.2333001179633</v>
      </c>
      <c r="BL119" s="14" t="n">
        <f aca="false">BK119*(2*($AH119/($AG119+273.15)))</f>
        <v>0.00551223948964149</v>
      </c>
      <c r="BM119" s="14" t="n">
        <f aca="false">10^6/((AI119+273.15)^2)</f>
        <v>13.2333001179633</v>
      </c>
      <c r="BN119" s="14" t="n">
        <f aca="false">BM119*(2*($AJ119/($AI119+273.15)))</f>
        <v>0.00551223948964149</v>
      </c>
    </row>
    <row r="120" s="14" customFormat="true" ht="16" hidden="false" customHeight="false" outlineLevel="0" collapsed="false">
      <c r="A120" s="22" t="s">
        <v>372</v>
      </c>
      <c r="B120" s="56" t="s">
        <v>422</v>
      </c>
      <c r="C120" s="14" t="s">
        <v>53</v>
      </c>
      <c r="D120" s="51" t="s">
        <v>423</v>
      </c>
      <c r="E120" s="24" t="s">
        <v>292</v>
      </c>
      <c r="F120" s="22" t="n">
        <v>0</v>
      </c>
      <c r="G120" s="22" t="n">
        <v>161</v>
      </c>
      <c r="H120" s="22" t="s">
        <v>56</v>
      </c>
      <c r="I120" s="22" t="s">
        <v>57</v>
      </c>
      <c r="J120" s="22" t="n">
        <v>3411</v>
      </c>
      <c r="K120" s="22" t="s">
        <v>372</v>
      </c>
      <c r="L120" s="22" t="s">
        <v>372</v>
      </c>
      <c r="M120" s="22"/>
      <c r="N120" s="22" t="n">
        <v>3411</v>
      </c>
      <c r="O120" s="22" t="s">
        <v>375</v>
      </c>
      <c r="P120" s="22" t="s">
        <v>375</v>
      </c>
      <c r="Q120" s="22" t="n">
        <v>6</v>
      </c>
      <c r="R120" s="25" t="s">
        <v>234</v>
      </c>
      <c r="S120" s="25" t="n">
        <v>34.68</v>
      </c>
      <c r="T120" s="22" t="n">
        <v>-6.51070068027211</v>
      </c>
      <c r="U120" s="58" t="n">
        <v>3</v>
      </c>
      <c r="V120" s="56" t="n">
        <v>-0.343333333333333</v>
      </c>
      <c r="W120" s="56" t="n">
        <v>0.635164020811423</v>
      </c>
      <c r="X120" s="14" t="n">
        <f aca="false">W120/SQRT(U120)</f>
        <v>0.36671211839504</v>
      </c>
      <c r="Y120" s="27" t="n">
        <v>3.20666666666667</v>
      </c>
      <c r="Z120" s="42" t="n">
        <v>0.161658075373095</v>
      </c>
      <c r="AA120" s="27" t="n">
        <f aca="false">Z120/SQRT(U120)</f>
        <v>0.0933333333333333</v>
      </c>
      <c r="AB120" s="27" t="n">
        <v>-0.067949408</v>
      </c>
      <c r="AC120" s="27" t="n">
        <v>0.2</v>
      </c>
      <c r="AD120" s="27" t="n">
        <v>0.2</v>
      </c>
      <c r="AE120" s="43" t="n">
        <v>0.684666666666667</v>
      </c>
      <c r="AF120" s="43" t="n">
        <v>0.00779601037568431</v>
      </c>
      <c r="AG120" s="29" t="n">
        <v>1.50518795847893</v>
      </c>
      <c r="AH120" s="55" t="n">
        <v>0.044405774781626</v>
      </c>
      <c r="AI120" s="44" t="n">
        <v>1.50518795847893</v>
      </c>
      <c r="AJ120" s="44" t="n">
        <v>0.044405774781626</v>
      </c>
      <c r="AK120" s="27" t="s">
        <v>63</v>
      </c>
      <c r="AL120" s="14" t="n">
        <f aca="false">IF(AND(O120="Benthic, infaunal",M120="elegans"),(0.243-SQRT(((Y120)-(AB120))*0.0012+0.053337))/0.0006,IF(O120="Benthic",(0.245-SQRT(((Y120)-(AB120))*0.0044+0.045461))/0.0022,IF(O120="Benthic, infaunal",(0.245-(SQRT(0.045461+0.0044*((Y120-0.47)-(AB120)))))/0.0022,IF(O120="Benthic, epifaunal",(0.245-SQRT(((Y120)-(AB120))*0.0044+0.045461))/0.0022))))</f>
        <v>0.144517956396021</v>
      </c>
      <c r="AM120" s="45" t="n">
        <f aca="false">Y120-AB120</f>
        <v>3.27461607466667</v>
      </c>
      <c r="AN120" s="45" t="n">
        <f aca="false">SQRT((Z120^2)+(AC120^2))</f>
        <v>0.257164020293145</v>
      </c>
      <c r="AO120" s="46" t="n">
        <f aca="false">IF(NOT($M120="elegans"),(0.045461+0.0044*((AM120))),IF($M120="elegans",(0.053337+0.0012*((AM120)))))</f>
        <v>0.0598693107285333</v>
      </c>
      <c r="AP120" s="46" t="n">
        <f aca="false">IF(NOT($M120="elegans"),(0.0044*((AN120))),IF($M120="elegans",(0.0012*((AN120)))))</f>
        <v>0.00113152168928984</v>
      </c>
      <c r="AQ120" s="46" t="n">
        <f aca="false">SQRT(AO120)</f>
        <v>0.244682060495929</v>
      </c>
      <c r="AR120" s="46" t="n">
        <f aca="false">AQ120*(0.5*(AP120/AO120))</f>
        <v>0.00231222854466003</v>
      </c>
      <c r="AS120" s="46" t="n">
        <f aca="false">IF(NOT($M120="elegans"),AR120/0.0022,IF($M120="elegans",AR120/0.0006))</f>
        <v>1.05101297484547</v>
      </c>
      <c r="AT120" s="45" t="n">
        <f aca="false">Y120-AB120</f>
        <v>3.27461607466667</v>
      </c>
      <c r="AU120" s="45" t="n">
        <f aca="false">SQRT((AA120^2)+(AD120^2))</f>
        <v>0.220705938096625</v>
      </c>
      <c r="AV120" s="46" t="n">
        <f aca="false">IF(NOT($M120="elegans"),(0.045461+0.0044*((AT120))),IF($M120="elegans",(0.053337+0.0012*((AT120)))))</f>
        <v>0.0598693107285333</v>
      </c>
      <c r="AW120" s="46" t="n">
        <f aca="false">IF(NOT($M120="elegans"),(0.0044*((AU120))),IF($M120="elegans",(0.0012*((AU120)))))</f>
        <v>0.000971106127625149</v>
      </c>
      <c r="AX120" s="46" t="n">
        <f aca="false">SQRT(AV120)</f>
        <v>0.244682060495929</v>
      </c>
      <c r="AY120" s="46" t="n">
        <f aca="false">AX120*(0.5*(AW120/AV120))</f>
        <v>0.00198442445199473</v>
      </c>
      <c r="AZ120" s="46" t="n">
        <f aca="false">IF(NOT($M120="elegans"),AY120/0.0022,IF($M120="elegans",AY120/0.0006))</f>
        <v>0.902011114543058</v>
      </c>
      <c r="BD120" s="31" t="n">
        <f aca="false">AL120</f>
        <v>0.144517956396021</v>
      </c>
      <c r="BE120" s="31" t="n">
        <f aca="false">AS120</f>
        <v>1.05101297484547</v>
      </c>
      <c r="BF120" s="31" t="n">
        <f aca="false">AZ120</f>
        <v>0.902011114543058</v>
      </c>
      <c r="BG120" s="14" t="n">
        <f aca="false">10^6/((BD120+273.15)^2)</f>
        <v>13.3886922652695</v>
      </c>
      <c r="BH120" s="14" t="n">
        <f aca="false">BG120*(2*($BE120/($BD120+273.15)))</f>
        <v>0.102978203823734</v>
      </c>
      <c r="BI120" s="14" t="n">
        <f aca="false">BG120*(2*($BF120/($BD120+273.15)))</f>
        <v>0.0883790082785096</v>
      </c>
      <c r="BK120" s="14" t="n">
        <f aca="false">10^6/((AG120+273.15)^2)</f>
        <v>13.2563629533271</v>
      </c>
      <c r="BL120" s="14" t="n">
        <f aca="false">BK120*(2*($AH120/($AG120+273.15)))</f>
        <v>0.00428653157513212</v>
      </c>
      <c r="BM120" s="14" t="n">
        <f aca="false">10^6/((AI120+273.15)^2)</f>
        <v>13.2563629533271</v>
      </c>
      <c r="BN120" s="14" t="n">
        <f aca="false">BM120*(2*($AJ120/($AI120+273.15)))</f>
        <v>0.00428653157513212</v>
      </c>
    </row>
    <row r="121" s="14" customFormat="true" ht="16" hidden="false" customHeight="false" outlineLevel="0" collapsed="false">
      <c r="A121" s="22" t="s">
        <v>372</v>
      </c>
      <c r="B121" s="56" t="s">
        <v>424</v>
      </c>
      <c r="C121" s="14" t="s">
        <v>53</v>
      </c>
      <c r="D121" s="51" t="s">
        <v>425</v>
      </c>
      <c r="E121" s="24" t="s">
        <v>264</v>
      </c>
      <c r="F121" s="22" t="n">
        <v>0</v>
      </c>
      <c r="G121" s="22" t="n">
        <v>159</v>
      </c>
      <c r="H121" s="22" t="s">
        <v>56</v>
      </c>
      <c r="I121" s="22" t="s">
        <v>57</v>
      </c>
      <c r="J121" s="22" t="n">
        <v>2445</v>
      </c>
      <c r="K121" s="22" t="s">
        <v>372</v>
      </c>
      <c r="L121" s="22" t="s">
        <v>372</v>
      </c>
      <c r="M121" s="22"/>
      <c r="N121" s="22" t="n">
        <v>2445</v>
      </c>
      <c r="O121" s="22" t="s">
        <v>375</v>
      </c>
      <c r="P121" s="22" t="s">
        <v>375</v>
      </c>
      <c r="Q121" s="22" t="n">
        <v>6</v>
      </c>
      <c r="R121" s="25" t="s">
        <v>234</v>
      </c>
      <c r="S121" s="25" t="n">
        <v>34.65</v>
      </c>
      <c r="T121" s="22" t="n">
        <v>2.9821677852349</v>
      </c>
      <c r="U121" s="58" t="n">
        <v>4</v>
      </c>
      <c r="V121" s="56" t="n">
        <v>-0.085</v>
      </c>
      <c r="W121" s="56" t="n">
        <v>0.548361194834208</v>
      </c>
      <c r="X121" s="14" t="n">
        <f aca="false">W121/SQRT(U121)</f>
        <v>0.274180597417104</v>
      </c>
      <c r="Y121" s="27" t="n">
        <v>3.21</v>
      </c>
      <c r="Z121" s="42" t="n">
        <v>0.218632111090754</v>
      </c>
      <c r="AA121" s="27" t="n">
        <f aca="false">Z121/SQRT(U121)</f>
        <v>0.109316055545377</v>
      </c>
      <c r="AB121" s="27" t="n">
        <v>0.039215903</v>
      </c>
      <c r="AC121" s="27" t="n">
        <v>0.2</v>
      </c>
      <c r="AD121" s="27" t="n">
        <v>0.2</v>
      </c>
      <c r="AE121" s="43" t="n">
        <v>0.68175</v>
      </c>
      <c r="AF121" s="43" t="n">
        <v>0.0103309809150277</v>
      </c>
      <c r="AG121" s="29" t="n">
        <v>1.88665445446968</v>
      </c>
      <c r="AH121" s="55" t="n">
        <v>0.0384517334944879</v>
      </c>
      <c r="AI121" s="44" t="n">
        <v>1.88665445446968</v>
      </c>
      <c r="AJ121" s="44" t="n">
        <v>0.0384517334944879</v>
      </c>
      <c r="AK121" s="27" t="s">
        <v>63</v>
      </c>
      <c r="AL121" s="14" t="n">
        <f aca="false">IF(AND(O121="Benthic, infaunal",M121="elegans"),(0.243-SQRT(((Y121)-(AB121))*0.0012+0.053337))/0.0006,IF(O121="Benthic",(0.245-SQRT(((Y121)-(AB121))*0.0044+0.045461))/0.0022,IF(O121="Benthic, infaunal",(0.245-(SQRT(0.045461+0.0044*((Y121-0.47)-(AB121)))))/0.0022,IF(O121="Benthic, epifaunal",(0.245-SQRT(((Y121)-(AB121))*0.0044+0.045461))/0.0022))))</f>
        <v>0.569685299898002</v>
      </c>
      <c r="AM121" s="45" t="n">
        <f aca="false">Y121-AB121</f>
        <v>3.170784097</v>
      </c>
      <c r="AN121" s="45" t="n">
        <f aca="false">SQRT((Z121^2)+(AC121^2))</f>
        <v>0.296310647800581</v>
      </c>
      <c r="AO121" s="46" t="n">
        <f aca="false">IF(NOT($M121="elegans"),(0.045461+0.0044*((AM121))),IF($M121="elegans",(0.053337+0.0012*((AM121)))))</f>
        <v>0.0594124500268</v>
      </c>
      <c r="AP121" s="46" t="n">
        <f aca="false">IF(NOT($M121="elegans"),(0.0044*((AN121))),IF($M121="elegans",(0.0012*((AN121)))))</f>
        <v>0.00130376685032256</v>
      </c>
      <c r="AQ121" s="46" t="n">
        <f aca="false">SQRT(AO121)</f>
        <v>0.243746692340224</v>
      </c>
      <c r="AR121" s="46" t="n">
        <f aca="false">AQ121*(0.5*(AP121/AO121))</f>
        <v>0.0026744298308318</v>
      </c>
      <c r="AS121" s="46" t="n">
        <f aca="false">IF(NOT($M121="elegans"),AR121/0.0022,IF($M121="elegans",AR121/0.0006))</f>
        <v>1.21564992310537</v>
      </c>
      <c r="AT121" s="45" t="n">
        <f aca="false">Y121-AB121</f>
        <v>3.170784097</v>
      </c>
      <c r="AU121" s="45" t="n">
        <f aca="false">SQRT((AA121^2)+(AD121^2))</f>
        <v>0.22792542640083</v>
      </c>
      <c r="AV121" s="46" t="n">
        <f aca="false">IF(NOT($M121="elegans"),(0.045461+0.0044*((AT121))),IF($M121="elegans",(0.053337+0.0012*((AT121)))))</f>
        <v>0.0594124500268</v>
      </c>
      <c r="AW121" s="46" t="n">
        <f aca="false">IF(NOT($M121="elegans"),(0.0044*((AU121))),IF($M121="elegans",(0.0012*((AU121)))))</f>
        <v>0.00100287187616365</v>
      </c>
      <c r="AX121" s="46" t="n">
        <f aca="false">SQRT(AV121)</f>
        <v>0.243746692340224</v>
      </c>
      <c r="AY121" s="46" t="n">
        <f aca="false">AX121*(0.5*(AW121/AV121))</f>
        <v>0.00205720099529357</v>
      </c>
      <c r="AZ121" s="46" t="n">
        <f aca="false">IF(NOT($M121="elegans"),AY121/0.0022,IF($M121="elegans",AY121/0.0006))</f>
        <v>0.935091361497078</v>
      </c>
      <c r="BD121" s="31" t="n">
        <f aca="false">AL121</f>
        <v>0.569685299898002</v>
      </c>
      <c r="BE121" s="31" t="n">
        <f aca="false">AS121</f>
        <v>1.21564992310537</v>
      </c>
      <c r="BF121" s="31" t="n">
        <f aca="false">AZ121</f>
        <v>0.935091361497077</v>
      </c>
      <c r="BG121" s="14" t="n">
        <f aca="false">10^6/((BD121+273.15)^2)</f>
        <v>13.3471313983356</v>
      </c>
      <c r="BH121" s="14" t="n">
        <f aca="false">BG121*(2*($BE121/($BD121+273.15)))</f>
        <v>0.118555150611741</v>
      </c>
      <c r="BI121" s="14" t="n">
        <f aca="false">BG121*(2*($BF121/($BD121+273.15)))</f>
        <v>0.0911939326371473</v>
      </c>
      <c r="BK121" s="14" t="n">
        <f aca="false">10^6/((AG121+273.15)^2)</f>
        <v>13.2196162041343</v>
      </c>
      <c r="BL121" s="14" t="n">
        <f aca="false">BK121*(2*($AH121/($AG121+273.15)))</f>
        <v>0.0036963593829995</v>
      </c>
      <c r="BM121" s="14" t="n">
        <f aca="false">10^6/((AI121+273.15)^2)</f>
        <v>13.2196162041343</v>
      </c>
      <c r="BN121" s="14" t="n">
        <f aca="false">BM121*(2*($AJ121/($AI121+273.15)))</f>
        <v>0.0036963593829995</v>
      </c>
    </row>
    <row r="122" s="14" customFormat="true" ht="16" hidden="false" customHeight="false" outlineLevel="0" collapsed="false">
      <c r="A122" s="22" t="s">
        <v>372</v>
      </c>
      <c r="B122" s="56" t="s">
        <v>426</v>
      </c>
      <c r="C122" s="14" t="s">
        <v>53</v>
      </c>
      <c r="D122" s="51" t="s">
        <v>427</v>
      </c>
      <c r="E122" s="24" t="s">
        <v>222</v>
      </c>
      <c r="F122" s="22" t="n">
        <v>-2.18</v>
      </c>
      <c r="G122" s="22" t="n">
        <v>157</v>
      </c>
      <c r="H122" s="22" t="s">
        <v>56</v>
      </c>
      <c r="I122" s="22" t="s">
        <v>57</v>
      </c>
      <c r="J122" s="22" t="n">
        <v>1614</v>
      </c>
      <c r="K122" s="22" t="s">
        <v>372</v>
      </c>
      <c r="L122" s="22" t="s">
        <v>372</v>
      </c>
      <c r="M122" s="22"/>
      <c r="N122" s="22" t="n">
        <v>1614</v>
      </c>
      <c r="O122" s="22" t="s">
        <v>375</v>
      </c>
      <c r="P122" s="22" t="s">
        <v>375</v>
      </c>
      <c r="Q122" s="22" t="n">
        <v>6</v>
      </c>
      <c r="R122" s="25" t="s">
        <v>234</v>
      </c>
      <c r="S122" s="25" t="n">
        <v>34.55</v>
      </c>
      <c r="T122" s="22" t="n">
        <v>11.0624545454545</v>
      </c>
      <c r="U122" s="58" t="n">
        <v>5</v>
      </c>
      <c r="V122" s="56" t="n">
        <v>0.336</v>
      </c>
      <c r="W122" s="56" t="n">
        <v>0.185013513019996</v>
      </c>
      <c r="X122" s="14" t="n">
        <f aca="false">W122/SQRT(U122)</f>
        <v>0.0827405583737505</v>
      </c>
      <c r="Y122" s="27" t="n">
        <v>3.482</v>
      </c>
      <c r="Z122" s="42" t="n">
        <v>0.165438810440598</v>
      </c>
      <c r="AA122" s="27" t="n">
        <f aca="false">Z122/SQRT(U122)</f>
        <v>0.0739864852523757</v>
      </c>
      <c r="AB122" s="27" t="n">
        <v>0.018102786</v>
      </c>
      <c r="AC122" s="27" t="n">
        <v>0.2</v>
      </c>
      <c r="AD122" s="27" t="n">
        <v>0.2</v>
      </c>
      <c r="AE122" s="43" t="n">
        <v>0.648</v>
      </c>
      <c r="AF122" s="43" t="n">
        <v>0.0156875747010174</v>
      </c>
      <c r="AG122" s="29" t="n">
        <v>2.68996190071106</v>
      </c>
      <c r="AH122" s="55" t="n">
        <v>0.0391532715533445</v>
      </c>
      <c r="AI122" s="44" t="n">
        <v>2.68996190071106</v>
      </c>
      <c r="AJ122" s="44" t="n">
        <v>0.0391532715533445</v>
      </c>
      <c r="AK122" s="27" t="s">
        <v>63</v>
      </c>
      <c r="AL122" s="14" t="n">
        <f aca="false">IF(AND(O122="Benthic, infaunal",M122="elegans"),(0.243-SQRT(((Y122)-(AB122))*0.0012+0.053337))/0.0006,IF(O122="Benthic",(0.245-SQRT(((Y122)-(AB122))*0.0044+0.045461))/0.0022,IF(O122="Benthic, infaunal",(0.245-(SQRT(0.045461+0.0044*((Y122-0.47)-(AB122)))))/0.0022,IF(O122="Benthic, epifaunal",(0.245-SQRT(((Y122)-(AB122))*0.0044+0.045461))/0.0022))))</f>
        <v>-0.626390256210678</v>
      </c>
      <c r="AM122" s="45" t="n">
        <f aca="false">Y122-AB122</f>
        <v>3.463897214</v>
      </c>
      <c r="AN122" s="45" t="n">
        <f aca="false">SQRT((Z122^2)+(AC122^2))</f>
        <v>0.259557315443044</v>
      </c>
      <c r="AO122" s="46" t="n">
        <f aca="false">IF(NOT($M122="elegans"),(0.045461+0.0044*((AM122))),IF($M122="elegans",(0.053337+0.0012*((AM122)))))</f>
        <v>0.0607021477416</v>
      </c>
      <c r="AP122" s="46" t="n">
        <f aca="false">IF(NOT($M122="elegans"),(0.0044*((AN122))),IF($M122="elegans",(0.0012*((AN122)))))</f>
        <v>0.0011420521879494</v>
      </c>
      <c r="AQ122" s="46" t="n">
        <f aca="false">SQRT(AO122)</f>
        <v>0.246378058563663</v>
      </c>
      <c r="AR122" s="46" t="n">
        <f aca="false">AQ122*(0.5*(AP122/AO122))</f>
        <v>0.00231768241581117</v>
      </c>
      <c r="AS122" s="46" t="n">
        <f aca="false">IF(NOT($M122="elegans"),AR122/0.0022,IF($M122="elegans",AR122/0.0006))</f>
        <v>1.0534920071869</v>
      </c>
      <c r="AT122" s="45" t="n">
        <f aca="false">Y122-AB122</f>
        <v>3.463897214</v>
      </c>
      <c r="AU122" s="45" t="n">
        <f aca="false">SQRT((AA122^2)+(AD122^2))</f>
        <v>0.213246336428085</v>
      </c>
      <c r="AV122" s="46" t="n">
        <f aca="false">IF(NOT($M122="elegans"),(0.045461+0.0044*((AT122))),IF($M122="elegans",(0.053337+0.0012*((AT122)))))</f>
        <v>0.0607021477416</v>
      </c>
      <c r="AW122" s="46" t="n">
        <f aca="false">IF(NOT($M122="elegans"),(0.0044*((AU122))),IF($M122="elegans",(0.0012*((AU122)))))</f>
        <v>0.000938283880283574</v>
      </c>
      <c r="AX122" s="46" t="n">
        <f aca="false">SQRT(AV122)</f>
        <v>0.246378058563663</v>
      </c>
      <c r="AY122" s="46" t="n">
        <f aca="false">AX122*(0.5*(AW122/AV122))</f>
        <v>0.00190415470791837</v>
      </c>
      <c r="AZ122" s="46" t="n">
        <f aca="false">IF(NOT($M122="elegans"),AY122/0.0022,IF($M122="elegans",AY122/0.0006))</f>
        <v>0.865524867235621</v>
      </c>
      <c r="BD122" s="31" t="n">
        <f aca="false">AL122</f>
        <v>-0.626390256210678</v>
      </c>
      <c r="BE122" s="31" t="n">
        <f aca="false">AS122</f>
        <v>1.0534920071869</v>
      </c>
      <c r="BF122" s="31" t="n">
        <f aca="false">AZ122</f>
        <v>0.865524867235621</v>
      </c>
      <c r="BG122" s="14" t="n">
        <f aca="false">10^6/((BD122+273.15)^2)</f>
        <v>13.4645466205781</v>
      </c>
      <c r="BH122" s="14" t="n">
        <f aca="false">BG122*(2*($BE122/($BD122+273.15)))</f>
        <v>0.10409954762092</v>
      </c>
      <c r="BI122" s="14" t="n">
        <f aca="false">BG122*(2*($BF122/($BD122+273.15)))</f>
        <v>0.0855258004040088</v>
      </c>
      <c r="BK122" s="14" t="n">
        <f aca="false">10^6/((AG122+273.15)^2)</f>
        <v>13.1427313829003</v>
      </c>
      <c r="BL122" s="14" t="n">
        <f aca="false">BK122*(2*($AH122/($AG122+273.15)))</f>
        <v>0.00373101074435752</v>
      </c>
      <c r="BM122" s="14" t="n">
        <f aca="false">10^6/((AI122+273.15)^2)</f>
        <v>13.1427313829003</v>
      </c>
      <c r="BN122" s="14" t="n">
        <f aca="false">BM122*(2*($AJ122/($AI122+273.15)))</f>
        <v>0.00373101074435752</v>
      </c>
    </row>
    <row r="123" s="14" customFormat="true" ht="16" hidden="false" customHeight="false" outlineLevel="0" collapsed="false">
      <c r="A123" s="22" t="s">
        <v>372</v>
      </c>
      <c r="B123" s="56" t="s">
        <v>428</v>
      </c>
      <c r="C123" s="14" t="s">
        <v>53</v>
      </c>
      <c r="D123" s="51" t="s">
        <v>429</v>
      </c>
      <c r="E123" s="24" t="s">
        <v>430</v>
      </c>
      <c r="F123" s="52" t="n">
        <v>0</v>
      </c>
      <c r="G123" s="52" t="n">
        <v>162.22</v>
      </c>
      <c r="H123" s="22" t="s">
        <v>56</v>
      </c>
      <c r="I123" s="22" t="s">
        <v>57</v>
      </c>
      <c r="J123" s="22" t="n">
        <v>4325</v>
      </c>
      <c r="K123" s="22" t="s">
        <v>372</v>
      </c>
      <c r="L123" s="22" t="s">
        <v>372</v>
      </c>
      <c r="M123" s="22"/>
      <c r="N123" s="22" t="n">
        <v>4325</v>
      </c>
      <c r="O123" s="22" t="s">
        <v>375</v>
      </c>
      <c r="P123" s="22" t="s">
        <v>375</v>
      </c>
      <c r="Q123" s="22" t="n">
        <v>6</v>
      </c>
      <c r="R123" s="25" t="s">
        <v>234</v>
      </c>
      <c r="S123" s="25" t="n">
        <v>34.7</v>
      </c>
      <c r="T123" s="22" t="n">
        <v>-24.2166481256969</v>
      </c>
      <c r="U123" s="58" t="n">
        <v>4</v>
      </c>
      <c r="V123" s="56" t="n">
        <v>-0.9</v>
      </c>
      <c r="W123" s="56" t="n">
        <v>0.620537401505072</v>
      </c>
      <c r="X123" s="14" t="n">
        <f aca="false">W123/SQRT(U123)</f>
        <v>0.310268700752536</v>
      </c>
      <c r="Y123" s="27" t="n">
        <v>3.43</v>
      </c>
      <c r="Z123" s="42" t="n">
        <v>0.135646599662505</v>
      </c>
      <c r="AA123" s="27" t="n">
        <f aca="false">Z123/SQRT(U123)</f>
        <v>0.0678232998312526</v>
      </c>
      <c r="AB123" s="27" t="n">
        <v>-0.073464381</v>
      </c>
      <c r="AC123" s="27" t="n">
        <v>0.2</v>
      </c>
      <c r="AD123" s="27" t="n">
        <v>0.2</v>
      </c>
      <c r="AE123" s="43" t="n">
        <v>0.6685</v>
      </c>
      <c r="AF123" s="43" t="n">
        <v>0.00707695791518739</v>
      </c>
      <c r="AG123" s="29" t="n">
        <v>1.33974376320839</v>
      </c>
      <c r="AH123" s="55" t="n">
        <v>0.0391532715533445</v>
      </c>
      <c r="AI123" s="44" t="n">
        <v>1.33974376320839</v>
      </c>
      <c r="AJ123" s="44" t="n">
        <v>0.0391532715533445</v>
      </c>
      <c r="AK123" s="27" t="s">
        <v>63</v>
      </c>
      <c r="AL123" s="14" t="n">
        <f aca="false">IF(AND(O123="Benthic, infaunal",M123="elegans"),(0.243-SQRT(((Y123)-(AB123))*0.0012+0.053337))/0.0006,IF(O123="Benthic",(0.245-SQRT(((Y123)-(AB123))*0.0044+0.045461))/0.0022,IF(O123="Benthic, infaunal",(0.245-(SQRT(0.045461+0.0044*((Y123-0.47)-(AB123)))))/0.0022,IF(O123="Benthic, epifaunal",(0.245-SQRT(((Y123)-(AB123))*0.0044+0.045461))/0.0022))))</f>
        <v>-0.78687060861156</v>
      </c>
      <c r="AM123" s="45" t="n">
        <f aca="false">Y123-AB123</f>
        <v>3.503464381</v>
      </c>
      <c r="AN123" s="45" t="n">
        <f aca="false">SQRT((Z123^2)+(AC123^2))</f>
        <v>0.241660919471891</v>
      </c>
      <c r="AO123" s="46" t="n">
        <f aca="false">IF(NOT($M123="elegans"),(0.045461+0.0044*((AM123))),IF($M123="elegans",(0.053337+0.0012*((AM123)))))</f>
        <v>0.0608762432764</v>
      </c>
      <c r="AP123" s="46" t="n">
        <f aca="false">IF(NOT($M123="elegans"),(0.0044*((AN123))),IF($M123="elegans",(0.0012*((AN123)))))</f>
        <v>0.00106330804567632</v>
      </c>
      <c r="AQ123" s="46" t="n">
        <f aca="false">SQRT(AO123)</f>
        <v>0.246731115338945</v>
      </c>
      <c r="AR123" s="46" t="n">
        <f aca="false">AQ123*(0.5*(AP123/AO123))</f>
        <v>0.00215479114625573</v>
      </c>
      <c r="AS123" s="46" t="n">
        <f aca="false">IF(NOT($M123="elegans"),AR123/0.0022,IF($M123="elegans",AR123/0.0006))</f>
        <v>0.979450521025332</v>
      </c>
      <c r="AT123" s="45" t="n">
        <f aca="false">Y123-AB123</f>
        <v>3.503464381</v>
      </c>
      <c r="AU123" s="45" t="n">
        <f aca="false">SQRT((AA123^2)+(AD123^2))</f>
        <v>0.211187120819429</v>
      </c>
      <c r="AV123" s="46" t="n">
        <f aca="false">IF(NOT($M123="elegans"),(0.045461+0.0044*((AT123))),IF($M123="elegans",(0.053337+0.0012*((AT123)))))</f>
        <v>0.0608762432764</v>
      </c>
      <c r="AW123" s="46" t="n">
        <f aca="false">IF(NOT($M123="elegans"),(0.0044*((AU123))),IF($M123="elegans",(0.0012*((AU123)))))</f>
        <v>0.000929223331605487</v>
      </c>
      <c r="AX123" s="46" t="n">
        <f aca="false">SQRT(AV123)</f>
        <v>0.246731115338945</v>
      </c>
      <c r="AY123" s="46" t="n">
        <f aca="false">AX123*(0.5*(AW123/AV123))</f>
        <v>0.00188306880210259</v>
      </c>
      <c r="AZ123" s="46" t="n">
        <f aca="false">IF(NOT($M123="elegans"),AY123/0.0022,IF($M123="elegans",AY123/0.0006))</f>
        <v>0.855940364592085</v>
      </c>
      <c r="BD123" s="31" t="n">
        <f aca="false">AL123</f>
        <v>-0.78687060861156</v>
      </c>
      <c r="BE123" s="31" t="n">
        <f aca="false">AS123</f>
        <v>0.979450521025332</v>
      </c>
      <c r="BF123" s="31" t="n">
        <f aca="false">AZ123</f>
        <v>0.855940364592085</v>
      </c>
      <c r="BG123" s="14" t="n">
        <f aca="false">10^6/((BD123+273.15)^2)</f>
        <v>13.4804183120036</v>
      </c>
      <c r="BH123" s="14" t="n">
        <f aca="false">BG123*(2*($BE123/($BD123+273.15)))</f>
        <v>0.0969544061917278</v>
      </c>
      <c r="BI123" s="14" t="n">
        <f aca="false">BG123*(2*($BF123/($BD123+273.15)))</f>
        <v>0.0847283124600127</v>
      </c>
      <c r="BK123" s="14" t="n">
        <f aca="false">10^6/((AG123+273.15)^2)</f>
        <v>13.2723478803055</v>
      </c>
      <c r="BL123" s="14" t="n">
        <f aca="false">BK123*(2*($AH123/($AG123+273.15)))</f>
        <v>0.00378634067403512</v>
      </c>
      <c r="BM123" s="14" t="n">
        <f aca="false">10^6/((AI123+273.15)^2)</f>
        <v>13.2723478803055</v>
      </c>
      <c r="BN123" s="14" t="n">
        <f aca="false">BM123*(2*($AJ123/($AI123+273.15)))</f>
        <v>0.00378634067403512</v>
      </c>
    </row>
    <row r="124" s="14" customFormat="true" ht="16" hidden="false" customHeight="false" outlineLevel="0" collapsed="false">
      <c r="A124" s="22" t="s">
        <v>372</v>
      </c>
      <c r="B124" s="56" t="s">
        <v>431</v>
      </c>
      <c r="C124" s="14" t="s">
        <v>53</v>
      </c>
      <c r="D124" s="51" t="s">
        <v>432</v>
      </c>
      <c r="E124" s="1" t="s">
        <v>433</v>
      </c>
      <c r="F124" s="52" t="n">
        <v>0</v>
      </c>
      <c r="G124" s="52" t="n">
        <v>158.941</v>
      </c>
      <c r="H124" s="22" t="s">
        <v>56</v>
      </c>
      <c r="I124" s="22" t="s">
        <v>57</v>
      </c>
      <c r="J124" s="22" t="n">
        <v>2311</v>
      </c>
      <c r="K124" s="22" t="s">
        <v>372</v>
      </c>
      <c r="L124" s="22" t="s">
        <v>372</v>
      </c>
      <c r="M124" s="22"/>
      <c r="N124" s="22" t="n">
        <v>2311</v>
      </c>
      <c r="O124" s="22" t="s">
        <v>375</v>
      </c>
      <c r="P124" s="22" t="s">
        <v>375</v>
      </c>
      <c r="Q124" s="22" t="n">
        <v>6</v>
      </c>
      <c r="R124" s="25" t="s">
        <v>234</v>
      </c>
      <c r="S124" s="25" t="n">
        <v>34.7</v>
      </c>
      <c r="T124" s="22" t="n">
        <v>2.6573858607696</v>
      </c>
      <c r="U124" s="58" t="n">
        <v>5</v>
      </c>
      <c r="V124" s="56" t="n">
        <v>-0.068</v>
      </c>
      <c r="W124" s="56" t="n">
        <v>0.464564312017185</v>
      </c>
      <c r="X124" s="14" t="n">
        <f aca="false">W124/SQRT(U124)</f>
        <v>0.207759476318169</v>
      </c>
      <c r="Y124" s="27" t="n">
        <v>3.39</v>
      </c>
      <c r="Z124" s="42" t="n">
        <v>0.311688947510174</v>
      </c>
      <c r="AA124" s="27" t="n">
        <f aca="false">Z124/SQRT(U124)</f>
        <v>0.139391534893623</v>
      </c>
      <c r="AB124" s="27" t="n">
        <v>0.036587809</v>
      </c>
      <c r="AC124" s="27" t="n">
        <v>0.2</v>
      </c>
      <c r="AD124" s="27" t="n">
        <v>0.2</v>
      </c>
      <c r="AE124" s="43" t="n">
        <v>0.6604</v>
      </c>
      <c r="AF124" s="43" t="n">
        <v>0.0145347858601357</v>
      </c>
      <c r="AG124" s="29" t="n">
        <v>1.95669809579849</v>
      </c>
      <c r="AH124" s="55" t="n">
        <v>0.0384517334944879</v>
      </c>
      <c r="AI124" s="44" t="n">
        <v>1.95669809579849</v>
      </c>
      <c r="AJ124" s="44" t="n">
        <v>0.0384517334944879</v>
      </c>
      <c r="AK124" s="27" t="s">
        <v>63</v>
      </c>
      <c r="AL124" s="14" t="n">
        <f aca="false">IF(AND(O124="Benthic, infaunal",M124="elegans"),(0.243-SQRT(((Y124)-(AB124))*0.0012+0.053337))/0.0006,IF(O124="Benthic",(0.245-SQRT(((Y124)-(AB124))*0.0044+0.045461))/0.0022,IF(O124="Benthic, infaunal",(0.245-(SQRT(0.045461+0.0044*((Y124-0.47)-(AB124)))))/0.0022,IF(O124="Benthic, epifaunal",(0.245-SQRT(((Y124)-(AB124))*0.0044+0.045461))/0.0022))))</f>
        <v>-0.177051873051731</v>
      </c>
      <c r="AM124" s="45" t="n">
        <f aca="false">Y124-AB124</f>
        <v>3.353412191</v>
      </c>
      <c r="AN124" s="45" t="n">
        <f aca="false">SQRT((Z124^2)+(AC124^2))</f>
        <v>0.370337683742824</v>
      </c>
      <c r="AO124" s="46" t="n">
        <f aca="false">IF(NOT($M124="elegans"),(0.045461+0.0044*((AM124))),IF($M124="elegans",(0.053337+0.0012*((AM124)))))</f>
        <v>0.0602160136404</v>
      </c>
      <c r="AP124" s="46" t="n">
        <f aca="false">IF(NOT($M124="elegans"),(0.0044*((AN124))),IF($M124="elegans",(0.0012*((AN124)))))</f>
        <v>0.00162948580846843</v>
      </c>
      <c r="AQ124" s="46" t="n">
        <f aca="false">SQRT(AO124)</f>
        <v>0.245389514120714</v>
      </c>
      <c r="AR124" s="46" t="n">
        <f aca="false">AQ124*(0.5*(AP124/AO124))</f>
        <v>0.00332020260585959</v>
      </c>
      <c r="AS124" s="46" t="n">
        <f aca="false">IF(NOT($M124="elegans"),AR124/0.0022,IF($M124="elegans",AR124/0.0006))</f>
        <v>1.50918300266345</v>
      </c>
      <c r="AT124" s="45" t="n">
        <f aca="false">Y124-AB124</f>
        <v>3.353412191</v>
      </c>
      <c r="AU124" s="45" t="n">
        <f aca="false">SQRT((AA124^2)+(AD124^2))</f>
        <v>0.243782690115603</v>
      </c>
      <c r="AV124" s="46" t="n">
        <f aca="false">IF(NOT($M124="elegans"),(0.045461+0.0044*((AT124))),IF($M124="elegans",(0.053337+0.0012*((AT124)))))</f>
        <v>0.0602160136404</v>
      </c>
      <c r="AW124" s="46" t="n">
        <f aca="false">IF(NOT($M124="elegans"),(0.0044*((AU124))),IF($M124="elegans",(0.0012*((AU124)))))</f>
        <v>0.00107264383650865</v>
      </c>
      <c r="AX124" s="46" t="n">
        <f aca="false">SQRT(AV124)</f>
        <v>0.245389514120714</v>
      </c>
      <c r="AY124" s="46" t="n">
        <f aca="false">AX124*(0.5*(AW124/AV124))</f>
        <v>0.00218559427926694</v>
      </c>
      <c r="AZ124" s="46" t="n">
        <f aca="false">IF(NOT($M124="elegans"),AY124/0.0022,IF($M124="elegans",AY124/0.0006))</f>
        <v>0.993451945121336</v>
      </c>
      <c r="BD124" s="31" t="n">
        <f aca="false">AL124</f>
        <v>-0.177051873051731</v>
      </c>
      <c r="BE124" s="31" t="n">
        <f aca="false">AS124</f>
        <v>1.50918300266345</v>
      </c>
      <c r="BF124" s="31" t="n">
        <f aca="false">AZ124</f>
        <v>0.993451945121336</v>
      </c>
      <c r="BG124" s="14" t="n">
        <f aca="false">10^6/((BD124+273.15)^2)</f>
        <v>13.4202553594064</v>
      </c>
      <c r="BH124" s="14" t="n">
        <f aca="false">BG124*(2*($BE124/($BD124+273.15)))</f>
        <v>0.148392882289567</v>
      </c>
      <c r="BI124" s="14" t="n">
        <f aca="false">BG124*(2*($BF124/($BD124+273.15)))</f>
        <v>0.0976827841902264</v>
      </c>
      <c r="BK124" s="14" t="n">
        <f aca="false">10^6/((AG124+273.15)^2)</f>
        <v>13.2128854906592</v>
      </c>
      <c r="BL124" s="14" t="n">
        <f aca="false">BK124*(2*($AH124/($AG124+273.15)))</f>
        <v>0.00369353676298419</v>
      </c>
      <c r="BM124" s="14" t="n">
        <f aca="false">10^6/((AI124+273.15)^2)</f>
        <v>13.2128854906592</v>
      </c>
      <c r="BN124" s="14" t="n">
        <f aca="false">BM124*(2*($AJ124/($AI124+273.15)))</f>
        <v>0.00369353676298419</v>
      </c>
    </row>
    <row r="125" s="14" customFormat="true" ht="16" hidden="false" customHeight="false" outlineLevel="0" collapsed="false">
      <c r="A125" s="22" t="s">
        <v>372</v>
      </c>
      <c r="B125" s="56" t="s">
        <v>434</v>
      </c>
      <c r="C125" s="14" t="s">
        <v>53</v>
      </c>
      <c r="D125" s="51" t="s">
        <v>435</v>
      </c>
      <c r="E125" s="1" t="s">
        <v>436</v>
      </c>
      <c r="F125" s="52" t="n">
        <v>0</v>
      </c>
      <c r="G125" s="52" t="n">
        <v>160.99</v>
      </c>
      <c r="H125" s="22" t="s">
        <v>56</v>
      </c>
      <c r="I125" s="22" t="s">
        <v>57</v>
      </c>
      <c r="J125" s="22" t="n">
        <v>3368</v>
      </c>
      <c r="K125" s="22" t="s">
        <v>372</v>
      </c>
      <c r="L125" s="22" t="s">
        <v>372</v>
      </c>
      <c r="M125" s="22"/>
      <c r="N125" s="22" t="n">
        <v>3368</v>
      </c>
      <c r="O125" s="22" t="s">
        <v>375</v>
      </c>
      <c r="P125" s="22" t="s">
        <v>375</v>
      </c>
      <c r="Q125" s="22" t="n">
        <v>6</v>
      </c>
      <c r="R125" s="25" t="s">
        <v>234</v>
      </c>
      <c r="S125" s="25" t="n">
        <v>34.68</v>
      </c>
      <c r="T125" s="22" t="n">
        <v>-6.81454188803736</v>
      </c>
      <c r="U125" s="58" t="n">
        <v>5</v>
      </c>
      <c r="V125" s="56" t="n">
        <v>-0.024</v>
      </c>
      <c r="W125" s="56" t="n">
        <v>0.370850374140299</v>
      </c>
      <c r="X125" s="14" t="n">
        <f aca="false">W125/SQRT(U125)</f>
        <v>0.165849329211788</v>
      </c>
      <c r="Y125" s="27" t="n">
        <v>3.322</v>
      </c>
      <c r="Z125" s="42" t="n">
        <v>0.270868972014146</v>
      </c>
      <c r="AA125" s="27" t="n">
        <f aca="false">Z125/SQRT(U125)</f>
        <v>0.121136286883824</v>
      </c>
      <c r="AB125" s="27" t="n">
        <v>-0.067717518</v>
      </c>
      <c r="AC125" s="27" t="n">
        <v>0.2</v>
      </c>
      <c r="AD125" s="27" t="n">
        <v>0.2</v>
      </c>
      <c r="AE125" s="43" t="n">
        <v>0.662</v>
      </c>
      <c r="AF125" s="43" t="n">
        <v>0.0101044544632553</v>
      </c>
      <c r="AG125" s="29" t="n">
        <v>1.53022671222687</v>
      </c>
      <c r="AH125" s="55" t="n">
        <v>0.044405774781626</v>
      </c>
      <c r="AI125" s="44" t="n">
        <v>1.53022671222687</v>
      </c>
      <c r="AJ125" s="44" t="n">
        <v>0.044405774781626</v>
      </c>
      <c r="AK125" s="27" t="s">
        <v>63</v>
      </c>
      <c r="AL125" s="14" t="n">
        <f aca="false">IF(AND(O125="Benthic, infaunal",M125="elegans"),(0.243-SQRT(((Y125)-(AB125))*0.0012+0.053337))/0.0006,IF(O125="Benthic",(0.245-SQRT(((Y125)-(AB125))*0.0044+0.045461))/0.0022,IF(O125="Benthic, infaunal",(0.245-(SQRT(0.045461+0.0044*((Y125-0.47)-(AB125)))))/0.0022,IF(O125="Benthic, epifaunal",(0.245-SQRT(((Y125)-(AB125))*0.0044+0.045461))/0.0022))))</f>
        <v>-0.32490367087802</v>
      </c>
      <c r="AM125" s="45" t="n">
        <f aca="false">Y125-AB125</f>
        <v>3.389717518</v>
      </c>
      <c r="AN125" s="45" t="n">
        <f aca="false">SQRT((Z125^2)+(AC125^2))</f>
        <v>0.336704618322945</v>
      </c>
      <c r="AO125" s="46" t="n">
        <f aca="false">IF(NOT($M125="elegans"),(0.045461+0.0044*((AM125))),IF($M125="elegans",(0.053337+0.0012*((AM125)))))</f>
        <v>0.0603757570792</v>
      </c>
      <c r="AP125" s="46" t="n">
        <f aca="false">IF(NOT($M125="elegans"),(0.0044*((AN125))),IF($M125="elegans",(0.0012*((AN125)))))</f>
        <v>0.00148150032062096</v>
      </c>
      <c r="AQ125" s="46" t="n">
        <f aca="false">SQRT(AO125)</f>
        <v>0.245714788075932</v>
      </c>
      <c r="AR125" s="46" t="n">
        <f aca="false">AQ125*(0.5*(AP125/AO125))</f>
        <v>0.0030146747214969</v>
      </c>
      <c r="AS125" s="46" t="n">
        <f aca="false">IF(NOT($M125="elegans"),AR125/0.0022,IF($M125="elegans",AR125/0.0006))</f>
        <v>1.3703066915895</v>
      </c>
      <c r="AT125" s="45" t="n">
        <f aca="false">Y125-AB125</f>
        <v>3.389717518</v>
      </c>
      <c r="AU125" s="45" t="n">
        <f aca="false">SQRT((AA125^2)+(AD125^2))</f>
        <v>0.233824720677691</v>
      </c>
      <c r="AV125" s="46" t="n">
        <f aca="false">IF(NOT($M125="elegans"),(0.045461+0.0044*((AT125))),IF($M125="elegans",(0.053337+0.0012*((AT125)))))</f>
        <v>0.0603757570792</v>
      </c>
      <c r="AW125" s="46" t="n">
        <f aca="false">IF(NOT($M125="elegans"),(0.0044*((AU125))),IF($M125="elegans",(0.0012*((AU125)))))</f>
        <v>0.00102882877098184</v>
      </c>
      <c r="AX125" s="46" t="n">
        <f aca="false">SQRT(AV125)</f>
        <v>0.245714788075932</v>
      </c>
      <c r="AY125" s="46" t="n">
        <f aca="false">AX125*(0.5*(AW125/AV125))</f>
        <v>0.002093542637458</v>
      </c>
      <c r="AZ125" s="46" t="n">
        <f aca="false">IF(NOT($M125="elegans"),AY125/0.0022,IF($M125="elegans",AY125/0.0006))</f>
        <v>0.951610289753636</v>
      </c>
      <c r="BD125" s="31" t="n">
        <f aca="false">AL125</f>
        <v>-0.32490367087802</v>
      </c>
      <c r="BE125" s="31" t="n">
        <f aca="false">AS125</f>
        <v>1.3703066915895</v>
      </c>
      <c r="BF125" s="31" t="n">
        <f aca="false">AZ125</f>
        <v>0.951610289753636</v>
      </c>
      <c r="BG125" s="14" t="n">
        <f aca="false">10^6/((BD125+273.15)^2)</f>
        <v>13.4348049485675</v>
      </c>
      <c r="BH125" s="14" t="n">
        <f aca="false">BG125*(2*($BE125/($BD125+273.15)))</f>
        <v>0.134956815695673</v>
      </c>
      <c r="BI125" s="14" t="n">
        <f aca="false">BG125*(2*($BF125/($BD125+273.15)))</f>
        <v>0.0937208402152793</v>
      </c>
      <c r="BK125" s="14" t="n">
        <f aca="false">10^6/((AG125+273.15)^2)</f>
        <v>13.2539462691473</v>
      </c>
      <c r="BL125" s="14" t="n">
        <f aca="false">BK125*(2*($AH125/($AG125+273.15)))</f>
        <v>0.0042853594526273</v>
      </c>
      <c r="BM125" s="14" t="n">
        <f aca="false">10^6/((AI125+273.15)^2)</f>
        <v>13.2539462691473</v>
      </c>
      <c r="BN125" s="14" t="n">
        <f aca="false">BM125*(2*($AJ125/($AI125+273.15)))</f>
        <v>0.0042853594526273</v>
      </c>
    </row>
    <row r="126" s="14" customFormat="true" ht="16" hidden="false" customHeight="false" outlineLevel="0" collapsed="false">
      <c r="A126" s="22" t="s">
        <v>229</v>
      </c>
      <c r="B126" s="14" t="s">
        <v>437</v>
      </c>
      <c r="C126" s="14" t="s">
        <v>438</v>
      </c>
      <c r="D126" s="23" t="s">
        <v>439</v>
      </c>
      <c r="E126" s="24" t="s">
        <v>440</v>
      </c>
      <c r="F126" s="22" t="n">
        <v>0</v>
      </c>
      <c r="G126" s="22" t="n">
        <v>159.5</v>
      </c>
      <c r="H126" s="22" t="s">
        <v>56</v>
      </c>
      <c r="I126" s="22" t="s">
        <v>57</v>
      </c>
      <c r="J126" s="22" t="n">
        <v>2445</v>
      </c>
      <c r="K126" s="25" t="s">
        <v>229</v>
      </c>
      <c r="L126" s="22" t="s">
        <v>58</v>
      </c>
      <c r="M126" s="22" t="s">
        <v>232</v>
      </c>
      <c r="N126" s="22" t="s">
        <v>233</v>
      </c>
      <c r="O126" s="22" t="s">
        <v>61</v>
      </c>
      <c r="P126" s="22" t="s">
        <v>61</v>
      </c>
      <c r="Q126" s="22" t="n">
        <v>3</v>
      </c>
      <c r="R126" s="25" t="s">
        <v>234</v>
      </c>
      <c r="S126" s="25" t="n">
        <v>35.0695</v>
      </c>
      <c r="T126" s="22" t="n">
        <v>2.9821677852349</v>
      </c>
      <c r="U126" s="26" t="n">
        <v>1</v>
      </c>
      <c r="V126" s="27" t="n">
        <v>1.71</v>
      </c>
      <c r="W126" s="27" t="n">
        <v>0</v>
      </c>
      <c r="X126" s="23" t="n">
        <v>0</v>
      </c>
      <c r="Y126" s="27" t="n">
        <v>-0.71</v>
      </c>
      <c r="Z126" s="27" t="n">
        <v>0</v>
      </c>
      <c r="AA126" s="23" t="n">
        <v>0</v>
      </c>
      <c r="AB126" s="27" t="n">
        <v>0.229350568</v>
      </c>
      <c r="AC126" s="27" t="n">
        <v>0.222063598809596</v>
      </c>
      <c r="AD126" s="27" t="n">
        <v>0.20460314851745</v>
      </c>
      <c r="AE126" s="28" t="n">
        <v>0.621926005</v>
      </c>
      <c r="AF126" s="23" t="n">
        <v>0.009</v>
      </c>
      <c r="AG126" s="29" t="n">
        <v>17.2583122253418</v>
      </c>
      <c r="AH126" s="27" t="n">
        <v>4.81785628436477</v>
      </c>
      <c r="AI126" s="27" t="n">
        <f aca="false">VLOOKUP(B126,proft,2,0)</f>
        <v>19.514605930899</v>
      </c>
      <c r="AJ126" s="27" t="n">
        <f aca="false">VLOOKUP(B126,proft,3,0)</f>
        <v>2.4528865814209</v>
      </c>
      <c r="AK126" s="27" t="s">
        <v>63</v>
      </c>
      <c r="BA126" s="30" t="n">
        <v>19.8522</v>
      </c>
      <c r="BB126" s="30" t="n">
        <v>2.229</v>
      </c>
      <c r="BC126" s="30" t="n">
        <v>0.02229</v>
      </c>
      <c r="BD126" s="31" t="n">
        <v>19.8522</v>
      </c>
      <c r="BE126" s="31" t="n">
        <v>2.229</v>
      </c>
      <c r="BF126" s="31" t="n">
        <v>0.02229</v>
      </c>
      <c r="BG126" s="14" t="n">
        <f aca="false">10^6/((BA126+273.15)^2)</f>
        <v>11.6481844063913</v>
      </c>
      <c r="BH126" s="14" t="n">
        <f aca="false">BG126*(2*($BE126/($BD126+273.15)))</f>
        <v>0.177225993810601</v>
      </c>
      <c r="BI126" s="14" t="n">
        <f aca="false">BG126*(2*($BF126/($BD126+273.15)))</f>
        <v>0.00177225993810601</v>
      </c>
      <c r="BK126" s="14" t="n">
        <f aca="false">10^6/((AG126+273.15)^2)</f>
        <v>11.8571936936845</v>
      </c>
      <c r="BL126" s="14" t="n">
        <f aca="false">BK126*(2*($AH126/($AG126+273.15)))</f>
        <v>0.393420248300064</v>
      </c>
      <c r="BM126" s="14" t="n">
        <f aca="false">10^6/((AI126+273.15)^2)</f>
        <v>11.6750727004706</v>
      </c>
      <c r="BN126" s="14" t="n">
        <f aca="false">BM126*(2*($AJ126/($AI126+273.15)))</f>
        <v>0.195702716240716</v>
      </c>
    </row>
    <row r="127" s="14" customFormat="true" ht="16" hidden="false" customHeight="false" outlineLevel="0" collapsed="false">
      <c r="A127" s="22" t="s">
        <v>67</v>
      </c>
      <c r="B127" s="14" t="s">
        <v>441</v>
      </c>
      <c r="C127" s="14" t="s">
        <v>438</v>
      </c>
      <c r="D127" s="23" t="s">
        <v>442</v>
      </c>
      <c r="E127" s="24" t="s">
        <v>443</v>
      </c>
      <c r="F127" s="22" t="n">
        <v>0</v>
      </c>
      <c r="G127" s="22" t="n">
        <v>158.9</v>
      </c>
      <c r="H127" s="22" t="s">
        <v>56</v>
      </c>
      <c r="I127" s="22" t="s">
        <v>57</v>
      </c>
      <c r="J127" s="22" t="n">
        <v>2301</v>
      </c>
      <c r="K127" s="25" t="s">
        <v>67</v>
      </c>
      <c r="L127" s="22" t="s">
        <v>68</v>
      </c>
      <c r="M127" s="22" t="s">
        <v>69</v>
      </c>
      <c r="N127" s="22" t="s">
        <v>70</v>
      </c>
      <c r="O127" s="22" t="s">
        <v>71</v>
      </c>
      <c r="P127" s="22" t="s">
        <v>71</v>
      </c>
      <c r="Q127" s="22" t="n">
        <v>5</v>
      </c>
      <c r="R127" s="25" t="s">
        <v>62</v>
      </c>
      <c r="S127" s="25" t="n">
        <v>35.0936363636364</v>
      </c>
      <c r="T127" s="22" t="n">
        <v>3.3782</v>
      </c>
      <c r="U127" s="26" t="n">
        <v>1</v>
      </c>
      <c r="V127" s="27" t="n">
        <v>1.74</v>
      </c>
      <c r="W127" s="27" t="n">
        <v>0</v>
      </c>
      <c r="X127" s="23" t="n">
        <v>0</v>
      </c>
      <c r="Y127" s="27" t="n">
        <v>-1.97</v>
      </c>
      <c r="Z127" s="27" t="n">
        <v>0</v>
      </c>
      <c r="AA127" s="23" t="n">
        <v>0</v>
      </c>
      <c r="AB127" s="27" t="n">
        <v>0.26352636</v>
      </c>
      <c r="AC127" s="27" t="n">
        <v>0.215443282976278</v>
      </c>
      <c r="AD127" s="27" t="n">
        <v>0.205276892821701</v>
      </c>
      <c r="AE127" s="28" t="n">
        <v>0.566573006</v>
      </c>
      <c r="AF127" s="23" t="n">
        <v>0.01</v>
      </c>
      <c r="AG127" s="29" t="n">
        <v>28.5254958759654</v>
      </c>
      <c r="AH127" s="27" t="n">
        <v>0.562432777016302</v>
      </c>
      <c r="AI127" s="27" t="n">
        <f aca="false">VLOOKUP(B127,proft,2,0)</f>
        <v>25.6353273477643</v>
      </c>
      <c r="AJ127" s="27" t="n">
        <f aca="false">VLOOKUP(B127,proft,3,0)</f>
        <v>4.689323425293</v>
      </c>
      <c r="AK127" s="27" t="s">
        <v>72</v>
      </c>
      <c r="BA127" s="30" t="n">
        <v>26.3484</v>
      </c>
      <c r="BB127" s="30" t="n">
        <v>2.107</v>
      </c>
      <c r="BC127" s="30" t="n">
        <v>0.0217</v>
      </c>
      <c r="BD127" s="31" t="n">
        <v>26.3484</v>
      </c>
      <c r="BE127" s="31" t="n">
        <v>2.107</v>
      </c>
      <c r="BF127" s="31" t="n">
        <v>0.0217</v>
      </c>
      <c r="BG127" s="14" t="n">
        <f aca="false">10^6/((BA127+273.15)^2)</f>
        <v>11.148360060978</v>
      </c>
      <c r="BH127" s="14" t="n">
        <f aca="false">BG127*(2*($BE127/($BD127+273.15)))</f>
        <v>0.156859566852315</v>
      </c>
      <c r="BI127" s="14" t="n">
        <f aca="false">BG127*(2*($BF127/($BD127+273.15)))</f>
        <v>0.00161549720014012</v>
      </c>
      <c r="BK127" s="14" t="n">
        <f aca="false">10^6/((AG127+273.15)^2)</f>
        <v>10.9880323523454</v>
      </c>
      <c r="BL127" s="14" t="n">
        <f aca="false">BK127*(2*($AH127/($AG127+273.15)))</f>
        <v>0.0409713724472703</v>
      </c>
      <c r="BM127" s="14" t="n">
        <f aca="false">10^6/((AI127+273.15)^2)</f>
        <v>11.2016362836231</v>
      </c>
      <c r="BN127" s="14" t="n">
        <f aca="false">BM127*(2*($AJ127/($AI127+273.15)))</f>
        <v>0.351610943500361</v>
      </c>
    </row>
    <row r="128" s="14" customFormat="true" ht="16" hidden="false" customHeight="false" outlineLevel="0" collapsed="false">
      <c r="A128" s="22" t="s">
        <v>229</v>
      </c>
      <c r="B128" s="14" t="s">
        <v>444</v>
      </c>
      <c r="C128" s="14" t="s">
        <v>438</v>
      </c>
      <c r="D128" s="23" t="s">
        <v>445</v>
      </c>
      <c r="E128" s="24" t="s">
        <v>446</v>
      </c>
      <c r="F128" s="22" t="n">
        <v>0</v>
      </c>
      <c r="G128" s="22" t="n">
        <v>160.5</v>
      </c>
      <c r="H128" s="22" t="s">
        <v>56</v>
      </c>
      <c r="I128" s="22" t="s">
        <v>57</v>
      </c>
      <c r="J128" s="22" t="n">
        <v>2959</v>
      </c>
      <c r="K128" s="25" t="s">
        <v>229</v>
      </c>
      <c r="L128" s="22" t="s">
        <v>58</v>
      </c>
      <c r="M128" s="22" t="s">
        <v>232</v>
      </c>
      <c r="N128" s="22" t="s">
        <v>233</v>
      </c>
      <c r="O128" s="22" t="s">
        <v>61</v>
      </c>
      <c r="P128" s="22" t="s">
        <v>61</v>
      </c>
      <c r="Q128" s="22" t="n">
        <v>3</v>
      </c>
      <c r="R128" s="25" t="s">
        <v>234</v>
      </c>
      <c r="S128" s="25" t="n">
        <v>35.062625</v>
      </c>
      <c r="T128" s="22" t="n">
        <v>-2.17345945945946</v>
      </c>
      <c r="U128" s="26" t="n">
        <v>1</v>
      </c>
      <c r="V128" s="27" t="n">
        <v>1.8</v>
      </c>
      <c r="W128" s="27" t="n">
        <v>0</v>
      </c>
      <c r="X128" s="23" t="n">
        <v>0</v>
      </c>
      <c r="Y128" s="27" t="n">
        <v>-0.77</v>
      </c>
      <c r="Z128" s="27" t="n">
        <v>0</v>
      </c>
      <c r="AA128" s="23" t="n">
        <v>0</v>
      </c>
      <c r="AB128" s="27" t="n">
        <v>0.229749928</v>
      </c>
      <c r="AC128" s="27" t="n">
        <v>0.222082321788729</v>
      </c>
      <c r="AD128" s="27" t="n">
        <v>0.204607212801051</v>
      </c>
      <c r="AE128" s="28" t="n">
        <v>0.62286467</v>
      </c>
      <c r="AF128" s="23" t="n">
        <v>0.004</v>
      </c>
      <c r="AG128" s="29" t="n">
        <v>17.1850528717041</v>
      </c>
      <c r="AH128" s="27" t="n">
        <v>4.89682398535433</v>
      </c>
      <c r="AI128" s="27" t="n">
        <f aca="false">VLOOKUP(B128,proft,2,0)</f>
        <v>19.8331865451445</v>
      </c>
      <c r="AJ128" s="27" t="n">
        <f aca="false">VLOOKUP(B128,proft,3,0)</f>
        <v>2.9044647216797</v>
      </c>
      <c r="AK128" s="27" t="s">
        <v>63</v>
      </c>
      <c r="BA128" s="30" t="n">
        <v>20.1176</v>
      </c>
      <c r="BB128" s="30" t="n">
        <v>2.244</v>
      </c>
      <c r="BC128" s="30" t="n">
        <v>0.02244</v>
      </c>
      <c r="BD128" s="31" t="n">
        <v>20.1176</v>
      </c>
      <c r="BE128" s="31" t="n">
        <v>2.244</v>
      </c>
      <c r="BF128" s="31" t="n">
        <v>0.02244</v>
      </c>
      <c r="BG128" s="14" t="n">
        <f aca="false">10^6/((BA128+273.15)^2)</f>
        <v>11.6271113024545</v>
      </c>
      <c r="BH128" s="14" t="n">
        <f aca="false">BG128*(2*($BE128/($BD128+273.15)))</f>
        <v>0.177934676470962</v>
      </c>
      <c r="BI128" s="14" t="n">
        <f aca="false">BG128*(2*($BF128/($BD128+273.15)))</f>
        <v>0.00177934676470962</v>
      </c>
      <c r="BK128" s="14" t="n">
        <f aca="false">10^6/((AG128+273.15)^2)</f>
        <v>11.8631782272729</v>
      </c>
      <c r="BL128" s="14" t="n">
        <f aca="false">BK128*(2*($AH128/($AG128+273.15)))</f>
        <v>0.400171423403796</v>
      </c>
      <c r="BM128" s="14" t="n">
        <f aca="false">10^6/((AI128+273.15)^2)</f>
        <v>11.6496962980279</v>
      </c>
      <c r="BN128" s="14" t="n">
        <f aca="false">BM128*(2*($AJ128/($AI128+273.15)))</f>
        <v>0.230976612104606</v>
      </c>
    </row>
    <row r="129" s="14" customFormat="true" ht="16" hidden="false" customHeight="false" outlineLevel="0" collapsed="false">
      <c r="A129" s="22" t="s">
        <v>229</v>
      </c>
      <c r="B129" s="14" t="s">
        <v>447</v>
      </c>
      <c r="C129" s="14" t="s">
        <v>438</v>
      </c>
      <c r="D129" s="23" t="s">
        <v>448</v>
      </c>
      <c r="E129" s="24" t="s">
        <v>449</v>
      </c>
      <c r="F129" s="22" t="n">
        <v>0</v>
      </c>
      <c r="G129" s="22" t="n">
        <v>161</v>
      </c>
      <c r="H129" s="22" t="s">
        <v>56</v>
      </c>
      <c r="I129" s="22" t="s">
        <v>57</v>
      </c>
      <c r="J129" s="22" t="n">
        <v>3411</v>
      </c>
      <c r="K129" s="25" t="s">
        <v>229</v>
      </c>
      <c r="L129" s="22" t="s">
        <v>58</v>
      </c>
      <c r="M129" s="22" t="s">
        <v>232</v>
      </c>
      <c r="N129" s="22" t="s">
        <v>233</v>
      </c>
      <c r="O129" s="22" t="s">
        <v>61</v>
      </c>
      <c r="P129" s="22" t="s">
        <v>61</v>
      </c>
      <c r="Q129" s="22" t="n">
        <v>3</v>
      </c>
      <c r="R129" s="25" t="s">
        <v>234</v>
      </c>
      <c r="S129" s="25" t="n">
        <v>35.087625</v>
      </c>
      <c r="T129" s="22" t="n">
        <v>-6.51070068027211</v>
      </c>
      <c r="U129" s="26" t="n">
        <v>1</v>
      </c>
      <c r="V129" s="27" t="n">
        <v>1.84</v>
      </c>
      <c r="W129" s="27" t="n">
        <v>0</v>
      </c>
      <c r="X129" s="23" t="n">
        <v>0</v>
      </c>
      <c r="Y129" s="27" t="n">
        <v>-0.7</v>
      </c>
      <c r="Z129" s="27" t="n">
        <v>0</v>
      </c>
      <c r="AA129" s="23" t="n">
        <v>0</v>
      </c>
      <c r="AB129" s="27" t="n">
        <v>0.229749928</v>
      </c>
      <c r="AC129" s="27" t="n">
        <v>0.222082321788729</v>
      </c>
      <c r="AD129" s="27" t="n">
        <v>0.204607212801051</v>
      </c>
      <c r="AE129" s="28" t="n">
        <v>0.603054603</v>
      </c>
      <c r="AF129" s="23" t="n">
        <v>0.009</v>
      </c>
      <c r="AG129" s="29" t="n">
        <v>17.1850528717041</v>
      </c>
      <c r="AH129" s="27" t="n">
        <v>4.89682398535433</v>
      </c>
      <c r="AI129" s="27" t="n">
        <f aca="false">VLOOKUP(B129,proft,2,0)</f>
        <v>19.4798553820405</v>
      </c>
      <c r="AJ129" s="27" t="n">
        <f aca="false">VLOOKUP(B129,proft,3,0)</f>
        <v>2.6444129943847</v>
      </c>
      <c r="AK129" s="27" t="s">
        <v>63</v>
      </c>
      <c r="BA129" s="30" t="n">
        <v>19.8812</v>
      </c>
      <c r="BB129" s="30" t="n">
        <v>2.235</v>
      </c>
      <c r="BC129" s="30" t="n">
        <v>0.02235</v>
      </c>
      <c r="BD129" s="31" t="n">
        <v>19.8812</v>
      </c>
      <c r="BE129" s="31" t="n">
        <v>2.235</v>
      </c>
      <c r="BF129" s="31" t="n">
        <v>0.02235</v>
      </c>
      <c r="BG129" s="14" t="n">
        <f aca="false">10^6/((BA129+273.15)^2)</f>
        <v>11.6458789820363</v>
      </c>
      <c r="BH129" s="14" t="n">
        <f aca="false">BG129*(2*($BE129/($BD129+273.15)))</f>
        <v>0.177650294745754</v>
      </c>
      <c r="BI129" s="14" t="n">
        <f aca="false">BG129*(2*($BF129/($BD129+273.15)))</f>
        <v>0.00177650294745754</v>
      </c>
      <c r="BK129" s="14" t="n">
        <f aca="false">10^6/((AG129+273.15)^2)</f>
        <v>11.8631782272729</v>
      </c>
      <c r="BL129" s="14" t="n">
        <f aca="false">BK129*(2*($AH129/($AG129+273.15)))</f>
        <v>0.400171423403796</v>
      </c>
      <c r="BM129" s="14" t="n">
        <f aca="false">10^6/((AI129+273.15)^2)</f>
        <v>11.6778457550083</v>
      </c>
      <c r="BN129" s="14" t="n">
        <f aca="false">BM129*(2*($AJ129/($AI129+273.15)))</f>
        <v>0.211058758995371</v>
      </c>
    </row>
    <row r="130" s="14" customFormat="true" ht="16" hidden="false" customHeight="false" outlineLevel="0" collapsed="false">
      <c r="A130" s="22" t="s">
        <v>229</v>
      </c>
      <c r="B130" s="14" t="s">
        <v>450</v>
      </c>
      <c r="C130" s="14" t="s">
        <v>438</v>
      </c>
      <c r="D130" s="23" t="s">
        <v>451</v>
      </c>
      <c r="E130" s="24" t="s">
        <v>452</v>
      </c>
      <c r="F130" s="22" t="n">
        <v>0</v>
      </c>
      <c r="G130" s="22" t="n">
        <v>162.2</v>
      </c>
      <c r="H130" s="22" t="s">
        <v>56</v>
      </c>
      <c r="I130" s="22" t="s">
        <v>57</v>
      </c>
      <c r="J130" s="22" t="n">
        <v>4341</v>
      </c>
      <c r="K130" s="25" t="s">
        <v>229</v>
      </c>
      <c r="L130" s="22" t="s">
        <v>58</v>
      </c>
      <c r="M130" s="22" t="s">
        <v>232</v>
      </c>
      <c r="N130" s="22" t="s">
        <v>233</v>
      </c>
      <c r="O130" s="22" t="s">
        <v>61</v>
      </c>
      <c r="P130" s="22" t="s">
        <v>61</v>
      </c>
      <c r="Q130" s="22" t="n">
        <v>3</v>
      </c>
      <c r="R130" s="25" t="s">
        <v>234</v>
      </c>
      <c r="S130" s="25" t="n">
        <v>35.096375</v>
      </c>
      <c r="T130" s="22" t="n">
        <v>-26.9500560747664</v>
      </c>
      <c r="U130" s="26" t="n">
        <v>1</v>
      </c>
      <c r="V130" s="27" t="n">
        <v>1.92</v>
      </c>
      <c r="W130" s="27" t="n">
        <v>0</v>
      </c>
      <c r="X130" s="23" t="n">
        <v>0</v>
      </c>
      <c r="Y130" s="27" t="n">
        <v>-0.22</v>
      </c>
      <c r="Z130" s="27" t="n">
        <v>0</v>
      </c>
      <c r="AA130" s="23" t="n">
        <v>0</v>
      </c>
      <c r="AB130" s="27" t="n">
        <v>0.229580832</v>
      </c>
      <c r="AC130" s="27" t="n">
        <v>0.222182666991312</v>
      </c>
      <c r="AD130" s="27" t="n">
        <v>0.204628999661032</v>
      </c>
      <c r="AE130" s="28" t="n">
        <v>0.630270277</v>
      </c>
      <c r="AF130" s="23" t="n">
        <v>0.012</v>
      </c>
      <c r="AG130" s="29" t="n">
        <v>17.312336564064</v>
      </c>
      <c r="AH130" s="27" t="n">
        <v>4.98144429220822</v>
      </c>
      <c r="AI130" s="27" t="n">
        <f aca="false">VLOOKUP(B130,proft,2,0)</f>
        <v>16.9999607059675</v>
      </c>
      <c r="AJ130" s="27" t="n">
        <f aca="false">VLOOKUP(B130,proft,3,0)</f>
        <v>4.6881437301636</v>
      </c>
      <c r="AK130" s="27" t="s">
        <v>63</v>
      </c>
      <c r="BA130" s="30" t="n">
        <v>17.9761</v>
      </c>
      <c r="BB130" s="30" t="n">
        <v>2.233</v>
      </c>
      <c r="BC130" s="30" t="n">
        <v>0.02233</v>
      </c>
      <c r="BD130" s="31" t="n">
        <v>17.9761</v>
      </c>
      <c r="BE130" s="31" t="n">
        <v>2.233</v>
      </c>
      <c r="BF130" s="31" t="n">
        <v>0.02233</v>
      </c>
      <c r="BG130" s="14" t="n">
        <f aca="false">10^6/((BA130+273.15)^2)</f>
        <v>11.7987966172029</v>
      </c>
      <c r="BH130" s="14" t="n">
        <f aca="false">BG130*(2*($BE130/($BD130+273.15)))</f>
        <v>0.180998631494834</v>
      </c>
      <c r="BI130" s="14" t="n">
        <f aca="false">BG130*(2*($BF130/($BD130+273.15)))</f>
        <v>0.00180998631494834</v>
      </c>
      <c r="BK130" s="14" t="n">
        <f aca="false">10^6/((AG130+273.15)^2)</f>
        <v>11.8527833630087</v>
      </c>
      <c r="BL130" s="14" t="n">
        <f aca="false">BK130*(2*($AH130/($AG130+273.15)))</f>
        <v>0.406551711515392</v>
      </c>
      <c r="BM130" s="14" t="n">
        <f aca="false">10^6/((AI130+273.15)^2)</f>
        <v>11.8783185478889</v>
      </c>
      <c r="BN130" s="14" t="n">
        <f aca="false">BM130*(2*($AJ130/($AI130+273.15)))</f>
        <v>0.383851608938204</v>
      </c>
    </row>
    <row r="131" s="14" customFormat="true" ht="16" hidden="false" customHeight="false" outlineLevel="0" collapsed="false">
      <c r="A131" s="22" t="s">
        <v>229</v>
      </c>
      <c r="B131" s="14" t="s">
        <v>453</v>
      </c>
      <c r="C131" s="14" t="s">
        <v>438</v>
      </c>
      <c r="D131" s="23" t="s">
        <v>454</v>
      </c>
      <c r="E131" s="24" t="s">
        <v>455</v>
      </c>
      <c r="F131" s="22" t="n">
        <v>0</v>
      </c>
      <c r="G131" s="22" t="n">
        <v>161.8</v>
      </c>
      <c r="H131" s="22" t="s">
        <v>56</v>
      </c>
      <c r="I131" s="22" t="s">
        <v>57</v>
      </c>
      <c r="J131" s="22" t="n">
        <v>4025</v>
      </c>
      <c r="K131" s="25" t="s">
        <v>229</v>
      </c>
      <c r="L131" s="22" t="s">
        <v>58</v>
      </c>
      <c r="M131" s="22" t="s">
        <v>232</v>
      </c>
      <c r="N131" s="22" t="s">
        <v>233</v>
      </c>
      <c r="O131" s="22" t="s">
        <v>61</v>
      </c>
      <c r="P131" s="22" t="s">
        <v>61</v>
      </c>
      <c r="Q131" s="22" t="n">
        <v>3</v>
      </c>
      <c r="R131" s="25" t="s">
        <v>234</v>
      </c>
      <c r="S131" s="25" t="n">
        <v>35.096375</v>
      </c>
      <c r="T131" s="22" t="n">
        <v>-16.6244949152542</v>
      </c>
      <c r="U131" s="26" t="n">
        <v>1</v>
      </c>
      <c r="V131" s="27" t="n">
        <v>2.03</v>
      </c>
      <c r="W131" s="27" t="n">
        <v>0</v>
      </c>
      <c r="X131" s="23" t="n">
        <v>0</v>
      </c>
      <c r="Y131" s="27" t="n">
        <v>-0.25</v>
      </c>
      <c r="Z131" s="27" t="n">
        <v>0.01</v>
      </c>
      <c r="AA131" s="23" t="n">
        <v>0</v>
      </c>
      <c r="AB131" s="27" t="n">
        <v>0.229580832</v>
      </c>
      <c r="AC131" s="27" t="n">
        <v>0.222182666991312</v>
      </c>
      <c r="AD131" s="27" t="n">
        <v>0.204628999661032</v>
      </c>
      <c r="AE131" s="28" t="n">
        <v>0.660411089</v>
      </c>
      <c r="AF131" s="23" t="n">
        <v>0.009</v>
      </c>
      <c r="AG131" s="29" t="n">
        <v>17.312336564064</v>
      </c>
      <c r="AH131" s="27" t="n">
        <v>4.98144429220822</v>
      </c>
      <c r="AI131" s="27" t="n">
        <f aca="false">VLOOKUP(B131,proft,2,0)</f>
        <v>17.2150274327722</v>
      </c>
      <c r="AJ131" s="27" t="n">
        <f aca="false">VLOOKUP(B131,proft,3,0)</f>
        <v>2.7173557281494</v>
      </c>
      <c r="AK131" s="27" t="s">
        <v>63</v>
      </c>
      <c r="BA131" s="30" t="n">
        <v>18.0881</v>
      </c>
      <c r="BB131" s="30" t="n">
        <v>2.248</v>
      </c>
      <c r="BC131" s="30" t="n">
        <v>0.02248</v>
      </c>
      <c r="BD131" s="31" t="n">
        <v>18.0881</v>
      </c>
      <c r="BE131" s="31" t="n">
        <v>2.248</v>
      </c>
      <c r="BF131" s="31" t="n">
        <v>0.02248</v>
      </c>
      <c r="BG131" s="14" t="n">
        <f aca="false">10^6/((BA131+273.15)^2)</f>
        <v>11.7897235520618</v>
      </c>
      <c r="BH131" s="14" t="n">
        <f aca="false">BG131*(2*($BE131/($BD131+273.15)))</f>
        <v>0.182004336280417</v>
      </c>
      <c r="BI131" s="14" t="n">
        <f aca="false">BG131*(2*($BF131/($BD131+273.15)))</f>
        <v>0.00182004336280417</v>
      </c>
      <c r="BK131" s="14" t="n">
        <f aca="false">10^6/((AG131+273.15)^2)</f>
        <v>11.8527833630087</v>
      </c>
      <c r="BL131" s="14" t="n">
        <f aca="false">BK131*(2*($AH131/($AG131+273.15)))</f>
        <v>0.406551711515392</v>
      </c>
      <c r="BM131" s="14" t="n">
        <f aca="false">10^6/((AI131+273.15)^2)</f>
        <v>11.8607290672669</v>
      </c>
      <c r="BN131" s="14" t="n">
        <f aca="false">BM131*(2*($AJ131/($AI131+273.15)))</f>
        <v>0.221995192437064</v>
      </c>
    </row>
    <row r="132" s="14" customFormat="true" ht="16" hidden="false" customHeight="false" outlineLevel="0" collapsed="false">
      <c r="A132" s="22" t="s">
        <v>154</v>
      </c>
      <c r="B132" s="14" t="s">
        <v>456</v>
      </c>
      <c r="C132" s="14" t="s">
        <v>438</v>
      </c>
      <c r="D132" s="23" t="s">
        <v>457</v>
      </c>
      <c r="E132" s="24" t="s">
        <v>458</v>
      </c>
      <c r="F132" s="22" t="n">
        <v>0.2</v>
      </c>
      <c r="G132" s="22" t="n">
        <v>159.2</v>
      </c>
      <c r="H132" s="22" t="s">
        <v>56</v>
      </c>
      <c r="I132" s="22" t="s">
        <v>57</v>
      </c>
      <c r="J132" s="22" t="n">
        <v>2520</v>
      </c>
      <c r="K132" s="25" t="s">
        <v>154</v>
      </c>
      <c r="L132" s="22" t="s">
        <v>160</v>
      </c>
      <c r="M132" s="22" t="s">
        <v>161</v>
      </c>
      <c r="N132" s="22" t="s">
        <v>162</v>
      </c>
      <c r="O132" s="22" t="s">
        <v>71</v>
      </c>
      <c r="P132" s="22" t="s">
        <v>71</v>
      </c>
      <c r="Q132" s="22" t="n">
        <v>5</v>
      </c>
      <c r="R132" s="25" t="s">
        <v>62</v>
      </c>
      <c r="S132" s="25" t="n">
        <v>34.6269090909091</v>
      </c>
      <c r="T132" s="22" t="n">
        <v>2.29508724832215</v>
      </c>
      <c r="U132" s="26" t="n">
        <v>2</v>
      </c>
      <c r="V132" s="27" t="n">
        <v>1.21</v>
      </c>
      <c r="W132" s="27" t="n">
        <v>0.0282842712474619</v>
      </c>
      <c r="X132" s="27" t="n">
        <v>0.02</v>
      </c>
      <c r="Y132" s="27" t="n">
        <v>0.185</v>
      </c>
      <c r="Z132" s="27" t="n">
        <v>0.00707106781186548</v>
      </c>
      <c r="AA132" s="27" t="n">
        <v>0.005</v>
      </c>
      <c r="AB132" s="27" t="n">
        <v>0.298531628</v>
      </c>
      <c r="AC132" s="27" t="n">
        <v>0.200827542432095</v>
      </c>
      <c r="AD132" s="27" t="n">
        <v>0.200165782190321</v>
      </c>
      <c r="AE132" s="28" t="n">
        <v>0.6623472445</v>
      </c>
      <c r="AF132" s="28" t="n">
        <v>0.00706496550000002</v>
      </c>
      <c r="AG132" s="29" t="n">
        <v>29.1717536232688</v>
      </c>
      <c r="AH132" s="27" t="n">
        <v>0.0745472101679626</v>
      </c>
      <c r="AI132" s="27" t="n">
        <f aca="false">VLOOKUP(B132,proft,2,0)</f>
        <v>16.3842537452789</v>
      </c>
      <c r="AJ132" s="27" t="n">
        <f aca="false">VLOOKUP(B132,proft,3,0)</f>
        <v>1.6081829071045</v>
      </c>
      <c r="AK132" s="27" t="s">
        <v>163</v>
      </c>
      <c r="BA132" s="30" t="n">
        <v>17.362</v>
      </c>
      <c r="BB132" s="30" t="n">
        <v>1.912</v>
      </c>
      <c r="BC132" s="30" t="n">
        <v>0.01978</v>
      </c>
      <c r="BD132" s="31" t="n">
        <v>17.362</v>
      </c>
      <c r="BE132" s="31" t="n">
        <v>1.912</v>
      </c>
      <c r="BF132" s="31" t="n">
        <v>0.01978</v>
      </c>
      <c r="BG132" s="14" t="n">
        <f aca="false">10^6/((BA132+273.15)^2)</f>
        <v>11.8487312093493</v>
      </c>
      <c r="BH132" s="14" t="n">
        <f aca="false">BG132*(2*($BE132/($BD132+273.15)))</f>
        <v>0.155964463239218</v>
      </c>
      <c r="BI132" s="14" t="n">
        <f aca="false">BG132*(2*($BF132/($BD132+273.15)))</f>
        <v>0.00161348173790363</v>
      </c>
      <c r="BK132" s="14" t="n">
        <f aca="false">10^6/((AG132+273.15)^2)</f>
        <v>10.9411054533042</v>
      </c>
      <c r="BL132" s="14" t="n">
        <f aca="false">BK132*(2*($AH132/($AG132+273.15)))</f>
        <v>0.0053957671118413</v>
      </c>
      <c r="BM132" s="14" t="n">
        <f aca="false">10^6/((AI132+273.15)^2)</f>
        <v>11.9288917675963</v>
      </c>
      <c r="BN132" s="14" t="n">
        <f aca="false">BM132*(2*($AJ132/($AI132+273.15)))</f>
        <v>0.132515165948034</v>
      </c>
    </row>
    <row r="133" s="14" customFormat="true" ht="16" hidden="false" customHeight="false" outlineLevel="0" collapsed="false">
      <c r="A133" s="22" t="s">
        <v>67</v>
      </c>
      <c r="B133" s="14" t="s">
        <v>459</v>
      </c>
      <c r="C133" s="14" t="s">
        <v>438</v>
      </c>
      <c r="D133" s="23" t="s">
        <v>460</v>
      </c>
      <c r="E133" s="24" t="s">
        <v>458</v>
      </c>
      <c r="F133" s="22" t="n">
        <v>0.2</v>
      </c>
      <c r="G133" s="22" t="n">
        <v>159.2</v>
      </c>
      <c r="H133" s="22" t="s">
        <v>56</v>
      </c>
      <c r="I133" s="22" t="s">
        <v>57</v>
      </c>
      <c r="J133" s="22" t="n">
        <v>2520</v>
      </c>
      <c r="K133" s="25" t="s">
        <v>67</v>
      </c>
      <c r="L133" s="22" t="s">
        <v>68</v>
      </c>
      <c r="M133" s="22" t="s">
        <v>69</v>
      </c>
      <c r="N133" s="22" t="s">
        <v>70</v>
      </c>
      <c r="O133" s="22" t="s">
        <v>71</v>
      </c>
      <c r="P133" s="22" t="s">
        <v>71</v>
      </c>
      <c r="Q133" s="22" t="n">
        <v>5</v>
      </c>
      <c r="R133" s="25" t="s">
        <v>62</v>
      </c>
      <c r="S133" s="25" t="n">
        <v>35.04</v>
      </c>
      <c r="T133" s="22" t="n">
        <v>2.29508724832215</v>
      </c>
      <c r="U133" s="26" t="n">
        <v>2</v>
      </c>
      <c r="V133" s="27" t="n">
        <v>1.93</v>
      </c>
      <c r="W133" s="27" t="n">
        <v>0</v>
      </c>
      <c r="X133" s="27" t="n">
        <v>0</v>
      </c>
      <c r="Y133" s="27" t="n">
        <v>0.305</v>
      </c>
      <c r="Z133" s="27" t="n">
        <v>0.106066017177982</v>
      </c>
      <c r="AA133" s="27" t="n">
        <v>0.075</v>
      </c>
      <c r="AB133" s="27" t="n">
        <v>0.25110605</v>
      </c>
      <c r="AC133" s="27" t="n">
        <v>0.217360999299297</v>
      </c>
      <c r="AD133" s="27" t="n">
        <v>0.205949673477437</v>
      </c>
      <c r="AE133" s="28" t="n">
        <v>0.677734943</v>
      </c>
      <c r="AF133" s="28" t="n">
        <v>0.001869909</v>
      </c>
      <c r="AG133" s="29" t="n">
        <v>28.4809353568337</v>
      </c>
      <c r="AH133" s="27" t="n">
        <v>0.523423315129924</v>
      </c>
      <c r="AI133" s="27" t="n">
        <f aca="false">VLOOKUP(B133,proft,2,0)</f>
        <v>14.8422749775435</v>
      </c>
      <c r="AJ133" s="27" t="n">
        <f aca="false">VLOOKUP(B133,proft,3,0)</f>
        <v>2.0996971130371</v>
      </c>
      <c r="AK133" s="27" t="s">
        <v>72</v>
      </c>
      <c r="BA133" s="30" t="n">
        <v>15.1041</v>
      </c>
      <c r="BB133" s="30" t="n">
        <v>2.155</v>
      </c>
      <c r="BC133" s="30" t="n">
        <v>0.02195</v>
      </c>
      <c r="BD133" s="31" t="n">
        <v>15.1041</v>
      </c>
      <c r="BE133" s="31" t="n">
        <v>2.155</v>
      </c>
      <c r="BF133" s="31" t="n">
        <v>0.02195</v>
      </c>
      <c r="BG133" s="14" t="n">
        <f aca="false">10^6/((BA133+273.15)^2)</f>
        <v>12.0350808887708</v>
      </c>
      <c r="BH133" s="14" t="n">
        <f aca="false">BG133*(2*($BE133/($BD133+273.15)))</f>
        <v>0.17994956058076</v>
      </c>
      <c r="BI133" s="14" t="n">
        <f aca="false">BG133*(2*($BF133/($BD133+273.15)))</f>
        <v>0.00183289691635623</v>
      </c>
      <c r="BK133" s="14" t="n">
        <f aca="false">10^6/((AG133+273.15)^2)</f>
        <v>10.9912791585289</v>
      </c>
      <c r="BL133" s="14" t="n">
        <f aca="false">BK133*(2*($AH133/($AG133+273.15)))</f>
        <v>0.0381465632354297</v>
      </c>
      <c r="BM133" s="14" t="n">
        <f aca="false">10^6/((AI133+273.15)^2)</f>
        <v>12.056973960115</v>
      </c>
      <c r="BN133" s="14" t="n">
        <f aca="false">BM133*(2*($AJ133/($AI133+273.15)))</f>
        <v>0.17581022559019</v>
      </c>
    </row>
    <row r="134" s="14" customFormat="true" ht="16" hidden="false" customHeight="false" outlineLevel="0" collapsed="false">
      <c r="A134" s="22" t="s">
        <v>461</v>
      </c>
      <c r="B134" s="14" t="s">
        <v>462</v>
      </c>
      <c r="C134" s="14" t="s">
        <v>438</v>
      </c>
      <c r="D134" s="23" t="s">
        <v>463</v>
      </c>
      <c r="E134" s="24" t="s">
        <v>462</v>
      </c>
      <c r="F134" s="22" t="n">
        <v>51.1</v>
      </c>
      <c r="G134" s="22" t="n">
        <v>-21.2</v>
      </c>
      <c r="H134" s="22" t="s">
        <v>78</v>
      </c>
      <c r="I134" s="22" t="s">
        <v>79</v>
      </c>
      <c r="J134" s="22" t="n">
        <v>2865</v>
      </c>
      <c r="K134" s="25" t="s">
        <v>461</v>
      </c>
      <c r="L134" s="22"/>
      <c r="M134" s="22"/>
      <c r="N134" s="22" t="n">
        <v>0</v>
      </c>
      <c r="O134" s="22" t="s">
        <v>461</v>
      </c>
      <c r="P134" s="22" t="s">
        <v>461</v>
      </c>
      <c r="Q134" s="22" t="n">
        <v>7</v>
      </c>
      <c r="R134" s="25"/>
      <c r="S134" s="25" t="n">
        <v>35.419</v>
      </c>
      <c r="T134" s="22" t="n">
        <v>31.381764940239</v>
      </c>
      <c r="U134" s="26" t="n">
        <v>2</v>
      </c>
      <c r="V134" s="27" t="n">
        <v>-0.285</v>
      </c>
      <c r="W134" s="27" t="n">
        <v>0.134350288425444</v>
      </c>
      <c r="X134" s="27" t="n">
        <v>0.0949999999999999</v>
      </c>
      <c r="Y134" s="27" t="n">
        <v>0.78</v>
      </c>
      <c r="Z134" s="27" t="n">
        <v>0.113137084989846</v>
      </c>
      <c r="AA134" s="27" t="n">
        <v>0.0799999999999991</v>
      </c>
      <c r="AB134" s="27" t="n">
        <v>0.362152069666667</v>
      </c>
      <c r="AC134" s="27" t="n">
        <v>0.234711712745751</v>
      </c>
      <c r="AD134" s="27" t="n">
        <v>0.201253537285687</v>
      </c>
      <c r="AE134" s="28" t="n">
        <v>0.6117962605</v>
      </c>
      <c r="AF134" s="28" t="n">
        <v>0.00639318449999993</v>
      </c>
      <c r="AG134" s="29" t="n">
        <v>12.6696994954889</v>
      </c>
      <c r="AH134" s="27" t="n">
        <v>0.268859927856824</v>
      </c>
      <c r="AI134" s="27" t="n">
        <f aca="false">VLOOKUP(B134,proft,2,0)</f>
        <v>12.8696165084839</v>
      </c>
      <c r="AJ134" s="27" t="n">
        <f aca="false">VLOOKUP(B134,proft,3,0)</f>
        <v>0.132174804806709</v>
      </c>
      <c r="AK134" s="27" t="s">
        <v>63</v>
      </c>
      <c r="BA134" s="30" t="n">
        <v>14.6235</v>
      </c>
      <c r="BB134" s="30" t="n">
        <v>2.226</v>
      </c>
      <c r="BC134" s="30" t="n">
        <v>0.02216</v>
      </c>
      <c r="BD134" s="31" t="n">
        <v>14.6235</v>
      </c>
      <c r="BE134" s="31" t="n">
        <v>2.226</v>
      </c>
      <c r="BF134" s="31" t="n">
        <v>0.02216</v>
      </c>
      <c r="BG134" s="14" t="n">
        <f aca="false">10^6/((BA134+273.15)^2)</f>
        <v>12.0753131530245</v>
      </c>
      <c r="BH134" s="14" t="n">
        <f aca="false">BG134*(2*($BE134/($BD134+273.15)))</f>
        <v>0.186811134997715</v>
      </c>
      <c r="BI134" s="14" t="n">
        <f aca="false">BG134*(2*($BF134/($BD134+273.15)))</f>
        <v>0.00185971911570052</v>
      </c>
      <c r="BK134" s="14" t="n">
        <f aca="false">10^6/((AG134+273.15)^2)</f>
        <v>12.240965768315</v>
      </c>
      <c r="BL134" s="14" t="n">
        <f aca="false">BK134*(2*($AH134/($AG134+273.15)))</f>
        <v>0.0230292396162774</v>
      </c>
      <c r="BM134" s="14" t="n">
        <f aca="false">10^6/((AI134+273.15)^2)</f>
        <v>12.2238597942581</v>
      </c>
      <c r="BN134" s="14" t="n">
        <f aca="false">BM134*(2*($AJ134/($AI134+273.15)))</f>
        <v>0.0112977305683697</v>
      </c>
    </row>
    <row r="135" s="14" customFormat="true" ht="16" hidden="false" customHeight="false" outlineLevel="0" collapsed="false">
      <c r="A135" s="22" t="s">
        <v>464</v>
      </c>
      <c r="B135" s="14" t="s">
        <v>465</v>
      </c>
      <c r="C135" s="14" t="s">
        <v>438</v>
      </c>
      <c r="D135" s="23" t="s">
        <v>466</v>
      </c>
      <c r="E135" s="24" t="s">
        <v>467</v>
      </c>
      <c r="F135" s="22" t="n">
        <v>52.9</v>
      </c>
      <c r="G135" s="22" t="n">
        <v>-16.9</v>
      </c>
      <c r="H135" s="22" t="s">
        <v>78</v>
      </c>
      <c r="I135" s="22" t="s">
        <v>79</v>
      </c>
      <c r="J135" s="22" t="n">
        <v>3600</v>
      </c>
      <c r="K135" s="25" t="s">
        <v>464</v>
      </c>
      <c r="L135" s="22" t="s">
        <v>166</v>
      </c>
      <c r="M135" s="22" t="s">
        <v>468</v>
      </c>
      <c r="N135" s="22" t="n">
        <v>3600</v>
      </c>
      <c r="O135" s="22" t="s">
        <v>172</v>
      </c>
      <c r="P135" s="22" t="s">
        <v>172</v>
      </c>
      <c r="Q135" s="22" t="n">
        <v>2</v>
      </c>
      <c r="R135" s="25" t="s">
        <v>83</v>
      </c>
      <c r="S135" s="25" t="n">
        <v>34.912</v>
      </c>
      <c r="T135" s="22" t="n">
        <v>22.7394508196721</v>
      </c>
      <c r="U135" s="26" t="n">
        <v>1</v>
      </c>
      <c r="V135" s="27" t="n">
        <v>0.16</v>
      </c>
      <c r="W135" s="27" t="n">
        <v>0</v>
      </c>
      <c r="X135" s="23" t="n">
        <v>0</v>
      </c>
      <c r="Y135" s="27" t="n">
        <v>2.1</v>
      </c>
      <c r="Z135" s="27" t="n">
        <v>0.01</v>
      </c>
      <c r="AA135" s="23" t="n">
        <v>0</v>
      </c>
      <c r="AB135" s="27" t="n">
        <v>0.21022468</v>
      </c>
      <c r="AC135" s="27" t="n">
        <v>0.200612311488694</v>
      </c>
      <c r="AD135" s="27" t="n">
        <v>0.200204311908974</v>
      </c>
      <c r="AE135" s="28" t="n">
        <v>0.664008279</v>
      </c>
      <c r="AF135" s="23" t="n">
        <v>0.012</v>
      </c>
      <c r="AG135" s="29" t="n">
        <v>2.55485773086548</v>
      </c>
      <c r="AH135" s="27" t="n">
        <v>0.0425242185976438</v>
      </c>
      <c r="AI135" s="44" t="n">
        <v>2.55485773086548</v>
      </c>
      <c r="AJ135" s="44" t="n">
        <v>0.0425242185976438</v>
      </c>
      <c r="AK135" s="27" t="s">
        <v>63</v>
      </c>
      <c r="AL135" s="14" t="n">
        <f aca="false">IF(AND(O135="Benthic, infaunal",M135="elegans"),(0.243-SQRT(((Y135)-(AB135))*0.0012+0.053337))/0.0006,IF(O135="Benthic",(0.245-SQRT(((Y135)-(AB135))*0.0044+0.045461))/0.0022,IF(O135="Benthic, infaunal",(0.245-(SQRT(0.045461+0.0044*((Y135-0.47)-(AB135)))))/0.0022,IF(O135="Benthic, epifaunal",(0.245-SQRT(((Y135)-(AB135))*0.0044+0.045461))/0.0022))))</f>
        <v>5.95611216029647</v>
      </c>
      <c r="AM135" s="45" t="n">
        <f aca="false">Y135-AB135</f>
        <v>1.88977532</v>
      </c>
      <c r="AN135" s="45" t="n">
        <f aca="false">SQRT((Z135^2)+(AC135^2))</f>
        <v>0.200861393803879</v>
      </c>
      <c r="AO135" s="46" t="n">
        <f aca="false">IF(NOT($M135="elegans"),(0.045461+0.0044*((AM135))),IF($M135="elegans",(0.053337+0.0012*((AM135)))))</f>
        <v>0.053776011408</v>
      </c>
      <c r="AP135" s="46" t="n">
        <f aca="false">IF(NOT($M135="elegans"),(0.0044*((AN135))),IF($M135="elegans",(0.0012*((AN135)))))</f>
        <v>0.000883790132737066</v>
      </c>
      <c r="AQ135" s="46" t="n">
        <f aca="false">SQRT(AO135)</f>
        <v>0.231896553247348</v>
      </c>
      <c r="AR135" s="46" t="n">
        <f aca="false">AQ135*(0.5*(AP135/AO135))</f>
        <v>0.00190556979041079</v>
      </c>
      <c r="AS135" s="46" t="n">
        <f aca="false">IF(NOT($M135="elegans"),AR135/0.0022,IF($M135="elegans",AR135/0.0006))</f>
        <v>0.866168086550359</v>
      </c>
      <c r="AT135" s="45" t="n">
        <f aca="false">Y135-AB135</f>
        <v>1.88977532</v>
      </c>
      <c r="AU135" s="45" t="n">
        <f aca="false">SQRT((AA135^2)+(AD135^2))</f>
        <v>0.200204311908974</v>
      </c>
      <c r="AV135" s="46" t="n">
        <f aca="false">IF(NOT($M135="elegans"),(0.045461+0.0044*((AT135))),IF($M135="elegans",(0.053337+0.0012*((AT135)))))</f>
        <v>0.053776011408</v>
      </c>
      <c r="AW135" s="46" t="n">
        <f aca="false">IF(NOT($M135="elegans"),(0.0044*((AU135))),IF($M135="elegans",(0.0012*((AU135)))))</f>
        <v>0.000880898972399484</v>
      </c>
      <c r="AX135" s="46" t="n">
        <f aca="false">SQRT(AV135)</f>
        <v>0.231896553247348</v>
      </c>
      <c r="AY135" s="46" t="n">
        <f aca="false">AX135*(0.5*(AW135/AV135))</f>
        <v>0.00189933606184282</v>
      </c>
      <c r="AZ135" s="46" t="n">
        <f aca="false">IF(NOT($M135="elegans"),AY135/0.0022,IF($M135="elegans",AY135/0.0006))</f>
        <v>0.86333457356492</v>
      </c>
      <c r="BD135" s="31" t="n">
        <f aca="false">AL135</f>
        <v>5.95611216029647</v>
      </c>
      <c r="BE135" s="31" t="n">
        <f aca="false">AS135</f>
        <v>0.866168086550359</v>
      </c>
      <c r="BF135" s="31" t="n">
        <f aca="false">AZ135</f>
        <v>0.86333457356492</v>
      </c>
      <c r="BG135" s="14" t="n">
        <f aca="false">10^6/((BD135+273.15)^2)</f>
        <v>12.8369339176812</v>
      </c>
      <c r="BH135" s="14" t="n">
        <f aca="false">BG135*(2*($BE135/($BD135+273.15)))</f>
        <v>0.0796753779599458</v>
      </c>
      <c r="BI135" s="14" t="n">
        <f aca="false">BG135*(2*($BF135/($BD135+273.15)))</f>
        <v>0.0794147343024678</v>
      </c>
      <c r="BK135" s="14" t="n">
        <f aca="false">10^6/((AG135+273.15)^2)</f>
        <v>13.1556152536248</v>
      </c>
      <c r="BL135" s="14" t="n">
        <f aca="false">BK135*(2*($AH135/($AG135+273.15)))</f>
        <v>0.00405819660513737</v>
      </c>
      <c r="BM135" s="14" t="n">
        <f aca="false">10^6/((AI135+273.15)^2)</f>
        <v>13.1556152536248</v>
      </c>
      <c r="BN135" s="14" t="n">
        <f aca="false">BM135*(2*($AJ135/($AI135+273.15)))</f>
        <v>0.00405819660513737</v>
      </c>
    </row>
    <row r="136" s="14" customFormat="true" ht="16" hidden="false" customHeight="false" outlineLevel="0" collapsed="false">
      <c r="A136" s="22" t="s">
        <v>469</v>
      </c>
      <c r="B136" s="14" t="s">
        <v>470</v>
      </c>
      <c r="C136" s="14" t="s">
        <v>438</v>
      </c>
      <c r="D136" s="23" t="s">
        <v>471</v>
      </c>
      <c r="E136" s="24" t="s">
        <v>472</v>
      </c>
      <c r="F136" s="22" t="n">
        <v>52.9</v>
      </c>
      <c r="G136" s="22" t="n">
        <v>-16.9</v>
      </c>
      <c r="H136" s="22" t="s">
        <v>78</v>
      </c>
      <c r="I136" s="22" t="s">
        <v>79</v>
      </c>
      <c r="J136" s="22" t="n">
        <v>3600</v>
      </c>
      <c r="K136" s="25" t="s">
        <v>469</v>
      </c>
      <c r="L136" s="22" t="s">
        <v>166</v>
      </c>
      <c r="M136" s="22" t="s">
        <v>473</v>
      </c>
      <c r="N136" s="22" t="n">
        <v>3600</v>
      </c>
      <c r="O136" s="22" t="s">
        <v>172</v>
      </c>
      <c r="P136" s="22" t="s">
        <v>172</v>
      </c>
      <c r="Q136" s="22" t="n">
        <v>2</v>
      </c>
      <c r="R136" s="25" t="s">
        <v>83</v>
      </c>
      <c r="S136" s="25" t="n">
        <v>34.912</v>
      </c>
      <c r="T136" s="22" t="n">
        <v>22.7394508196721</v>
      </c>
      <c r="U136" s="26" t="n">
        <v>2</v>
      </c>
      <c r="V136" s="27" t="n">
        <v>0.535</v>
      </c>
      <c r="W136" s="27" t="n">
        <v>0.00707106781186548</v>
      </c>
      <c r="X136" s="27" t="n">
        <v>0.005</v>
      </c>
      <c r="Y136" s="27" t="n">
        <v>2.315</v>
      </c>
      <c r="Z136" s="27" t="n">
        <v>0.00707106781186532</v>
      </c>
      <c r="AA136" s="27" t="n">
        <v>0.00499999999999989</v>
      </c>
      <c r="AB136" s="27" t="n">
        <v>0.21022468</v>
      </c>
      <c r="AC136" s="27" t="n">
        <v>0.200612311488694</v>
      </c>
      <c r="AD136" s="27" t="n">
        <v>0.200204311908974</v>
      </c>
      <c r="AE136" s="28" t="n">
        <v>0.63233105</v>
      </c>
      <c r="AF136" s="28" t="n">
        <v>0.020260123</v>
      </c>
      <c r="AG136" s="29" t="n">
        <v>2.55485773086548</v>
      </c>
      <c r="AH136" s="27" t="n">
        <v>0.0425242185976438</v>
      </c>
      <c r="AI136" s="44" t="n">
        <v>2.55485773086548</v>
      </c>
      <c r="AJ136" s="44" t="n">
        <v>0.0425242185976438</v>
      </c>
      <c r="AK136" s="27" t="s">
        <v>63</v>
      </c>
      <c r="AL136" s="14" t="n">
        <f aca="false">IF(AND(O136="Benthic, infaunal",M136="elegans"),(0.243-SQRT(((Y136)-(AB136))*0.0012+0.053337))/0.0006,IF(O136="Benthic",(0.245-SQRT(((Y136)-(AB136))*0.0044+0.045461))/0.0022,IF(O136="Benthic, infaunal",(0.245-(SQRT(0.045461+0.0044*((Y136-0.47)-(AB136)))))/0.0022,IF(O136="Benthic, epifaunal",(0.245-SQRT(((Y136)-(AB136))*0.0044+0.045461))/0.0022))))</f>
        <v>5.03301657736675</v>
      </c>
      <c r="AM136" s="45" t="n">
        <f aca="false">Y136-AB136</f>
        <v>2.10477532</v>
      </c>
      <c r="AN136" s="45" t="n">
        <f aca="false">SQRT((Z136^2)+(AC136^2))</f>
        <v>0.200736891280195</v>
      </c>
      <c r="AO136" s="46" t="n">
        <f aca="false">IF(NOT($M136="elegans"),(0.045461+0.0044*((AM136))),IF($M136="elegans",(0.053337+0.0012*((AM136)))))</f>
        <v>0.054722011408</v>
      </c>
      <c r="AP136" s="46" t="n">
        <f aca="false">IF(NOT($M136="elegans"),(0.0044*((AN136))),IF($M136="elegans",(0.0012*((AN136)))))</f>
        <v>0.000883242321632858</v>
      </c>
      <c r="AQ136" s="46" t="n">
        <f aca="false">SQRT(AO136)</f>
        <v>0.233927363529793</v>
      </c>
      <c r="AR136" s="46" t="n">
        <f aca="false">AQ136*(0.5*(AP136/AO136))</f>
        <v>0.00188785593165625</v>
      </c>
      <c r="AS136" s="46" t="n">
        <f aca="false">IF(NOT($M136="elegans"),AR136/0.0022,IF($M136="elegans",AR136/0.0006))</f>
        <v>0.858116332571024</v>
      </c>
      <c r="AT136" s="45" t="n">
        <f aca="false">Y136-AB136</f>
        <v>2.10477532</v>
      </c>
      <c r="AU136" s="45" t="n">
        <f aca="false">SQRT((AA136^2)+(AD136^2))</f>
        <v>0.200266738393937</v>
      </c>
      <c r="AV136" s="46" t="n">
        <f aca="false">IF(NOT($M136="elegans"),(0.045461+0.0044*((AT136))),IF($M136="elegans",(0.053337+0.0012*((AT136)))))</f>
        <v>0.054722011408</v>
      </c>
      <c r="AW136" s="46" t="n">
        <f aca="false">IF(NOT($M136="elegans"),(0.0044*((AU136))),IF($M136="elegans",(0.0012*((AU136)))))</f>
        <v>0.000881173648933323</v>
      </c>
      <c r="AX136" s="46" t="n">
        <f aca="false">SQRT(AV136)</f>
        <v>0.233927363529793</v>
      </c>
      <c r="AY136" s="46" t="n">
        <f aca="false">AX136*(0.5*(AW136/AV136))</f>
        <v>0.00188343431832227</v>
      </c>
      <c r="AZ136" s="46" t="n">
        <f aca="false">IF(NOT($M136="elegans"),AY136/0.0022,IF($M136="elegans",AY136/0.0006))</f>
        <v>0.856106508328304</v>
      </c>
      <c r="BD136" s="31" t="n">
        <f aca="false">AL136</f>
        <v>5.03301657736675</v>
      </c>
      <c r="BE136" s="31" t="n">
        <f aca="false">AS136</f>
        <v>0.858116332571024</v>
      </c>
      <c r="BF136" s="31" t="n">
        <f aca="false">AZ136</f>
        <v>0.856106508328304</v>
      </c>
      <c r="BG136" s="14" t="n">
        <f aca="false">10^6/((BD136+273.15)^2)</f>
        <v>12.9222689436687</v>
      </c>
      <c r="BH136" s="14" t="n">
        <f aca="false">BG136*(2*($BE136/($BD136+273.15)))</f>
        <v>0.0797231273919517</v>
      </c>
      <c r="BI136" s="14" t="n">
        <f aca="false">BG136*(2*($BF136/($BD136+273.15)))</f>
        <v>0.0795364050699819</v>
      </c>
      <c r="BK136" s="14" t="n">
        <f aca="false">10^6/((AG136+273.15)^2)</f>
        <v>13.1556152536248</v>
      </c>
      <c r="BL136" s="14" t="n">
        <f aca="false">BK136*(2*($AH136/($AG136+273.15)))</f>
        <v>0.00405819660513737</v>
      </c>
      <c r="BM136" s="14" t="n">
        <f aca="false">10^6/((AI136+273.15)^2)</f>
        <v>13.1556152536248</v>
      </c>
      <c r="BN136" s="14" t="n">
        <f aca="false">BM136*(2*($AJ136/($AI136+273.15)))</f>
        <v>0.00405819660513737</v>
      </c>
    </row>
    <row r="137" s="14" customFormat="true" ht="16" hidden="false" customHeight="false" outlineLevel="0" collapsed="false">
      <c r="A137" s="22" t="s">
        <v>474</v>
      </c>
      <c r="B137" s="14" t="s">
        <v>475</v>
      </c>
      <c r="C137" s="14" t="s">
        <v>438</v>
      </c>
      <c r="D137" s="23" t="s">
        <v>476</v>
      </c>
      <c r="E137" s="24" t="s">
        <v>472</v>
      </c>
      <c r="F137" s="22" t="n">
        <v>52.9</v>
      </c>
      <c r="G137" s="22" t="n">
        <v>-16.9</v>
      </c>
      <c r="H137" s="22" t="s">
        <v>78</v>
      </c>
      <c r="I137" s="22" t="s">
        <v>79</v>
      </c>
      <c r="J137" s="22" t="n">
        <v>3600</v>
      </c>
      <c r="K137" s="25" t="s">
        <v>474</v>
      </c>
      <c r="L137" s="22" t="s">
        <v>477</v>
      </c>
      <c r="M137" s="22" t="s">
        <v>478</v>
      </c>
      <c r="N137" s="22" t="n">
        <v>3600</v>
      </c>
      <c r="O137" s="22" t="s">
        <v>178</v>
      </c>
      <c r="P137" s="22" t="s">
        <v>178</v>
      </c>
      <c r="Q137" s="22" t="n">
        <v>1</v>
      </c>
      <c r="R137" s="25" t="s">
        <v>83</v>
      </c>
      <c r="S137" s="25" t="n">
        <v>34.912</v>
      </c>
      <c r="T137" s="22" t="n">
        <v>22.7394508196721</v>
      </c>
      <c r="U137" s="26" t="n">
        <v>1</v>
      </c>
      <c r="V137" s="27" t="n">
        <v>-0.89</v>
      </c>
      <c r="W137" s="27" t="n">
        <v>0</v>
      </c>
      <c r="X137" s="23" t="n">
        <v>0</v>
      </c>
      <c r="Y137" s="27" t="n">
        <v>2.59</v>
      </c>
      <c r="Z137" s="27" t="n">
        <v>0.01</v>
      </c>
      <c r="AA137" s="23" t="n">
        <v>0</v>
      </c>
      <c r="AB137" s="27" t="n">
        <v>0.21022468</v>
      </c>
      <c r="AC137" s="27" t="n">
        <v>0.200612311488694</v>
      </c>
      <c r="AD137" s="27" t="n">
        <v>0.200204311908974</v>
      </c>
      <c r="AE137" s="28" t="n">
        <v>0.651848893</v>
      </c>
      <c r="AF137" s="23" t="n">
        <v>0.009</v>
      </c>
      <c r="AG137" s="29" t="n">
        <v>2.55485773086548</v>
      </c>
      <c r="AH137" s="27" t="n">
        <v>0.0425242185976438</v>
      </c>
      <c r="AI137" s="44" t="n">
        <v>2.55485773086548</v>
      </c>
      <c r="AJ137" s="44" t="n">
        <v>0.0425242185976438</v>
      </c>
      <c r="AK137" s="27" t="s">
        <v>63</v>
      </c>
      <c r="AL137" s="14" t="n">
        <f aca="false">IF(AND(O137="Benthic, infaunal",M137="elegans"),(0.243-SQRT(((Y137)-(AB137))*0.0012+0.053337))/0.0006,IF(O137="Benthic",(0.245-SQRT(((Y137)-(AB137))*0.0044+0.045461))/0.0022,IF(O137="Benthic, infaunal",(0.245-(SQRT(0.045461+0.0044*((Y137-0.47)-(AB137)))))/0.0022,IF(O137="Benthic, epifaunal",(0.245-SQRT(((Y137)-(AB137))*0.0044+0.045461))/0.0022))))</f>
        <v>5.86990206221207</v>
      </c>
      <c r="AM137" s="45" t="n">
        <f aca="false">Y137-AB137</f>
        <v>2.37977532</v>
      </c>
      <c r="AN137" s="45" t="n">
        <f aca="false">SQRT((Z137^2)+(AC137^2))</f>
        <v>0.200861393803879</v>
      </c>
      <c r="AO137" s="46" t="n">
        <f aca="false">IF(NOT($M137="elegans"),(0.045461+0.0044*((AM137))),IF($M137="elegans",(0.053337+0.0012*((AM137)))))</f>
        <v>0.055932011408</v>
      </c>
      <c r="AP137" s="46" t="n">
        <f aca="false">IF(NOT($M137="elegans"),(0.0044*((AN137))),IF($M137="elegans",(0.0012*((AN137)))))</f>
        <v>0.000883790132737066</v>
      </c>
      <c r="AQ137" s="46" t="n">
        <f aca="false">SQRT(AO137)</f>
        <v>0.236499495576629</v>
      </c>
      <c r="AR137" s="46" t="n">
        <f aca="false">AQ137*(0.5*(AP137/AO137))</f>
        <v>0.00186848206712286</v>
      </c>
      <c r="AS137" s="46" t="n">
        <f aca="false">IF(NOT($M137="elegans"),AR137/0.0022,IF($M137="elegans",AR137/0.0006))</f>
        <v>0.84931003051039</v>
      </c>
      <c r="AT137" s="45" t="n">
        <f aca="false">Y137-AB137</f>
        <v>2.37977532</v>
      </c>
      <c r="AU137" s="45" t="n">
        <f aca="false">SQRT((AA137^2)+(AD137^2))</f>
        <v>0.200204311908974</v>
      </c>
      <c r="AV137" s="46" t="n">
        <f aca="false">IF(NOT($M137="elegans"),(0.045461+0.0044*((AT137))),IF($M137="elegans",(0.053337+0.0012*((AT137)))))</f>
        <v>0.055932011408</v>
      </c>
      <c r="AW137" s="46" t="n">
        <f aca="false">IF(NOT($M137="elegans"),(0.0044*((AU137))),IF($M137="elegans",(0.0012*((AU137)))))</f>
        <v>0.000880898972399484</v>
      </c>
      <c r="AX137" s="46" t="n">
        <f aca="false">SQRT(AV137)</f>
        <v>0.236499495576629</v>
      </c>
      <c r="AY137" s="46" t="n">
        <f aca="false">AX137*(0.5*(AW137/AV137))</f>
        <v>0.00186236966436586</v>
      </c>
      <c r="AZ137" s="46" t="n">
        <f aca="false">IF(NOT($M137="elegans"),AY137/0.0022,IF($M137="elegans",AY137/0.0006))</f>
        <v>0.846531665620846</v>
      </c>
      <c r="BD137" s="60" t="n">
        <v>5.86990206221207</v>
      </c>
      <c r="BE137" s="60" t="n">
        <v>0.84931003051039</v>
      </c>
      <c r="BF137" s="60" t="n">
        <v>0.846531665620846</v>
      </c>
      <c r="BG137" s="14" t="n">
        <f aca="false">10^6/((BD137+273.15)^2)</f>
        <v>12.844867719471</v>
      </c>
      <c r="BH137" s="14" t="n">
        <f aca="false">BG137*(2*($BE137/($BD137+273.15)))</f>
        <v>0.0781971100562817</v>
      </c>
      <c r="BI137" s="14" t="n">
        <f aca="false">BG137*(2*($BF137/($BD137+273.15)))</f>
        <v>0.0779413022861632</v>
      </c>
      <c r="BK137" s="14" t="n">
        <f aca="false">10^6/((AG137+273.15)^2)</f>
        <v>13.1556152536248</v>
      </c>
      <c r="BL137" s="14" t="n">
        <f aca="false">BK137*(2*($AH137/($AG137+273.15)))</f>
        <v>0.00405819660513737</v>
      </c>
      <c r="BM137" s="14" t="n">
        <f aca="false">10^6/((AI137+273.15)^2)</f>
        <v>13.1556152536248</v>
      </c>
      <c r="BN137" s="14" t="n">
        <f aca="false">BM137*(2*($AJ137/($AI137+273.15)))</f>
        <v>0.00405819660513737</v>
      </c>
    </row>
    <row r="138" s="14" customFormat="true" ht="16" hidden="false" customHeight="false" outlineLevel="0" collapsed="false">
      <c r="A138" s="22" t="s">
        <v>479</v>
      </c>
      <c r="B138" s="14" t="s">
        <v>480</v>
      </c>
      <c r="C138" s="14" t="s">
        <v>438</v>
      </c>
      <c r="D138" s="23" t="s">
        <v>481</v>
      </c>
      <c r="E138" s="24" t="s">
        <v>482</v>
      </c>
      <c r="F138" s="22" t="n">
        <v>23.3</v>
      </c>
      <c r="G138" s="22" t="n">
        <v>66.7</v>
      </c>
      <c r="H138" s="22" t="s">
        <v>125</v>
      </c>
      <c r="I138" s="22" t="s">
        <v>121</v>
      </c>
      <c r="J138" s="22" t="n">
        <v>151</v>
      </c>
      <c r="K138" s="25" t="s">
        <v>479</v>
      </c>
      <c r="L138" s="22" t="s">
        <v>58</v>
      </c>
      <c r="M138" s="22" t="s">
        <v>483</v>
      </c>
      <c r="N138" s="22" t="s">
        <v>484</v>
      </c>
      <c r="O138" s="22" t="s">
        <v>485</v>
      </c>
      <c r="P138" s="22" t="s">
        <v>61</v>
      </c>
      <c r="Q138" s="22" t="n">
        <v>3</v>
      </c>
      <c r="R138" s="25" t="s">
        <v>486</v>
      </c>
      <c r="S138" s="25" t="n">
        <v>35.742</v>
      </c>
      <c r="T138" s="22" t="n">
        <v>62.2654680851064</v>
      </c>
      <c r="U138" s="26" t="n">
        <v>1</v>
      </c>
      <c r="V138" s="27" t="n">
        <v>0.76</v>
      </c>
      <c r="W138" s="27" t="n">
        <v>0</v>
      </c>
      <c r="X138" s="23" t="n">
        <v>0</v>
      </c>
      <c r="Y138" s="27" t="n">
        <v>1.67</v>
      </c>
      <c r="Z138" s="27" t="n">
        <v>0</v>
      </c>
      <c r="AA138" s="23" t="n">
        <v>0</v>
      </c>
      <c r="AB138" s="27" t="n">
        <v>0.447350916666667</v>
      </c>
      <c r="AC138" s="27" t="n">
        <v>0.202262707990026</v>
      </c>
      <c r="AD138" s="27" t="n">
        <v>0.200757069650078</v>
      </c>
      <c r="AE138" s="28" t="n">
        <v>0.61785188</v>
      </c>
      <c r="AF138" s="23" t="n">
        <v>0.01</v>
      </c>
      <c r="AG138" s="29" t="n">
        <v>12.0539562225342</v>
      </c>
      <c r="AH138" s="27" t="n">
        <v>0.61967899934956</v>
      </c>
      <c r="AI138" s="27" t="n">
        <f aca="false">VLOOKUP(B138,proft,2,0)</f>
        <v>8.96780067474895</v>
      </c>
      <c r="AJ138" s="27" t="n">
        <f aca="false">VLOOKUP(B138,proft,3,0)</f>
        <v>0.336747169494629</v>
      </c>
      <c r="AK138" s="27" t="s">
        <v>63</v>
      </c>
      <c r="BA138" s="30" t="n">
        <v>11.4591</v>
      </c>
      <c r="BB138" s="30" t="n">
        <v>2.233</v>
      </c>
      <c r="BC138" s="30" t="n">
        <v>0.02233</v>
      </c>
      <c r="BD138" s="60" t="n">
        <v>11.4591</v>
      </c>
      <c r="BE138" s="31" t="n">
        <v>2.233</v>
      </c>
      <c r="BF138" s="31" t="n">
        <v>0.02233</v>
      </c>
      <c r="BG138" s="14" t="n">
        <f aca="false">10^6/((BA138+273.15)^2)</f>
        <v>12.3453223997526</v>
      </c>
      <c r="BH138" s="14" t="n">
        <f aca="false">BG138*(2*($BE138/($BD138+273.15)))</f>
        <v>0.193719068846692</v>
      </c>
      <c r="BI138" s="14" t="n">
        <f aca="false">BG138*(2*($BF138/($BD138+273.15)))</f>
        <v>0.00193719068846692</v>
      </c>
      <c r="BK138" s="14" t="n">
        <f aca="false">10^6/((AG138+273.15)^2)</f>
        <v>12.2938782788835</v>
      </c>
      <c r="BL138" s="14" t="n">
        <f aca="false">BK138*(2*($AH138/($AG138+273.15)))</f>
        <v>0.0534232294031682</v>
      </c>
      <c r="BM138" s="14" t="n">
        <f aca="false">10^6/((AI138+273.15)^2)</f>
        <v>12.5643209274246</v>
      </c>
      <c r="BN138" s="14" t="n">
        <f aca="false">BM138*(2*($AJ138/($AI138+273.15)))</f>
        <v>0.0299945590020407</v>
      </c>
    </row>
    <row r="139" s="14" customFormat="true" ht="16" hidden="false" customHeight="false" outlineLevel="0" collapsed="false">
      <c r="A139" s="22" t="s">
        <v>154</v>
      </c>
      <c r="B139" s="14" t="s">
        <v>487</v>
      </c>
      <c r="C139" s="14" t="s">
        <v>438</v>
      </c>
      <c r="D139" s="23" t="s">
        <v>488</v>
      </c>
      <c r="E139" s="24" t="s">
        <v>482</v>
      </c>
      <c r="F139" s="22" t="n">
        <v>23.3</v>
      </c>
      <c r="G139" s="22" t="n">
        <v>66.7</v>
      </c>
      <c r="H139" s="22" t="s">
        <v>125</v>
      </c>
      <c r="I139" s="22" t="s">
        <v>121</v>
      </c>
      <c r="J139" s="22" t="n">
        <v>151</v>
      </c>
      <c r="K139" s="25" t="s">
        <v>154</v>
      </c>
      <c r="L139" s="22" t="s">
        <v>160</v>
      </c>
      <c r="M139" s="22" t="s">
        <v>161</v>
      </c>
      <c r="N139" s="22" t="s">
        <v>162</v>
      </c>
      <c r="O139" s="22" t="s">
        <v>71</v>
      </c>
      <c r="P139" s="22" t="s">
        <v>71</v>
      </c>
      <c r="Q139" s="22" t="n">
        <v>5</v>
      </c>
      <c r="R139" s="25" t="s">
        <v>62</v>
      </c>
      <c r="S139" s="25" t="n">
        <v>36.5989090909091</v>
      </c>
      <c r="T139" s="22" t="n">
        <v>62.2654680851064</v>
      </c>
      <c r="U139" s="26" t="n">
        <v>1</v>
      </c>
      <c r="V139" s="27" t="n">
        <v>0.74</v>
      </c>
      <c r="W139" s="27" t="n">
        <v>0</v>
      </c>
      <c r="X139" s="23" t="n">
        <v>0</v>
      </c>
      <c r="Y139" s="27" t="n">
        <v>-2.06</v>
      </c>
      <c r="Z139" s="27" t="n">
        <v>0.01</v>
      </c>
      <c r="AA139" s="23" t="n">
        <v>0</v>
      </c>
      <c r="AB139" s="27" t="n">
        <v>0.654865562</v>
      </c>
      <c r="AC139" s="27" t="n">
        <v>0.200135498281065</v>
      </c>
      <c r="AD139" s="27" t="n">
        <v>0.200027106999132</v>
      </c>
      <c r="AE139" s="28" t="n">
        <v>0.571481902</v>
      </c>
      <c r="AF139" s="23" t="n">
        <v>0.008</v>
      </c>
      <c r="AG139" s="29" t="n">
        <v>26.6045317216353</v>
      </c>
      <c r="AH139" s="27" t="n">
        <v>0.515820764341336</v>
      </c>
      <c r="AI139" s="27" t="n">
        <f aca="false">VLOOKUP(B139,proft,2,0)</f>
        <v>28.0740432739258</v>
      </c>
      <c r="AJ139" s="27" t="n">
        <f aca="false">VLOOKUP(B139,proft,3,0)</f>
        <v>0.245167806744576</v>
      </c>
      <c r="AK139" s="27" t="s">
        <v>163</v>
      </c>
      <c r="BA139" s="30" t="n">
        <v>27.302</v>
      </c>
      <c r="BB139" s="30" t="n">
        <v>1.906</v>
      </c>
      <c r="BC139" s="30" t="n">
        <v>0.01906</v>
      </c>
      <c r="BD139" s="60" t="n">
        <v>27.302</v>
      </c>
      <c r="BE139" s="31" t="n">
        <v>1.906</v>
      </c>
      <c r="BF139" s="31" t="n">
        <v>0.01906</v>
      </c>
      <c r="BG139" s="14" t="n">
        <f aca="false">10^6/((BA139+273.15)^2)</f>
        <v>11.0777051460546</v>
      </c>
      <c r="BH139" s="14" t="n">
        <f aca="false">BG139*(2*($BE139/($BD139+273.15)))</f>
        <v>0.140548946310094</v>
      </c>
      <c r="BI139" s="14" t="n">
        <f aca="false">BG139*(2*($BF139/($BD139+273.15)))</f>
        <v>0.00140548946310094</v>
      </c>
      <c r="BK139" s="14" t="n">
        <f aca="false">10^6/((AG139+273.15)^2)</f>
        <v>11.1293162874637</v>
      </c>
      <c r="BL139" s="14" t="n">
        <f aca="false">BK139*(2*($AH139/($AG139+273.15)))</f>
        <v>0.0383028900415564</v>
      </c>
      <c r="BM139" s="14" t="n">
        <f aca="false">10^6/((AI139+273.15)^2)</f>
        <v>11.0209931546586</v>
      </c>
      <c r="BN139" s="14" t="n">
        <f aca="false">BM139*(2*($AJ139/($AI139+273.15)))</f>
        <v>0.017940086657807</v>
      </c>
    </row>
    <row r="140" s="14" customFormat="true" ht="16" hidden="false" customHeight="false" outlineLevel="0" collapsed="false">
      <c r="A140" s="22" t="s">
        <v>489</v>
      </c>
      <c r="B140" s="14" t="s">
        <v>490</v>
      </c>
      <c r="C140" s="14" t="s">
        <v>438</v>
      </c>
      <c r="D140" s="23" t="s">
        <v>491</v>
      </c>
      <c r="E140" s="24" t="s">
        <v>482</v>
      </c>
      <c r="F140" s="22" t="n">
        <v>23.3</v>
      </c>
      <c r="G140" s="22" t="n">
        <v>66.7</v>
      </c>
      <c r="H140" s="22" t="s">
        <v>125</v>
      </c>
      <c r="I140" s="22" t="s">
        <v>121</v>
      </c>
      <c r="J140" s="22" t="n">
        <v>151</v>
      </c>
      <c r="K140" s="25" t="s">
        <v>489</v>
      </c>
      <c r="L140" s="22" t="s">
        <v>184</v>
      </c>
      <c r="M140" s="22" t="s">
        <v>492</v>
      </c>
      <c r="N140" s="22" t="n">
        <v>151</v>
      </c>
      <c r="O140" s="22" t="s">
        <v>178</v>
      </c>
      <c r="P140" s="22" t="s">
        <v>178</v>
      </c>
      <c r="Q140" s="22" t="n">
        <v>1</v>
      </c>
      <c r="R140" s="25" t="s">
        <v>83</v>
      </c>
      <c r="S140" s="25" t="n">
        <v>36.233</v>
      </c>
      <c r="T140" s="22" t="n">
        <v>62.2654680851064</v>
      </c>
      <c r="U140" s="26" t="n">
        <v>4</v>
      </c>
      <c r="V140" s="27" t="n">
        <v>-0.725</v>
      </c>
      <c r="W140" s="27" t="n">
        <v>0.630158710167526</v>
      </c>
      <c r="X140" s="27" t="n">
        <v>0.315079355083763</v>
      </c>
      <c r="Y140" s="27" t="n">
        <v>0.4</v>
      </c>
      <c r="Z140" s="27" t="n">
        <v>0.128062484748657</v>
      </c>
      <c r="AA140" s="27" t="n">
        <v>0.0640312423743284</v>
      </c>
      <c r="AB140" s="27" t="n">
        <v>0.6157374</v>
      </c>
      <c r="AC140" s="27" t="n">
        <v>0.204032744397188</v>
      </c>
      <c r="AD140" s="27" t="n">
        <v>0.201353222626515</v>
      </c>
      <c r="AE140" s="28" t="n">
        <v>0.61457637225</v>
      </c>
      <c r="AF140" s="28" t="n">
        <v>0.00996289391054091</v>
      </c>
      <c r="AG140" s="29" t="n">
        <v>19.0253003692627</v>
      </c>
      <c r="AH140" s="27" t="n">
        <v>0.125704301482377</v>
      </c>
      <c r="AI140" s="44" t="n">
        <v>19.0253003692627</v>
      </c>
      <c r="AJ140" s="44" t="n">
        <v>0.125704301482377</v>
      </c>
      <c r="AK140" s="27" t="s">
        <v>63</v>
      </c>
      <c r="AL140" s="14" t="n">
        <f aca="false">IF(AND(O140="Benthic, infaunal",M140="elegans"),(0.243-SQRT(((Y140)-(AB140))*0.0012+0.053337))/0.0006,IF(O140="Benthic",(0.245-SQRT(((Y140)-(AB140))*0.0044+0.045461))/0.0022,IF(O140="Benthic, infaunal",(0.245-(SQRT(0.045461+0.0044*((Y140-0.47)-(AB140)))))/0.0022,IF(O140="Benthic, epifaunal",(0.245-SQRT(((Y140)-(AB140))*0.0044+0.045461))/0.0022))))</f>
        <v>17.718716807487</v>
      </c>
      <c r="AM140" s="45" t="n">
        <f aca="false">Y140-AB140</f>
        <v>-0.2157374</v>
      </c>
      <c r="AN140" s="45" t="n">
        <f aca="false">SQRT((Z140^2)+(AC140^2))</f>
        <v>0.240892840877948</v>
      </c>
      <c r="AO140" s="46" t="n">
        <f aca="false">IF(NOT($M140="elegans"),(0.045461+0.0044*((AM140))),IF($M140="elegans",(0.053337+0.0012*((AM140)))))</f>
        <v>0.04451175544</v>
      </c>
      <c r="AP140" s="46" t="n">
        <f aca="false">IF(NOT($M140="elegans"),(0.0044*((AN140))),IF($M140="elegans",(0.0012*((AN140)))))</f>
        <v>0.00105992849986297</v>
      </c>
      <c r="AQ140" s="46" t="n">
        <f aca="false">SQRT(AO140)</f>
        <v>0.210978092322402</v>
      </c>
      <c r="AR140" s="46" t="n">
        <f aca="false">AQ140*(0.5*(AP140/AO140))</f>
        <v>0.0025119397189431</v>
      </c>
      <c r="AS140" s="46" t="n">
        <f aca="false">IF(NOT($M140="elegans"),AR140/0.0022,IF($M140="elegans",AR140/0.0006))</f>
        <v>1.14179078133777</v>
      </c>
      <c r="AT140" s="45" t="n">
        <f aca="false">Y140-AB140</f>
        <v>-0.2157374</v>
      </c>
      <c r="AU140" s="45" t="n">
        <f aca="false">SQRT((AA140^2)+(AD140^2))</f>
        <v>0.211289186334944</v>
      </c>
      <c r="AV140" s="46" t="n">
        <f aca="false">IF(NOT($M140="elegans"),(0.045461+0.0044*((AT140))),IF($M140="elegans",(0.053337+0.0012*((AT140)))))</f>
        <v>0.04451175544</v>
      </c>
      <c r="AW140" s="46" t="n">
        <f aca="false">IF(NOT($M140="elegans"),(0.0044*((AU140))),IF($M140="elegans",(0.0012*((AU140)))))</f>
        <v>0.000929672419873755</v>
      </c>
      <c r="AX140" s="46" t="n">
        <f aca="false">SQRT(AV140)</f>
        <v>0.210978092322402</v>
      </c>
      <c r="AY140" s="46" t="n">
        <f aca="false">AX140*(0.5*(AW140/AV140))</f>
        <v>0.00220324397106856</v>
      </c>
      <c r="AZ140" s="46" t="n">
        <f aca="false">IF(NOT($M140="elegans"),AY140/0.0022,IF($M140="elegans",AY140/0.0006))</f>
        <v>1.00147453230389</v>
      </c>
      <c r="BD140" s="31" t="n">
        <f aca="false">AL140</f>
        <v>17.718716807487</v>
      </c>
      <c r="BE140" s="31" t="n">
        <f aca="false">AS140</f>
        <v>1.14179078133777</v>
      </c>
      <c r="BF140" s="31" t="n">
        <f aca="false">AZ140</f>
        <v>1.00147453230389</v>
      </c>
      <c r="BG140" s="14" t="n">
        <f aca="false">10^6/((BD140+273.15)^2)</f>
        <v>11.8196868358406</v>
      </c>
      <c r="BH140" s="14" t="n">
        <f aca="false">BG140*(2*($BE140/($BD140+273.15)))</f>
        <v>0.0927951937601753</v>
      </c>
      <c r="BI140" s="14" t="n">
        <f aca="false">BG140*(2*($BF140/($BD140+273.15)))</f>
        <v>0.0813914639967027</v>
      </c>
      <c r="BK140" s="14" t="n">
        <f aca="false">10^6/((AG140+273.15)^2)</f>
        <v>11.7142098999841</v>
      </c>
      <c r="BL140" s="14" t="n">
        <f aca="false">BK140*(2*($AH140/($AG140+273.15)))</f>
        <v>0.0100797471314954</v>
      </c>
      <c r="BM140" s="14" t="n">
        <f aca="false">10^6/((AI140+273.15)^2)</f>
        <v>11.7142098999841</v>
      </c>
      <c r="BN140" s="14" t="n">
        <f aca="false">BM140*(2*($AJ140/($AI140+273.15)))</f>
        <v>0.0100797471314954</v>
      </c>
    </row>
    <row r="141" s="14" customFormat="true" ht="16" hidden="false" customHeight="false" outlineLevel="0" collapsed="false">
      <c r="A141" s="22" t="s">
        <v>154</v>
      </c>
      <c r="B141" s="14" t="s">
        <v>493</v>
      </c>
      <c r="C141" s="14" t="s">
        <v>438</v>
      </c>
      <c r="D141" s="23" t="s">
        <v>494</v>
      </c>
      <c r="E141" s="24" t="s">
        <v>495</v>
      </c>
      <c r="F141" s="22" t="n">
        <v>23.2</v>
      </c>
      <c r="G141" s="22" t="n">
        <v>66.6</v>
      </c>
      <c r="H141" s="22" t="s">
        <v>125</v>
      </c>
      <c r="I141" s="22" t="s">
        <v>121</v>
      </c>
      <c r="J141" s="22" t="n">
        <v>299</v>
      </c>
      <c r="K141" s="25" t="s">
        <v>154</v>
      </c>
      <c r="L141" s="22" t="s">
        <v>160</v>
      </c>
      <c r="M141" s="22" t="s">
        <v>161</v>
      </c>
      <c r="N141" s="22" t="s">
        <v>162</v>
      </c>
      <c r="O141" s="22" t="s">
        <v>71</v>
      </c>
      <c r="P141" s="22" t="s">
        <v>71</v>
      </c>
      <c r="Q141" s="22" t="n">
        <v>5</v>
      </c>
      <c r="R141" s="25" t="s">
        <v>62</v>
      </c>
      <c r="S141" s="25" t="n">
        <v>36.5989090909091</v>
      </c>
      <c r="T141" s="22" t="n">
        <v>37.6778536585366</v>
      </c>
      <c r="U141" s="26" t="n">
        <v>2</v>
      </c>
      <c r="V141" s="27" t="n">
        <v>0.29</v>
      </c>
      <c r="W141" s="27" t="n">
        <v>0.169705627484771</v>
      </c>
      <c r="X141" s="27" t="n">
        <v>0.12</v>
      </c>
      <c r="Y141" s="27" t="n">
        <v>-2.145</v>
      </c>
      <c r="Z141" s="27" t="n">
        <v>0.0919238815542511</v>
      </c>
      <c r="AA141" s="27" t="n">
        <v>0.065</v>
      </c>
      <c r="AB141" s="27" t="n">
        <v>0.654865562</v>
      </c>
      <c r="AC141" s="27" t="n">
        <v>0.200135498281065</v>
      </c>
      <c r="AD141" s="27" t="n">
        <v>0.200027106999132</v>
      </c>
      <c r="AE141" s="28" t="n">
        <v>0.5734557955</v>
      </c>
      <c r="AF141" s="28" t="n">
        <v>0.0207122605</v>
      </c>
      <c r="AG141" s="29" t="n">
        <v>26.1679019927978</v>
      </c>
      <c r="AH141" s="27" t="n">
        <v>0.903531893099738</v>
      </c>
      <c r="AI141" s="27" t="n">
        <f aca="false">VLOOKUP(B141,proft,2,0)</f>
        <v>28.0740432739258</v>
      </c>
      <c r="AJ141" s="27" t="n">
        <f aca="false">VLOOKUP(B141,proft,3,0)</f>
        <v>0.245167806744576</v>
      </c>
      <c r="AK141" s="27" t="s">
        <v>163</v>
      </c>
      <c r="AT141" s="46"/>
      <c r="BA141" s="30" t="n">
        <v>27.666</v>
      </c>
      <c r="BB141" s="30" t="n">
        <v>1.9</v>
      </c>
      <c r="BC141" s="30" t="n">
        <v>0.019</v>
      </c>
      <c r="BD141" s="60" t="n">
        <v>27.666</v>
      </c>
      <c r="BE141" s="31" t="n">
        <v>1.9</v>
      </c>
      <c r="BF141" s="31" t="n">
        <v>0.019</v>
      </c>
      <c r="BG141" s="14" t="n">
        <f aca="false">10^6/((BA141+273.15)^2)</f>
        <v>11.0509123886467</v>
      </c>
      <c r="BH141" s="14" t="n">
        <f aca="false">BG141*(2*($BE141/($BD141+273.15)))</f>
        <v>0.139598515627019</v>
      </c>
      <c r="BI141" s="14" t="n">
        <f aca="false">BG141*(2*($BF141/($BD141+273.15)))</f>
        <v>0.00139598515627019</v>
      </c>
      <c r="BK141" s="14" t="n">
        <f aca="false">10^6/((AG141+273.15)^2)</f>
        <v>11.1618097309637</v>
      </c>
      <c r="BL141" s="14" t="n">
        <f aca="false">BK141*(2*($AH141/($AG141+273.15)))</f>
        <v>0.0673868887192677</v>
      </c>
      <c r="BM141" s="14" t="n">
        <f aca="false">10^6/((AI141+273.15)^2)</f>
        <v>11.0209931546586</v>
      </c>
      <c r="BN141" s="14" t="n">
        <f aca="false">BM141*(2*($AJ141/($AI141+273.15)))</f>
        <v>0.017940086657807</v>
      </c>
    </row>
    <row r="142" s="14" customFormat="true" ht="16" hidden="false" customHeight="false" outlineLevel="0" collapsed="false">
      <c r="A142" s="22" t="s">
        <v>489</v>
      </c>
      <c r="B142" s="14" t="s">
        <v>496</v>
      </c>
      <c r="C142" s="14" t="s">
        <v>438</v>
      </c>
      <c r="D142" s="23" t="s">
        <v>497</v>
      </c>
      <c r="E142" s="24" t="s">
        <v>498</v>
      </c>
      <c r="F142" s="22" t="n">
        <v>23.2</v>
      </c>
      <c r="G142" s="22" t="n">
        <v>66.6</v>
      </c>
      <c r="H142" s="22" t="s">
        <v>125</v>
      </c>
      <c r="I142" s="22" t="s">
        <v>121</v>
      </c>
      <c r="J142" s="22" t="n">
        <v>299</v>
      </c>
      <c r="K142" s="25" t="s">
        <v>489</v>
      </c>
      <c r="L142" s="22" t="s">
        <v>184</v>
      </c>
      <c r="M142" s="22" t="s">
        <v>492</v>
      </c>
      <c r="N142" s="22" t="n">
        <v>299</v>
      </c>
      <c r="O142" s="22" t="s">
        <v>178</v>
      </c>
      <c r="P142" s="22" t="s">
        <v>178</v>
      </c>
      <c r="Q142" s="22" t="n">
        <v>1</v>
      </c>
      <c r="R142" s="25" t="s">
        <v>83</v>
      </c>
      <c r="S142" s="25" t="n">
        <v>36.229</v>
      </c>
      <c r="T142" s="22" t="n">
        <v>37.6778536585366</v>
      </c>
      <c r="U142" s="26" t="n">
        <v>2</v>
      </c>
      <c r="V142" s="27" t="n">
        <v>-1.565</v>
      </c>
      <c r="W142" s="27" t="n">
        <v>0.0777817459305203</v>
      </c>
      <c r="X142" s="27" t="n">
        <v>0.0550000000000001</v>
      </c>
      <c r="Y142" s="27" t="n">
        <v>0.345</v>
      </c>
      <c r="Z142" s="27" t="n">
        <v>0.176776695296637</v>
      </c>
      <c r="AA142" s="27" t="n">
        <v>0.125</v>
      </c>
      <c r="AB142" s="27" t="n">
        <v>0.575724003333333</v>
      </c>
      <c r="AC142" s="27" t="n">
        <v>0.204530514885517</v>
      </c>
      <c r="AD142" s="27" t="n">
        <v>0.201521488944591</v>
      </c>
      <c r="AE142" s="28" t="n">
        <v>0.6133554835</v>
      </c>
      <c r="AF142" s="28" t="n">
        <v>0.0325023165</v>
      </c>
      <c r="AG142" s="29" t="n">
        <v>15.5402863311767</v>
      </c>
      <c r="AH142" s="27" t="n">
        <v>0.0979857999350755</v>
      </c>
      <c r="AI142" s="44" t="n">
        <v>15.5402863311767</v>
      </c>
      <c r="AJ142" s="44" t="n">
        <v>0.0979857999350755</v>
      </c>
      <c r="AK142" s="27" t="s">
        <v>63</v>
      </c>
      <c r="AL142" s="14" t="n">
        <f aca="false">IF(AND(O142="Benthic, infaunal",M142="elegans"),(0.243-SQRT(((Y142)-(AB142))*0.0012+0.053337))/0.0006,IF(O142="Benthic",(0.245-SQRT(((Y142)-(AB142))*0.0044+0.045461))/0.0022,IF(O142="Benthic, infaunal",(0.245-(SQRT(0.045461+0.0044*((Y142-0.47)-(AB142)))))/0.0022,IF(O142="Benthic, epifaunal",(0.245-SQRT(((Y142)-(AB142))*0.0044+0.045461))/0.0022))))</f>
        <v>17.7914889380846</v>
      </c>
      <c r="AM142" s="45" t="n">
        <f aca="false">Y142-AB142</f>
        <v>-0.230724003333333</v>
      </c>
      <c r="AN142" s="45" t="n">
        <f aca="false">SQRT((Z142^2)+(AC142^2))</f>
        <v>0.270338179914223</v>
      </c>
      <c r="AO142" s="46" t="n">
        <f aca="false">IF(NOT($M142="elegans"),(0.045461+0.0044*((AM142))),IF($M142="elegans",(0.053337+0.0012*((AM142)))))</f>
        <v>0.0444458143853333</v>
      </c>
      <c r="AP142" s="46" t="n">
        <f aca="false">IF(NOT($M142="elegans"),(0.0044*((AN142))),IF($M142="elegans",(0.0012*((AN142)))))</f>
        <v>0.00118948799162258</v>
      </c>
      <c r="AQ142" s="46" t="n">
        <f aca="false">SQRT(AO142)</f>
        <v>0.210821759752957</v>
      </c>
      <c r="AR142" s="46" t="n">
        <f aca="false">AQ142*(0.5*(AP142/AO142))</f>
        <v>0.00282107499960259</v>
      </c>
      <c r="AS142" s="46" t="n">
        <f aca="false">IF(NOT($M142="elegans"),AR142/0.0022,IF($M142="elegans",AR142/0.0006))</f>
        <v>1.28230681800118</v>
      </c>
      <c r="AT142" s="45" t="n">
        <f aca="false">Y142-AB142</f>
        <v>-0.230724003333333</v>
      </c>
      <c r="AU142" s="45" t="n">
        <f aca="false">SQRT((AA142^2)+(AD142^2))</f>
        <v>0.237141119391903</v>
      </c>
      <c r="AV142" s="46" t="n">
        <f aca="false">IF(NOT($M142="elegans"),(0.045461+0.0044*((AT142))),IF($M142="elegans",(0.053337+0.0012*((AT142)))))</f>
        <v>0.0444458143853333</v>
      </c>
      <c r="AW142" s="46" t="n">
        <f aca="false">IF(NOT($M142="elegans"),(0.0044*((AU142))),IF($M142="elegans",(0.0012*((AU142)))))</f>
        <v>0.00104342092532437</v>
      </c>
      <c r="AX142" s="46" t="n">
        <f aca="false">SQRT(AV142)</f>
        <v>0.210821759752957</v>
      </c>
      <c r="AY142" s="46" t="n">
        <f aca="false">AX142*(0.5*(AW142/AV142))</f>
        <v>0.00247465187309666</v>
      </c>
      <c r="AZ142" s="46" t="n">
        <f aca="false">IF(NOT($M142="elegans"),AY142/0.0022,IF($M142="elegans",AY142/0.0006))</f>
        <v>1.12484176049848</v>
      </c>
      <c r="BD142" s="31" t="n">
        <f aca="false">AL142</f>
        <v>17.7914889380846</v>
      </c>
      <c r="BE142" s="31" t="n">
        <f aca="false">AS142</f>
        <v>1.28230681800118</v>
      </c>
      <c r="BF142" s="31" t="n">
        <f aca="false">AZ142</f>
        <v>1.12484176049848</v>
      </c>
      <c r="BG142" s="14" t="n">
        <f aca="false">10^6/((BD142+273.15)^2)</f>
        <v>11.8137747452352</v>
      </c>
      <c r="BH142" s="14" t="n">
        <f aca="false">BG142*(2*($BE142/($BD142+273.15)))</f>
        <v>0.104136979276744</v>
      </c>
      <c r="BI142" s="14" t="n">
        <f aca="false">BG142*(2*($BF142/($BD142+273.15)))</f>
        <v>0.0913491384887413</v>
      </c>
      <c r="BK142" s="14" t="n">
        <f aca="false">10^6/((AG142+273.15)^2)</f>
        <v>11.9987404074637</v>
      </c>
      <c r="BL142" s="14" t="n">
        <f aca="false">BK142*(2*($AH142/($AG142+273.15)))</f>
        <v>0.00814510382029208</v>
      </c>
      <c r="BM142" s="14" t="n">
        <f aca="false">10^6/((AI142+273.15)^2)</f>
        <v>11.9987404074637</v>
      </c>
      <c r="BN142" s="14" t="n">
        <f aca="false">BM142*(2*($AJ142/($AI142+273.15)))</f>
        <v>0.00814510382029208</v>
      </c>
    </row>
    <row r="143" s="14" customFormat="true" ht="16" hidden="false" customHeight="false" outlineLevel="0" collapsed="false">
      <c r="A143" s="22" t="s">
        <v>154</v>
      </c>
      <c r="B143" s="14" t="s">
        <v>499</v>
      </c>
      <c r="C143" s="14" t="s">
        <v>438</v>
      </c>
      <c r="D143" s="23" t="s">
        <v>500</v>
      </c>
      <c r="E143" s="24" t="s">
        <v>501</v>
      </c>
      <c r="F143" s="22" t="n">
        <v>23.1</v>
      </c>
      <c r="G143" s="22" t="n">
        <v>66.5</v>
      </c>
      <c r="H143" s="22" t="s">
        <v>125</v>
      </c>
      <c r="I143" s="22" t="s">
        <v>121</v>
      </c>
      <c r="J143" s="22" t="n">
        <v>492</v>
      </c>
      <c r="K143" s="25" t="s">
        <v>154</v>
      </c>
      <c r="L143" s="22" t="s">
        <v>160</v>
      </c>
      <c r="M143" s="22" t="s">
        <v>161</v>
      </c>
      <c r="N143" s="22" t="s">
        <v>162</v>
      </c>
      <c r="O143" s="22" t="s">
        <v>71</v>
      </c>
      <c r="P143" s="22" t="s">
        <v>71</v>
      </c>
      <c r="Q143" s="22" t="n">
        <v>5</v>
      </c>
      <c r="R143" s="25" t="s">
        <v>62</v>
      </c>
      <c r="S143" s="25" t="n">
        <v>36.5989090909091</v>
      </c>
      <c r="T143" s="22" t="n">
        <v>27.9876447368421</v>
      </c>
      <c r="U143" s="26" t="n">
        <v>2</v>
      </c>
      <c r="V143" s="27" t="n">
        <v>0.38</v>
      </c>
      <c r="W143" s="27" t="n">
        <v>0.212132034355964</v>
      </c>
      <c r="X143" s="27" t="n">
        <v>0.15</v>
      </c>
      <c r="Y143" s="27" t="n">
        <v>-2.125</v>
      </c>
      <c r="Z143" s="27" t="n">
        <v>0.134350288425444</v>
      </c>
      <c r="AA143" s="27" t="n">
        <v>0.0950000000000002</v>
      </c>
      <c r="AB143" s="27" t="n">
        <v>0.654865562</v>
      </c>
      <c r="AC143" s="27" t="n">
        <v>0.200135498281065</v>
      </c>
      <c r="AD143" s="27" t="n">
        <v>0.200027106999132</v>
      </c>
      <c r="AE143" s="28" t="n">
        <v>0.567791135</v>
      </c>
      <c r="AF143" s="28" t="n">
        <v>0.00564484100000001</v>
      </c>
      <c r="AG143" s="29" t="n">
        <v>26.1679019927978</v>
      </c>
      <c r="AH143" s="27" t="n">
        <v>0.0979857999350755</v>
      </c>
      <c r="AI143" s="27" t="n">
        <f aca="false">VLOOKUP(B143,proft,2,0)</f>
        <v>28.0740432739258</v>
      </c>
      <c r="AJ143" s="27" t="n">
        <f aca="false">VLOOKUP(B143,proft,3,0)</f>
        <v>0.245167806744576</v>
      </c>
      <c r="AK143" s="27" t="s">
        <v>163</v>
      </c>
      <c r="BA143" s="30" t="n">
        <v>27.57</v>
      </c>
      <c r="BB143" s="30" t="n">
        <v>1.881</v>
      </c>
      <c r="BC143" s="30" t="n">
        <v>0.01881</v>
      </c>
      <c r="BD143" s="60" t="n">
        <v>27.57</v>
      </c>
      <c r="BE143" s="31" t="n">
        <v>1.881</v>
      </c>
      <c r="BF143" s="31" t="n">
        <v>0.01881</v>
      </c>
      <c r="BG143" s="14" t="n">
        <f aca="false">10^6/((BA143+273.15)^2)</f>
        <v>11.0579691652157</v>
      </c>
      <c r="BH143" s="14" t="n">
        <f aca="false">BG143*(2*($BE143/($BD143+273.15)))</f>
        <v>0.138334929501002</v>
      </c>
      <c r="BI143" s="14" t="n">
        <f aca="false">BG143*(2*($BF143/($BD143+273.15)))</f>
        <v>0.00138334929501002</v>
      </c>
      <c r="BK143" s="14" t="n">
        <f aca="false">10^6/((AG143+273.15)^2)</f>
        <v>11.1618097309637</v>
      </c>
      <c r="BL143" s="14" t="n">
        <f aca="false">BK143*(2*($AH143/($AG143+273.15)))</f>
        <v>0.00730794147580187</v>
      </c>
      <c r="BM143" s="14" t="n">
        <f aca="false">10^6/((AI143+273.15)^2)</f>
        <v>11.0209931546586</v>
      </c>
      <c r="BN143" s="14" t="n">
        <f aca="false">BM143*(2*($AJ143/($AI143+273.15)))</f>
        <v>0.017940086657807</v>
      </c>
    </row>
    <row r="144" s="14" customFormat="true" ht="16" hidden="false" customHeight="false" outlineLevel="0" collapsed="false">
      <c r="A144" s="22" t="s">
        <v>139</v>
      </c>
      <c r="B144" s="14" t="s">
        <v>502</v>
      </c>
      <c r="C144" s="14" t="s">
        <v>438</v>
      </c>
      <c r="D144" s="23" t="s">
        <v>503</v>
      </c>
      <c r="E144" s="24" t="s">
        <v>501</v>
      </c>
      <c r="F144" s="22" t="n">
        <v>23.1</v>
      </c>
      <c r="G144" s="22" t="n">
        <v>66.5</v>
      </c>
      <c r="H144" s="22" t="s">
        <v>125</v>
      </c>
      <c r="I144" s="22" t="s">
        <v>121</v>
      </c>
      <c r="J144" s="22" t="n">
        <v>492</v>
      </c>
      <c r="K144" s="25" t="s">
        <v>139</v>
      </c>
      <c r="L144" s="22" t="s">
        <v>144</v>
      </c>
      <c r="M144" s="22" t="s">
        <v>145</v>
      </c>
      <c r="N144" s="22" t="s">
        <v>146</v>
      </c>
      <c r="O144" s="22" t="s">
        <v>71</v>
      </c>
      <c r="P144" s="22" t="s">
        <v>71</v>
      </c>
      <c r="Q144" s="22" t="n">
        <v>5</v>
      </c>
      <c r="R144" s="25" t="s">
        <v>62</v>
      </c>
      <c r="S144" s="25" t="n">
        <v>36.3535</v>
      </c>
      <c r="T144" s="22" t="n">
        <v>27.9876447368421</v>
      </c>
      <c r="U144" s="26" t="n">
        <v>1</v>
      </c>
      <c r="V144" s="27" t="n">
        <v>-0.15</v>
      </c>
      <c r="W144" s="27" t="n">
        <v>0</v>
      </c>
      <c r="X144" s="23" t="n">
        <v>0</v>
      </c>
      <c r="Y144" s="27" t="n">
        <v>-1.34</v>
      </c>
      <c r="Z144" s="27" t="n">
        <v>0.01</v>
      </c>
      <c r="AA144" s="23" t="n">
        <v>0</v>
      </c>
      <c r="AB144" s="27" t="n">
        <v>0.676911625</v>
      </c>
      <c r="AC144" s="27" t="n">
        <v>0.201385947110173</v>
      </c>
      <c r="AD144" s="27" t="n">
        <v>0.200694169937073</v>
      </c>
      <c r="AE144" s="28" t="n">
        <v>0.595979502</v>
      </c>
      <c r="AF144" s="23" t="n">
        <v>0.012</v>
      </c>
      <c r="AG144" s="29" t="n">
        <v>21.6820392608643</v>
      </c>
      <c r="AH144" s="27" t="n">
        <v>0.837083615896682</v>
      </c>
      <c r="AI144" s="27" t="n">
        <f aca="false">VLOOKUP(B144,proft,2,0)</f>
        <v>24.4851894378662</v>
      </c>
      <c r="AJ144" s="27" t="n">
        <f aca="false">VLOOKUP(B144,proft,3,0)</f>
        <v>0.159995153546333</v>
      </c>
      <c r="AK144" s="27" t="s">
        <v>63</v>
      </c>
      <c r="BA144" s="30" t="n">
        <v>24.0596</v>
      </c>
      <c r="BB144" s="30" t="n">
        <v>2.224</v>
      </c>
      <c r="BC144" s="30" t="n">
        <v>0.02224</v>
      </c>
      <c r="BD144" s="60" t="n">
        <v>24.0596</v>
      </c>
      <c r="BE144" s="31" t="n">
        <v>2.224</v>
      </c>
      <c r="BF144" s="31" t="n">
        <v>0.02224</v>
      </c>
      <c r="BG144" s="14" t="n">
        <f aca="false">10^6/((BA144+273.15)^2)</f>
        <v>11.3207274192265</v>
      </c>
      <c r="BH144" s="14" t="n">
        <f aca="false">BG144*(2*($BE144/($BD144+273.15)))</f>
        <v>0.169424525858921</v>
      </c>
      <c r="BI144" s="14" t="n">
        <f aca="false">BG144*(2*($BF144/($BD144+273.15)))</f>
        <v>0.00169424525858921</v>
      </c>
      <c r="BK144" s="14" t="n">
        <f aca="false">10^6/((AG144+273.15)^2)</f>
        <v>11.5040469993839</v>
      </c>
      <c r="BL144" s="14" t="n">
        <f aca="false">BK144*(2*($AH144/($AG144+273.15)))</f>
        <v>0.0653243065701506</v>
      </c>
      <c r="BM144" s="14" t="n">
        <f aca="false">10^6/((AI144+273.15)^2)</f>
        <v>11.2883754825869</v>
      </c>
      <c r="BN144" s="14" t="n">
        <f aca="false">BM144*(2*($AJ144/($AI144+273.15)))</f>
        <v>0.0121362354500907</v>
      </c>
    </row>
    <row r="145" s="14" customFormat="true" ht="16" hidden="false" customHeight="false" outlineLevel="0" collapsed="false">
      <c r="A145" s="22" t="s">
        <v>489</v>
      </c>
      <c r="B145" s="14" t="s">
        <v>504</v>
      </c>
      <c r="C145" s="14" t="s">
        <v>438</v>
      </c>
      <c r="D145" s="23" t="s">
        <v>505</v>
      </c>
      <c r="E145" s="24" t="s">
        <v>501</v>
      </c>
      <c r="F145" s="22" t="n">
        <v>23.1</v>
      </c>
      <c r="G145" s="22" t="n">
        <v>66.5</v>
      </c>
      <c r="H145" s="22" t="s">
        <v>125</v>
      </c>
      <c r="I145" s="22" t="s">
        <v>121</v>
      </c>
      <c r="J145" s="22" t="n">
        <v>492</v>
      </c>
      <c r="K145" s="25" t="s">
        <v>489</v>
      </c>
      <c r="L145" s="22" t="s">
        <v>184</v>
      </c>
      <c r="M145" s="22" t="s">
        <v>492</v>
      </c>
      <c r="N145" s="22" t="n">
        <v>492</v>
      </c>
      <c r="O145" s="22" t="s">
        <v>178</v>
      </c>
      <c r="P145" s="22" t="s">
        <v>178</v>
      </c>
      <c r="Q145" s="22" t="n">
        <v>1</v>
      </c>
      <c r="R145" s="25" t="s">
        <v>83</v>
      </c>
      <c r="S145" s="25" t="n">
        <v>35.8895</v>
      </c>
      <c r="T145" s="22" t="n">
        <v>27.9876447368421</v>
      </c>
      <c r="U145" s="26" t="n">
        <v>1</v>
      </c>
      <c r="V145" s="27" t="n">
        <v>-1.3</v>
      </c>
      <c r="W145" s="27" t="n">
        <v>0</v>
      </c>
      <c r="X145" s="23" t="n">
        <v>0</v>
      </c>
      <c r="Y145" s="27" t="n">
        <v>0.93</v>
      </c>
      <c r="Z145" s="27" t="n">
        <v>0.01</v>
      </c>
      <c r="AA145" s="23" t="n">
        <v>0</v>
      </c>
      <c r="AB145" s="27" t="n">
        <v>0.4828924136</v>
      </c>
      <c r="AC145" s="27" t="n">
        <v>0.2</v>
      </c>
      <c r="AD145" s="27" t="n">
        <v>0.2</v>
      </c>
      <c r="AE145" s="28" t="n">
        <v>0.595724654</v>
      </c>
      <c r="AF145" s="23" t="n">
        <v>0.01</v>
      </c>
      <c r="AG145" s="29" t="n">
        <v>12.8187466430664</v>
      </c>
      <c r="AH145" s="27" t="n">
        <v>0.0979857999350755</v>
      </c>
      <c r="AI145" s="44" t="n">
        <v>12.8187466430664</v>
      </c>
      <c r="AJ145" s="44" t="n">
        <v>0.0979857999350755</v>
      </c>
      <c r="AK145" s="27" t="s">
        <v>63</v>
      </c>
      <c r="AL145" s="14" t="n">
        <f aca="false">IF(AND(O145="Benthic, infaunal",M145="elegans"),(0.243-SQRT(((Y145)-(AB145))*0.0012+0.053337))/0.0006,IF(O145="Benthic",(0.245-SQRT(((Y145)-(AB145))*0.0044+0.045461))/0.0022,IF(O145="Benthic, infaunal",(0.245-(SQRT(0.045461+0.0044*((Y145-0.47)-(AB145)))))/0.0022,IF(O145="Benthic, epifaunal",(0.245-SQRT(((Y145)-(AB145))*0.0044+0.045461))/0.0022))))</f>
        <v>14.5547663673885</v>
      </c>
      <c r="AM145" s="45" t="n">
        <f aca="false">Y145-AB145</f>
        <v>0.4471075864</v>
      </c>
      <c r="AN145" s="45" t="n">
        <f aca="false">SQRT((Z145^2)+(AC145^2))</f>
        <v>0.200249843945008</v>
      </c>
      <c r="AO145" s="46" t="n">
        <f aca="false">IF(NOT($M145="elegans"),(0.045461+0.0044*((AM145))),IF($M145="elegans",(0.053337+0.0012*((AM145)))))</f>
        <v>0.04742827338016</v>
      </c>
      <c r="AP145" s="46" t="n">
        <f aca="false">IF(NOT($M145="elegans"),(0.0044*((AN145))),IF($M145="elegans",(0.0012*((AN145)))))</f>
        <v>0.000881099313358035</v>
      </c>
      <c r="AQ145" s="46" t="n">
        <f aca="false">SQRT(AO145)</f>
        <v>0.217780332858961</v>
      </c>
      <c r="AR145" s="46" t="n">
        <f aca="false">AQ145*(0.5*(AP145/AO145))</f>
        <v>0.00202290836319148</v>
      </c>
      <c r="AS145" s="46" t="n">
        <f aca="false">IF(NOT($M145="elegans"),AR145/0.0022,IF($M145="elegans",AR145/0.0006))</f>
        <v>0.919503801450673</v>
      </c>
      <c r="AT145" s="45" t="n">
        <f aca="false">Y145-AB145</f>
        <v>0.4471075864</v>
      </c>
      <c r="AU145" s="45" t="n">
        <f aca="false">SQRT((AA145^2)+(AD145^2))</f>
        <v>0.2</v>
      </c>
      <c r="AV145" s="46" t="n">
        <f aca="false">IF(NOT($M145="elegans"),(0.045461+0.0044*((AT145))),IF($M145="elegans",(0.053337+0.0012*((AT145)))))</f>
        <v>0.04742827338016</v>
      </c>
      <c r="AW145" s="46" t="n">
        <f aca="false">IF(NOT($M145="elegans"),(0.0044*((AU145))),IF($M145="elegans",(0.0012*((AU145)))))</f>
        <v>0.00088</v>
      </c>
      <c r="AX145" s="46" t="n">
        <f aca="false">SQRT(AV145)</f>
        <v>0.217780332858961</v>
      </c>
      <c r="AY145" s="46" t="n">
        <f aca="false">AX145*(0.5*(AW145/AV145))</f>
        <v>0.00202038445907304</v>
      </c>
      <c r="AZ145" s="46" t="n">
        <f aca="false">IF(NOT($M145="elegans"),AY145/0.0022,IF($M145="elegans",AY145/0.0006))</f>
        <v>0.918356572305929</v>
      </c>
      <c r="BD145" s="31" t="n">
        <f aca="false">AL145</f>
        <v>14.5547663673885</v>
      </c>
      <c r="BE145" s="31" t="n">
        <f aca="false">AS145</f>
        <v>0.919503801450673</v>
      </c>
      <c r="BF145" s="31" t="n">
        <f aca="false">AZ145</f>
        <v>0.918356572305929</v>
      </c>
      <c r="BG145" s="14" t="n">
        <f aca="false">10^6/((BD145+273.15)^2)</f>
        <v>12.0810835077595</v>
      </c>
      <c r="BH145" s="14" t="n">
        <f aca="false">BG145*(2*($BE145/($BD145+273.15)))</f>
        <v>0.0772222327164549</v>
      </c>
      <c r="BI145" s="14" t="n">
        <f aca="false">BG145*(2*($BF145/($BD145+273.15)))</f>
        <v>0.0771258855389285</v>
      </c>
      <c r="BK145" s="14" t="n">
        <f aca="false">10^6/((AG145+273.15)^2)</f>
        <v>12.2282090905852</v>
      </c>
      <c r="BL145" s="14" t="n">
        <f aca="false">BK145*(2*($AH145/($AG145+273.15)))</f>
        <v>0.0083798727209158</v>
      </c>
      <c r="BM145" s="14" t="n">
        <f aca="false">10^6/((AI145+273.15)^2)</f>
        <v>12.2282090905852</v>
      </c>
      <c r="BN145" s="14" t="n">
        <f aca="false">BM145*(2*($AJ145/($AI145+273.15)))</f>
        <v>0.0083798727209158</v>
      </c>
    </row>
    <row r="146" s="14" customFormat="true" ht="16" hidden="false" customHeight="false" outlineLevel="0" collapsed="false">
      <c r="A146" s="22" t="s">
        <v>67</v>
      </c>
      <c r="B146" s="14" t="s">
        <v>506</v>
      </c>
      <c r="C146" s="14" t="s">
        <v>438</v>
      </c>
      <c r="D146" s="23" t="s">
        <v>507</v>
      </c>
      <c r="E146" s="24" t="s">
        <v>506</v>
      </c>
      <c r="F146" s="22" t="n">
        <v>-29</v>
      </c>
      <c r="G146" s="22" t="n">
        <v>-35</v>
      </c>
      <c r="H146" s="22" t="s">
        <v>78</v>
      </c>
      <c r="I146" s="22" t="s">
        <v>170</v>
      </c>
      <c r="J146" s="22" t="n">
        <v>0</v>
      </c>
      <c r="K146" s="25" t="s">
        <v>67</v>
      </c>
      <c r="L146" s="22" t="s">
        <v>68</v>
      </c>
      <c r="M146" s="22" t="s">
        <v>69</v>
      </c>
      <c r="N146" s="22" t="s">
        <v>162</v>
      </c>
      <c r="O146" s="22" t="s">
        <v>71</v>
      </c>
      <c r="P146" s="22" t="s">
        <v>71</v>
      </c>
      <c r="Q146" s="22" t="n">
        <v>5</v>
      </c>
      <c r="R146" s="25" t="s">
        <v>62</v>
      </c>
      <c r="S146" s="25" t="n">
        <v>36.0368181818182</v>
      </c>
      <c r="T146" s="22" t="n">
        <v>215</v>
      </c>
      <c r="U146" s="26" t="n">
        <v>1</v>
      </c>
      <c r="V146" s="27" t="n">
        <v>2.03</v>
      </c>
      <c r="W146" s="27" t="n">
        <v>0</v>
      </c>
      <c r="X146" s="23" t="n">
        <v>0</v>
      </c>
      <c r="Y146" s="27" t="n">
        <v>-0.64</v>
      </c>
      <c r="Z146" s="27" t="n">
        <v>0</v>
      </c>
      <c r="AA146" s="23" t="n">
        <v>0</v>
      </c>
      <c r="AB146" s="27" t="n">
        <v>0.839659214</v>
      </c>
      <c r="AC146" s="27" t="n">
        <v>0.200357141156667</v>
      </c>
      <c r="AD146" s="27" t="n">
        <v>0.200071479233034</v>
      </c>
      <c r="AE146" s="28" t="n">
        <v>0.552105148</v>
      </c>
      <c r="AF146" s="23" t="n">
        <v>0.009</v>
      </c>
      <c r="AG146" s="29" t="n">
        <v>21.3750671039928</v>
      </c>
      <c r="AH146" s="27" t="n">
        <v>0.465848889727038</v>
      </c>
      <c r="AI146" s="27" t="n">
        <f aca="false">VLOOKUP(B146,proft,2,0)</f>
        <v>21.8607516612818</v>
      </c>
      <c r="AJ146" s="27" t="n">
        <f aca="false">VLOOKUP(B146,proft,3,0)</f>
        <v>2.0837631225586</v>
      </c>
      <c r="AK146" s="27" t="s">
        <v>72</v>
      </c>
      <c r="BA146" s="30" t="n">
        <v>22.6812</v>
      </c>
      <c r="BB146" s="30" t="n">
        <v>2.133</v>
      </c>
      <c r="BC146" s="30" t="n">
        <v>0.02133</v>
      </c>
      <c r="BD146" s="60" t="n">
        <v>22.6812</v>
      </c>
      <c r="BE146" s="31" t="n">
        <v>2.133</v>
      </c>
      <c r="BF146" s="31" t="n">
        <v>0.02133</v>
      </c>
      <c r="BG146" s="14" t="n">
        <f aca="false">10^6/((BA146+273.15)^2)</f>
        <v>11.4264691027602</v>
      </c>
      <c r="BH146" s="14" t="n">
        <f aca="false">BG146*(2*($BE146/($BD146+273.15)))</f>
        <v>0.164774091415561</v>
      </c>
      <c r="BI146" s="14" t="n">
        <f aca="false">BG146*(2*($BF146/($BD146+273.15)))</f>
        <v>0.00164774091415561</v>
      </c>
      <c r="BK146" s="14" t="n">
        <f aca="false">10^6/((AG146+273.15)^2)</f>
        <v>11.5280399483554</v>
      </c>
      <c r="BL146" s="14" t="n">
        <f aca="false">BK146*(2*($AH146/($AG146+273.15)))</f>
        <v>0.0364676912799013</v>
      </c>
      <c r="BM146" s="14" t="n">
        <f aca="false">10^6/((AI146+273.15)^2)</f>
        <v>11.4901133164717</v>
      </c>
      <c r="BN146" s="14" t="n">
        <f aca="false">BM146*(2*($AJ146/($AI146+273.15)))</f>
        <v>0.162317300424176</v>
      </c>
    </row>
    <row r="147" s="14" customFormat="true" ht="16" hidden="false" customHeight="false" outlineLevel="0" collapsed="false">
      <c r="A147" s="22" t="s">
        <v>67</v>
      </c>
      <c r="B147" s="14" t="s">
        <v>508</v>
      </c>
      <c r="C147" s="14" t="s">
        <v>438</v>
      </c>
      <c r="D147" s="23" t="s">
        <v>509</v>
      </c>
      <c r="E147" s="24" t="s">
        <v>510</v>
      </c>
      <c r="F147" s="22" t="n">
        <v>13.4</v>
      </c>
      <c r="G147" s="22" t="n">
        <v>-43.9</v>
      </c>
      <c r="H147" s="22" t="s">
        <v>78</v>
      </c>
      <c r="I147" s="22" t="s">
        <v>391</v>
      </c>
      <c r="J147" s="22" t="n">
        <v>0</v>
      </c>
      <c r="K147" s="25" t="s">
        <v>67</v>
      </c>
      <c r="L147" s="22" t="s">
        <v>68</v>
      </c>
      <c r="M147" s="22" t="s">
        <v>69</v>
      </c>
      <c r="N147" s="22" t="s">
        <v>162</v>
      </c>
      <c r="O147" s="22" t="s">
        <v>71</v>
      </c>
      <c r="P147" s="22" t="s">
        <v>71</v>
      </c>
      <c r="Q147" s="22" t="n">
        <v>5</v>
      </c>
      <c r="R147" s="25" t="s">
        <v>62</v>
      </c>
      <c r="S147" s="25" t="n">
        <v>36.3834545454545</v>
      </c>
      <c r="T147" s="22" t="n">
        <v>216.242</v>
      </c>
      <c r="U147" s="26" t="n">
        <v>2</v>
      </c>
      <c r="V147" s="27" t="n">
        <v>2.2</v>
      </c>
      <c r="W147" s="27" t="n">
        <v>0.155563491861041</v>
      </c>
      <c r="X147" s="27" t="n">
        <v>0.11</v>
      </c>
      <c r="Y147" s="27" t="n">
        <v>-0.8</v>
      </c>
      <c r="Z147" s="27" t="n">
        <v>0.141421356237309</v>
      </c>
      <c r="AA147" s="27" t="n">
        <v>0.0999999999999995</v>
      </c>
      <c r="AB147" s="27" t="n">
        <v>0.863430238</v>
      </c>
      <c r="AC147" s="27" t="n">
        <v>0.20060741955914</v>
      </c>
      <c r="AD147" s="27" t="n">
        <v>0.200121631405591</v>
      </c>
      <c r="AE147" s="28" t="n">
        <v>0.554935261</v>
      </c>
      <c r="AF147" s="28" t="n">
        <v>0.013232353</v>
      </c>
      <c r="AG147" s="29" t="n">
        <v>26.2130274339156</v>
      </c>
      <c r="AH147" s="27" t="n">
        <v>0.218686238276243</v>
      </c>
      <c r="AI147" s="27" t="n">
        <f aca="false">VLOOKUP(B147,proft,2,0)</f>
        <v>23.7114950018947</v>
      </c>
      <c r="AJ147" s="27" t="n">
        <f aca="false">VLOOKUP(B147,proft,3,0)</f>
        <v>0.7047119140625</v>
      </c>
      <c r="AK147" s="27" t="s">
        <v>72</v>
      </c>
      <c r="BA147" s="30" t="n">
        <v>23.5999</v>
      </c>
      <c r="BB147" s="30" t="n">
        <v>2.107</v>
      </c>
      <c r="BC147" s="30" t="n">
        <v>0.02107</v>
      </c>
      <c r="BD147" s="60" t="n">
        <v>23.5999</v>
      </c>
      <c r="BE147" s="31" t="n">
        <v>2.107</v>
      </c>
      <c r="BF147" s="31" t="n">
        <v>0.02107</v>
      </c>
      <c r="BG147" s="14" t="n">
        <f aca="false">10^6/((BA147+273.15)^2)</f>
        <v>11.355828824831</v>
      </c>
      <c r="BH147" s="14" t="n">
        <f aca="false">BG147*(2*($BE147/($BD147+273.15)))</f>
        <v>0.161258563752971</v>
      </c>
      <c r="BI147" s="14" t="n">
        <f aca="false">BG147*(2*($BF147/($BD147+273.15)))</f>
        <v>0.00161258563752971</v>
      </c>
      <c r="BK147" s="14" t="n">
        <f aca="false">10^6/((AG147+273.15)^2)</f>
        <v>11.1584449625748</v>
      </c>
      <c r="BL147" s="14" t="n">
        <f aca="false">BK147*(2*($AH147/($AG147+273.15)))</f>
        <v>0.0163026033962504</v>
      </c>
      <c r="BM147" s="14" t="n">
        <f aca="false">10^6/((AI147+273.15)^2)</f>
        <v>11.347292752824</v>
      </c>
      <c r="BN147" s="14" t="n">
        <f aca="false">BM147*(2*($AJ147/($AI147+273.15)))</f>
        <v>0.0538740963708959</v>
      </c>
    </row>
    <row r="148" s="14" customFormat="true" ht="16" hidden="false" customHeight="false" outlineLevel="0" collapsed="false">
      <c r="A148" s="22" t="s">
        <v>51</v>
      </c>
      <c r="B148" s="14" t="s">
        <v>511</v>
      </c>
      <c r="C148" s="14" t="s">
        <v>438</v>
      </c>
      <c r="D148" s="23" t="s">
        <v>512</v>
      </c>
      <c r="E148" s="24" t="s">
        <v>513</v>
      </c>
      <c r="F148" s="22" t="n">
        <v>4.1</v>
      </c>
      <c r="G148" s="22" t="n">
        <v>-43.3</v>
      </c>
      <c r="H148" s="22" t="s">
        <v>78</v>
      </c>
      <c r="I148" s="22" t="s">
        <v>391</v>
      </c>
      <c r="J148" s="22" t="n">
        <v>0</v>
      </c>
      <c r="K148" s="25" t="s">
        <v>51</v>
      </c>
      <c r="L148" s="22" t="s">
        <v>58</v>
      </c>
      <c r="M148" s="22" t="s">
        <v>59</v>
      </c>
      <c r="N148" s="22" t="s">
        <v>60</v>
      </c>
      <c r="O148" s="22" t="s">
        <v>61</v>
      </c>
      <c r="P148" s="22" t="s">
        <v>61</v>
      </c>
      <c r="Q148" s="22" t="n">
        <v>3</v>
      </c>
      <c r="R148" s="25" t="s">
        <v>62</v>
      </c>
      <c r="S148" s="25" t="n">
        <v>36.111705882353</v>
      </c>
      <c r="T148" s="22" t="n">
        <v>224</v>
      </c>
      <c r="U148" s="26" t="n">
        <v>1</v>
      </c>
      <c r="V148" s="27" t="n">
        <v>1.94</v>
      </c>
      <c r="W148" s="27" t="n">
        <v>0</v>
      </c>
      <c r="X148" s="23" t="n">
        <v>0</v>
      </c>
      <c r="Y148" s="27" t="n">
        <v>-0.7</v>
      </c>
      <c r="Z148" s="27" t="n">
        <v>0.01</v>
      </c>
      <c r="AA148" s="23" t="n">
        <v>0</v>
      </c>
      <c r="AB148" s="27" t="n">
        <v>0.853673016</v>
      </c>
      <c r="AC148" s="27" t="n">
        <v>0.201131013076091</v>
      </c>
      <c r="AD148" s="27" t="n">
        <v>0.200226713712739</v>
      </c>
      <c r="AE148" s="28" t="n">
        <v>0.570979446</v>
      </c>
      <c r="AF148" s="23" t="n">
        <v>0.006</v>
      </c>
      <c r="AG148" s="29" t="n">
        <v>26.8023844326244</v>
      </c>
      <c r="AH148" s="27" t="n">
        <v>0.895215847833901</v>
      </c>
      <c r="AI148" s="27" t="n">
        <f aca="false">VLOOKUP(B148,proft,2,0)</f>
        <v>21.6971105350146</v>
      </c>
      <c r="AJ148" s="27" t="n">
        <f aca="false">VLOOKUP(B148,proft,3,0)</f>
        <v>5.7951431274414</v>
      </c>
      <c r="AK148" s="27" t="s">
        <v>63</v>
      </c>
      <c r="BA148" s="30" t="n">
        <v>22.2635</v>
      </c>
      <c r="BB148" s="30" t="n">
        <v>2.233</v>
      </c>
      <c r="BC148" s="30" t="n">
        <v>0.02233</v>
      </c>
      <c r="BD148" s="60" t="n">
        <v>22.2635</v>
      </c>
      <c r="BE148" s="31" t="n">
        <v>2.233</v>
      </c>
      <c r="BF148" s="31" t="n">
        <v>0.02233</v>
      </c>
      <c r="BG148" s="14" t="n">
        <f aca="false">10^6/((BA148+273.15)^2)</f>
        <v>11.4588048654841</v>
      </c>
      <c r="BH148" s="14" t="n">
        <f aca="false">BG148*(2*($BE148/($BD148+273.15)))</f>
        <v>0.173231834460009</v>
      </c>
      <c r="BI148" s="14" t="n">
        <f aca="false">BG148*(2*($BF148/($BD148+273.15)))</f>
        <v>0.00173231834460009</v>
      </c>
      <c r="BK148" s="14" t="n">
        <f aca="false">10^6/((AG148+273.15)^2)</f>
        <v>11.1146390300731</v>
      </c>
      <c r="BL148" s="14" t="n">
        <f aca="false">BK148*(2*($AH148/($AG148+273.15)))</f>
        <v>0.0663438700212074</v>
      </c>
      <c r="BM148" s="14" t="n">
        <f aca="false">10^6/((AI148+273.15)^2)</f>
        <v>11.502870957912</v>
      </c>
      <c r="BN148" s="14" t="n">
        <f aca="false">BM148*(2*($AJ148/($AI148+273.15)))</f>
        <v>0.452171862607909</v>
      </c>
    </row>
    <row r="149" s="14" customFormat="true" ht="16" hidden="false" customHeight="false" outlineLevel="0" collapsed="false">
      <c r="A149" s="22" t="s">
        <v>67</v>
      </c>
      <c r="B149" s="14" t="s">
        <v>514</v>
      </c>
      <c r="C149" s="14" t="s">
        <v>438</v>
      </c>
      <c r="D149" s="23" t="s">
        <v>515</v>
      </c>
      <c r="E149" s="24" t="s">
        <v>513</v>
      </c>
      <c r="F149" s="22" t="n">
        <v>4.1</v>
      </c>
      <c r="G149" s="22" t="n">
        <v>-43.3</v>
      </c>
      <c r="H149" s="22" t="s">
        <v>78</v>
      </c>
      <c r="I149" s="22" t="s">
        <v>391</v>
      </c>
      <c r="J149" s="22" t="n">
        <v>0</v>
      </c>
      <c r="K149" s="25" t="s">
        <v>67</v>
      </c>
      <c r="L149" s="22" t="s">
        <v>68</v>
      </c>
      <c r="M149" s="22" t="s">
        <v>69</v>
      </c>
      <c r="N149" s="22" t="s">
        <v>162</v>
      </c>
      <c r="O149" s="22" t="s">
        <v>71</v>
      </c>
      <c r="P149" s="22" t="s">
        <v>71</v>
      </c>
      <c r="Q149" s="22" t="n">
        <v>5</v>
      </c>
      <c r="R149" s="25" t="s">
        <v>62</v>
      </c>
      <c r="S149" s="25" t="n">
        <v>35.9436363636364</v>
      </c>
      <c r="T149" s="22" t="n">
        <v>224</v>
      </c>
      <c r="U149" s="26" t="n">
        <v>1</v>
      </c>
      <c r="V149" s="27" t="n">
        <v>2.12</v>
      </c>
      <c r="W149" s="27" t="n">
        <v>0</v>
      </c>
      <c r="X149" s="23" t="n">
        <v>0</v>
      </c>
      <c r="Y149" s="27" t="n">
        <v>-1.76</v>
      </c>
      <c r="Z149" s="27" t="n">
        <v>0.01</v>
      </c>
      <c r="AA149" s="23" t="n">
        <v>0</v>
      </c>
      <c r="AB149" s="27" t="n">
        <v>0.828972936</v>
      </c>
      <c r="AC149" s="27" t="n">
        <v>0.20070083292557</v>
      </c>
      <c r="AD149" s="27" t="n">
        <v>0.20014036291414</v>
      </c>
      <c r="AE149" s="28" t="n">
        <v>0.589069653</v>
      </c>
      <c r="AF149" s="23" t="n">
        <v>0.018</v>
      </c>
      <c r="AG149" s="29" t="n">
        <v>27.5700262243098</v>
      </c>
      <c r="AH149" s="27" t="n">
        <v>0.103172931192688</v>
      </c>
      <c r="AI149" s="27" t="n">
        <f aca="false">VLOOKUP(B149,proft,2,0)</f>
        <v>27.4708534228473</v>
      </c>
      <c r="AJ149" s="27" t="n">
        <f aca="false">VLOOKUP(B149,proft,3,0)</f>
        <v>0.70339012146</v>
      </c>
      <c r="AK149" s="27" t="s">
        <v>72</v>
      </c>
      <c r="BA149" s="30" t="n">
        <v>28.1595</v>
      </c>
      <c r="BB149" s="30" t="n">
        <v>2.115</v>
      </c>
      <c r="BC149" s="30" t="n">
        <v>0.02115</v>
      </c>
      <c r="BD149" s="60" t="n">
        <v>28.1595</v>
      </c>
      <c r="BE149" s="31" t="n">
        <v>2.115</v>
      </c>
      <c r="BF149" s="31" t="n">
        <v>0.02115</v>
      </c>
      <c r="BG149" s="14" t="n">
        <f aca="false">10^6/((BA149+273.15)^2)</f>
        <v>11.0147425423484</v>
      </c>
      <c r="BH149" s="14" t="n">
        <f aca="false">BG149*(2*($BE149/($BD149+273.15)))</f>
        <v>0.154632897250614</v>
      </c>
      <c r="BI149" s="14" t="n">
        <f aca="false">BG149*(2*($BF149/($BD149+273.15)))</f>
        <v>0.00154632897250614</v>
      </c>
      <c r="BK149" s="14" t="n">
        <f aca="false">10^6/((AG149+273.15)^2)</f>
        <v>11.0579672365939</v>
      </c>
      <c r="BL149" s="14" t="n">
        <f aca="false">BK149*(2*($AH149/($AG149+273.15)))</f>
        <v>0.00758767486925599</v>
      </c>
      <c r="BM149" s="14" t="n">
        <f aca="false">10^6/((AI149+273.15)^2)</f>
        <v>11.0652643383453</v>
      </c>
      <c r="BN149" s="14" t="n">
        <f aca="false">BM149*(2*($AJ149/($AI149+273.15)))</f>
        <v>0.0517808231752172</v>
      </c>
    </row>
    <row r="150" s="14" customFormat="true" ht="16" hidden="false" customHeight="false" outlineLevel="0" collapsed="false">
      <c r="A150" s="22" t="s">
        <v>461</v>
      </c>
      <c r="B150" s="14" t="s">
        <v>516</v>
      </c>
      <c r="C150" s="14" t="s">
        <v>438</v>
      </c>
      <c r="D150" s="23" t="s">
        <v>517</v>
      </c>
      <c r="E150" s="24" t="s">
        <v>518</v>
      </c>
      <c r="F150" s="22" t="n">
        <v>-1.3</v>
      </c>
      <c r="G150" s="22" t="n">
        <v>146.2</v>
      </c>
      <c r="H150" s="22" t="s">
        <v>56</v>
      </c>
      <c r="I150" s="22" t="s">
        <v>57</v>
      </c>
      <c r="J150" s="22" t="n">
        <v>1900</v>
      </c>
      <c r="K150" s="25" t="s">
        <v>461</v>
      </c>
      <c r="L150" s="22"/>
      <c r="M150" s="22"/>
      <c r="N150" s="22" t="n">
        <v>0</v>
      </c>
      <c r="O150" s="22" t="s">
        <v>461</v>
      </c>
      <c r="P150" s="22" t="s">
        <v>461</v>
      </c>
      <c r="Q150" s="22" t="n">
        <v>7</v>
      </c>
      <c r="R150" s="25"/>
      <c r="S150" s="25" t="n">
        <v>34.46</v>
      </c>
      <c r="T150" s="22" t="n">
        <v>16.22516</v>
      </c>
      <c r="U150" s="26" t="n">
        <v>5</v>
      </c>
      <c r="V150" s="27" t="n">
        <v>0.392</v>
      </c>
      <c r="W150" s="27" t="n">
        <v>0.0286356421265527</v>
      </c>
      <c r="X150" s="27" t="n">
        <v>0.0128062484748657</v>
      </c>
      <c r="Y150" s="27" t="n">
        <v>-1.94</v>
      </c>
      <c r="Z150" s="27" t="n">
        <v>0.0710633520177595</v>
      </c>
      <c r="AA150" s="27" t="n">
        <v>0.0317804971641414</v>
      </c>
      <c r="AB150" s="27" t="n">
        <v>0.126736990776923</v>
      </c>
      <c r="AC150" s="27" t="n">
        <v>0.242362410739246</v>
      </c>
      <c r="AD150" s="27" t="n">
        <v>0.201869132241345</v>
      </c>
      <c r="AE150" s="28" t="n">
        <v>0.6065939104</v>
      </c>
      <c r="AF150" s="28" t="n">
        <v>0.00326403227097755</v>
      </c>
      <c r="AG150" s="29" t="n">
        <v>29.2</v>
      </c>
      <c r="AH150" s="27" t="n">
        <v>0.4</v>
      </c>
      <c r="AI150" s="27" t="n">
        <f aca="false">VLOOKUP(B150,proft,2,0)</f>
        <v>25.6439971446695</v>
      </c>
      <c r="AJ150" s="27" t="n">
        <f aca="false">VLOOKUP(B150,proft,3,0)</f>
        <v>4.0556106567383</v>
      </c>
      <c r="AK150" s="27" t="s">
        <v>63</v>
      </c>
      <c r="BA150" s="30" t="n">
        <v>24.2502</v>
      </c>
      <c r="BB150" s="30" t="n">
        <v>2.204</v>
      </c>
      <c r="BC150" s="30" t="n">
        <v>0.02204</v>
      </c>
      <c r="BD150" s="60" t="n">
        <v>24.2502</v>
      </c>
      <c r="BE150" s="31" t="n">
        <v>2.204</v>
      </c>
      <c r="BF150" s="31" t="n">
        <v>0.02204</v>
      </c>
      <c r="BG150" s="14" t="n">
        <f aca="false">10^6/((BA150+273.15)^2)</f>
        <v>11.3062214490553</v>
      </c>
      <c r="BH150" s="14" t="n">
        <f aca="false">BG150*(2*($BE150/($BD150+273.15)))</f>
        <v>0.16757831416198</v>
      </c>
      <c r="BI150" s="14" t="n">
        <f aca="false">BG150*(2*($BF150/($BD150+273.15)))</f>
        <v>0.0016757831416198</v>
      </c>
      <c r="BK150" s="14" t="n">
        <f aca="false">10^6/((AG150+273.15)^2)</f>
        <v>10.9390612518788</v>
      </c>
      <c r="BL150" s="14" t="n">
        <f aca="false">BK150*(2*($AH150/($AG150+273.15)))</f>
        <v>0.0289441012121813</v>
      </c>
      <c r="BM150" s="14" t="n">
        <f aca="false">10^6/((AI150+273.15)^2)</f>
        <v>11.2009862404258</v>
      </c>
      <c r="BN150" s="14" t="n">
        <f aca="false">BM150*(2*($AJ150/($AI150+273.15)))</f>
        <v>0.304067950472613</v>
      </c>
    </row>
    <row r="151" s="14" customFormat="true" ht="16" hidden="false" customHeight="false" outlineLevel="0" collapsed="false">
      <c r="A151" s="22" t="s">
        <v>154</v>
      </c>
      <c r="B151" s="14" t="s">
        <v>519</v>
      </c>
      <c r="C151" s="14" t="s">
        <v>438</v>
      </c>
      <c r="D151" s="23" t="s">
        <v>520</v>
      </c>
      <c r="E151" s="24" t="s">
        <v>521</v>
      </c>
      <c r="F151" s="22" t="n">
        <v>-1.3</v>
      </c>
      <c r="G151" s="22" t="n">
        <v>146.2</v>
      </c>
      <c r="H151" s="22" t="s">
        <v>56</v>
      </c>
      <c r="I151" s="22" t="s">
        <v>57</v>
      </c>
      <c r="J151" s="22" t="n">
        <v>1900</v>
      </c>
      <c r="K151" s="25" t="s">
        <v>154</v>
      </c>
      <c r="L151" s="22" t="s">
        <v>160</v>
      </c>
      <c r="M151" s="22" t="s">
        <v>161</v>
      </c>
      <c r="N151" s="22" t="s">
        <v>162</v>
      </c>
      <c r="O151" s="22" t="s">
        <v>71</v>
      </c>
      <c r="P151" s="22" t="s">
        <v>71</v>
      </c>
      <c r="Q151" s="22" t="n">
        <v>5</v>
      </c>
      <c r="R151" s="25" t="s">
        <v>62</v>
      </c>
      <c r="S151" s="25" t="n">
        <v>34.5849090909091</v>
      </c>
      <c r="T151" s="22" t="n">
        <v>16.22516</v>
      </c>
      <c r="U151" s="26" t="n">
        <v>4</v>
      </c>
      <c r="V151" s="27" t="n">
        <v>1.665</v>
      </c>
      <c r="W151" s="27" t="n">
        <v>0.0264575131106459</v>
      </c>
      <c r="X151" s="27" t="n">
        <v>0.013228756555323</v>
      </c>
      <c r="Y151" s="27" t="n">
        <v>-2.4275</v>
      </c>
      <c r="Z151" s="27" t="n">
        <v>0.0457347424467076</v>
      </c>
      <c r="AA151" s="27" t="n">
        <v>0.0228673712233538</v>
      </c>
      <c r="AB151" s="27" t="n">
        <v>0.280127248</v>
      </c>
      <c r="AC151" s="27" t="n">
        <v>0.201889231157181</v>
      </c>
      <c r="AD151" s="27" t="n">
        <v>0.200379271211988</v>
      </c>
      <c r="AE151" s="28" t="n">
        <v>0.60389132025</v>
      </c>
      <c r="AF151" s="28" t="n">
        <v>0.00404793946840154</v>
      </c>
      <c r="AG151" s="29" t="n">
        <v>29.280460357666</v>
      </c>
      <c r="AH151" s="27" t="n">
        <v>0.0729726067977647</v>
      </c>
      <c r="AI151" s="27" t="n">
        <f aca="false">VLOOKUP(B151,proft,2,0)</f>
        <v>27.772365103366</v>
      </c>
      <c r="AJ151" s="27" t="n">
        <f aca="false">VLOOKUP(B151,proft,3,0)</f>
        <v>2.1738147735595</v>
      </c>
      <c r="AK151" s="27" t="s">
        <v>163</v>
      </c>
      <c r="BA151" s="30" t="n">
        <v>27.275</v>
      </c>
      <c r="BB151" s="30" t="n">
        <v>1.889</v>
      </c>
      <c r="BC151" s="30" t="n">
        <v>0.01889</v>
      </c>
      <c r="BD151" s="60" t="n">
        <v>27.275</v>
      </c>
      <c r="BE151" s="31" t="n">
        <v>1.889</v>
      </c>
      <c r="BF151" s="31" t="n">
        <v>0.01889</v>
      </c>
      <c r="BG151" s="14" t="n">
        <f aca="false">10^6/((BA151+273.15)^2)</f>
        <v>11.079696401638</v>
      </c>
      <c r="BH151" s="14" t="n">
        <f aca="false">BG151*(2*($BE151/($BD151+273.15)))</f>
        <v>0.139332921712202</v>
      </c>
      <c r="BI151" s="14" t="n">
        <f aca="false">BG151*(2*($BF151/($BD151+273.15)))</f>
        <v>0.00139332921712202</v>
      </c>
      <c r="BK151" s="14" t="n">
        <f aca="false">10^6/((AG151+273.15)^2)</f>
        <v>10.9332414432638</v>
      </c>
      <c r="BL151" s="14" t="n">
        <f aca="false">BK151*(2*($AH151/($AG151+273.15)))</f>
        <v>0.00527610299518621</v>
      </c>
      <c r="BM151" s="14" t="n">
        <f aca="false">10^6/((AI151+273.15)^2)</f>
        <v>11.0431015786925</v>
      </c>
      <c r="BN151" s="14" t="n">
        <f aca="false">BM151*(2*($AJ151/($AI151+273.15)))</f>
        <v>0.159547179880991</v>
      </c>
    </row>
    <row r="152" s="14" customFormat="true" ht="16" hidden="false" customHeight="false" outlineLevel="0" collapsed="false">
      <c r="A152" s="22" t="s">
        <v>173</v>
      </c>
      <c r="B152" s="14" t="s">
        <v>522</v>
      </c>
      <c r="C152" s="14" t="s">
        <v>438</v>
      </c>
      <c r="D152" s="23" t="s">
        <v>523</v>
      </c>
      <c r="E152" s="24" t="s">
        <v>524</v>
      </c>
      <c r="F152" s="22" t="n">
        <v>52.5</v>
      </c>
      <c r="G152" s="22" t="n">
        <v>-30.2</v>
      </c>
      <c r="H152" s="22" t="s">
        <v>78</v>
      </c>
      <c r="I152" s="22" t="s">
        <v>79</v>
      </c>
      <c r="J152" s="22" t="n">
        <v>3283</v>
      </c>
      <c r="K152" s="25" t="s">
        <v>173</v>
      </c>
      <c r="L152" s="22" t="s">
        <v>176</v>
      </c>
      <c r="M152" s="22" t="s">
        <v>177</v>
      </c>
      <c r="N152" s="22" t="n">
        <v>3283</v>
      </c>
      <c r="O152" s="22" t="s">
        <v>178</v>
      </c>
      <c r="P152" s="22" t="s">
        <v>178</v>
      </c>
      <c r="Q152" s="22" t="n">
        <v>1</v>
      </c>
      <c r="R152" s="25" t="s">
        <v>83</v>
      </c>
      <c r="S152" s="25" t="n">
        <v>34.95</v>
      </c>
      <c r="T152" s="22" t="n">
        <v>26.35956</v>
      </c>
      <c r="U152" s="26" t="n">
        <v>2</v>
      </c>
      <c r="V152" s="27" t="n">
        <v>2.14</v>
      </c>
      <c r="W152" s="27" t="n">
        <v>0.155563491861041</v>
      </c>
      <c r="X152" s="27" t="n">
        <v>0.11</v>
      </c>
      <c r="Y152" s="27" t="n">
        <v>3.13</v>
      </c>
      <c r="Z152" s="27" t="n">
        <v>0.169705627484772</v>
      </c>
      <c r="AA152" s="27" t="n">
        <v>0.12</v>
      </c>
      <c r="AB152" s="27" t="n">
        <v>0.24349108</v>
      </c>
      <c r="AC152" s="27" t="n">
        <v>0.2</v>
      </c>
      <c r="AD152" s="27" t="n">
        <v>0.2</v>
      </c>
      <c r="AE152" s="28" t="n">
        <v>0.668088557</v>
      </c>
      <c r="AF152" s="28" t="n">
        <v>0.018800993</v>
      </c>
      <c r="AG152" s="29" t="n">
        <v>2.91652083396912</v>
      </c>
      <c r="AH152" s="27" t="n">
        <v>0.0527684018257764</v>
      </c>
      <c r="AI152" s="44" t="n">
        <v>2.91652083396912</v>
      </c>
      <c r="AJ152" s="44" t="n">
        <v>0.0527684018257764</v>
      </c>
      <c r="AK152" s="27" t="s">
        <v>63</v>
      </c>
      <c r="AL152" s="14" t="n">
        <f aca="false">IF(AND(O152="Benthic, infaunal",M152="elegans"),(0.243-SQRT(((Y152)-(AB152))*0.0012+0.053337))/0.0006,IF(O152="Benthic",(0.245-SQRT(((Y152)-(AB152))*0.0044+0.045461))/0.0022,IF(O152="Benthic, infaunal",(0.245-(SQRT(0.045461+0.0044*((Y152-0.47)-(AB152)))))/0.0022,IF(O152="Benthic, epifaunal",(0.245-SQRT(((Y152)-(AB152))*0.0044+0.045461))/0.0022))))</f>
        <v>7.78465571766571</v>
      </c>
      <c r="AM152" s="45" t="n">
        <f aca="false">Y152-AB152</f>
        <v>2.88650892</v>
      </c>
      <c r="AN152" s="45" t="n">
        <f aca="false">SQRT((Z152^2)+(AC152^2))</f>
        <v>0.26229754097208</v>
      </c>
      <c r="AO152" s="46" t="n">
        <f aca="false">IF(NOT($M152="elegans"),(0.045461+0.0044*((AM152))),IF($M152="elegans",(0.053337+0.0012*((AM152)))))</f>
        <v>0.056800810704</v>
      </c>
      <c r="AP152" s="46" t="n">
        <f aca="false">IF(NOT($M152="elegans"),(0.0044*((AN152))),IF($M152="elegans",(0.0012*((AN152)))))</f>
        <v>0.000314757049166496</v>
      </c>
      <c r="AQ152" s="46" t="n">
        <f aca="false">SQRT(AO152)</f>
        <v>0.238329206569401</v>
      </c>
      <c r="AR152" s="46" t="n">
        <f aca="false">AQ152*(0.5*(AP152/AO152))</f>
        <v>0.000660340907640374</v>
      </c>
      <c r="AS152" s="46" t="n">
        <f aca="false">IF(NOT($M152="elegans"),AR152/0.0022,IF($M152="elegans",AR152/0.0006))</f>
        <v>1.10056817940062</v>
      </c>
      <c r="AT152" s="45" t="n">
        <f aca="false">Y152-AB152</f>
        <v>2.88650892</v>
      </c>
      <c r="AU152" s="45" t="n">
        <f aca="false">SQRT((AA152^2)+(AD152^2))</f>
        <v>0.233238075793812</v>
      </c>
      <c r="AV152" s="46" t="n">
        <f aca="false">IF(NOT($M152="elegans"),(0.045461+0.0044*((AT152))),IF($M152="elegans",(0.053337+0.0012*((AT152)))))</f>
        <v>0.056800810704</v>
      </c>
      <c r="AW152" s="46" t="n">
        <f aca="false">IF(NOT($M152="elegans"),(0.0044*((AU152))),IF($M152="elegans",(0.0012*((AU152)))))</f>
        <v>0.000279885690952575</v>
      </c>
      <c r="AX152" s="46" t="n">
        <f aca="false">SQRT(AV152)</f>
        <v>0.238329206569401</v>
      </c>
      <c r="AY152" s="46" t="n">
        <f aca="false">AX152*(0.5*(AW152/AV152))</f>
        <v>0.00058718294534974</v>
      </c>
      <c r="AZ152" s="46" t="n">
        <f aca="false">IF(NOT($M152="elegans"),AY152/0.0022,IF($M152="elegans",AY152/0.0006))</f>
        <v>0.978638242249567</v>
      </c>
      <c r="BD152" s="31" t="n">
        <f aca="false">AL152</f>
        <v>7.78465571766571</v>
      </c>
      <c r="BE152" s="31" t="n">
        <f aca="false">AS152</f>
        <v>1.10056817940062</v>
      </c>
      <c r="BF152" s="31" t="n">
        <f aca="false">AZ152</f>
        <v>0.978638242249567</v>
      </c>
      <c r="BG152" s="14" t="n">
        <f aca="false">10^6/((BD152+273.15)^2)</f>
        <v>12.6703720335051</v>
      </c>
      <c r="BH152" s="14" t="n">
        <f aca="false">BG152*(2*($BE152/($BD152+273.15)))</f>
        <v>0.0992729661324326</v>
      </c>
      <c r="BI152" s="14" t="n">
        <f aca="false">BG152*(2*($BF152/($BD152+273.15)))</f>
        <v>0.0882746956500727</v>
      </c>
      <c r="BK152" s="14" t="n">
        <f aca="false">10^6/((AG152+273.15)^2)</f>
        <v>13.1211685988183</v>
      </c>
      <c r="BL152" s="14" t="n">
        <f aca="false">BK152*(2*($AH152/($AG152+273.15)))</f>
        <v>0.00501605986089571</v>
      </c>
      <c r="BM152" s="14" t="n">
        <f aca="false">10^6/((AI152+273.15)^2)</f>
        <v>13.1211685988183</v>
      </c>
      <c r="BN152" s="14" t="n">
        <f aca="false">BM152*(2*($AJ152/($AI152+273.15)))</f>
        <v>0.00501605986089571</v>
      </c>
    </row>
    <row r="153" s="14" customFormat="true" ht="16" hidden="false" customHeight="false" outlineLevel="0" collapsed="false">
      <c r="A153" s="22" t="s">
        <v>100</v>
      </c>
      <c r="B153" s="14" t="s">
        <v>525</v>
      </c>
      <c r="C153" s="14" t="s">
        <v>438</v>
      </c>
      <c r="D153" s="23" t="s">
        <v>526</v>
      </c>
      <c r="E153" s="24" t="s">
        <v>527</v>
      </c>
      <c r="F153" s="22" t="n">
        <v>61.9</v>
      </c>
      <c r="G153" s="22" t="n">
        <v>-23.9</v>
      </c>
      <c r="H153" s="22" t="s">
        <v>78</v>
      </c>
      <c r="I153" s="22" t="s">
        <v>79</v>
      </c>
      <c r="J153" s="22" t="n">
        <v>1502</v>
      </c>
      <c r="K153" s="25" t="s">
        <v>100</v>
      </c>
      <c r="L153" s="22" t="s">
        <v>104</v>
      </c>
      <c r="M153" s="22" t="s">
        <v>105</v>
      </c>
      <c r="N153" s="22" t="s">
        <v>106</v>
      </c>
      <c r="O153" s="22" t="s">
        <v>71</v>
      </c>
      <c r="P153" s="22" t="s">
        <v>71</v>
      </c>
      <c r="Q153" s="22" t="n">
        <v>5</v>
      </c>
      <c r="R153" s="25" t="s">
        <v>83</v>
      </c>
      <c r="S153" s="25" t="n">
        <v>35.1652380952381</v>
      </c>
      <c r="T153" s="22" t="n">
        <v>46.1891785714286</v>
      </c>
      <c r="U153" s="26" t="n">
        <v>1</v>
      </c>
      <c r="V153" s="27" t="n">
        <v>0.03</v>
      </c>
      <c r="W153" s="27" t="n">
        <v>0</v>
      </c>
      <c r="X153" s="23" t="n">
        <v>0</v>
      </c>
      <c r="Y153" s="27" t="n">
        <v>1.42</v>
      </c>
      <c r="Z153" s="27" t="n">
        <v>0</v>
      </c>
      <c r="AA153" s="23" t="n">
        <v>0</v>
      </c>
      <c r="AB153" s="27" t="n">
        <v>0.354384345714286</v>
      </c>
      <c r="AC153" s="27" t="n">
        <v>0.200154754096281</v>
      </c>
      <c r="AD153" s="27" t="n">
        <v>0.200022115058504</v>
      </c>
      <c r="AE153" s="28" t="n">
        <v>0.620826612</v>
      </c>
      <c r="AF153" s="23" t="n">
        <v>0.019</v>
      </c>
      <c r="AG153" s="29" t="n">
        <v>8.79733303615025</v>
      </c>
      <c r="AH153" s="27" t="n">
        <v>0.335859590704696</v>
      </c>
      <c r="AI153" s="27" t="n">
        <f aca="false">VLOOKUP(B153,proft,2,0)</f>
        <v>10.0662824114964</v>
      </c>
      <c r="AJ153" s="27" t="n">
        <f aca="false">VLOOKUP(B153,proft,3,0)</f>
        <v>0.577702522277861</v>
      </c>
      <c r="AK153" s="27" t="s">
        <v>107</v>
      </c>
      <c r="BA153" s="30" t="n">
        <v>12.3956</v>
      </c>
      <c r="BB153" s="30" t="n">
        <v>2.388</v>
      </c>
      <c r="BC153" s="30" t="n">
        <v>0.02388</v>
      </c>
      <c r="BD153" s="60" t="n">
        <v>12.3956</v>
      </c>
      <c r="BE153" s="31" t="n">
        <v>2.388</v>
      </c>
      <c r="BF153" s="31" t="n">
        <v>0.02388</v>
      </c>
      <c r="BG153" s="14" t="n">
        <f aca="false">10^6/((BA153+273.15)^2)</f>
        <v>12.2644776201184</v>
      </c>
      <c r="BH153" s="14" t="n">
        <f aca="false">BG153*(2*($BE153/($BD153+273.15)))</f>
        <v>0.205134119081805</v>
      </c>
      <c r="BI153" s="14" t="n">
        <f aca="false">BG153*(2*($BF153/($BD153+273.15)))</f>
        <v>0.00205134119081805</v>
      </c>
      <c r="BK153" s="14" t="n">
        <f aca="false">10^6/((AG153+273.15)^2)</f>
        <v>12.5795185004882</v>
      </c>
      <c r="BL153" s="14" t="n">
        <f aca="false">BK153*(2*($AH153/($AG153+273.15)))</f>
        <v>0.0299697953468098</v>
      </c>
      <c r="BM153" s="14" t="n">
        <f aca="false">10^6/((AI153+273.15)^2)</f>
        <v>12.4670460717095</v>
      </c>
      <c r="BN153" s="14" t="n">
        <f aca="false">BM153*(2*($AJ153/($AI153+273.15)))</f>
        <v>0.0508603806225832</v>
      </c>
    </row>
    <row r="154" s="14" customFormat="true" ht="16" hidden="false" customHeight="false" outlineLevel="0" collapsed="false">
      <c r="A154" s="22" t="s">
        <v>461</v>
      </c>
      <c r="B154" s="14" t="s">
        <v>528</v>
      </c>
      <c r="C154" s="14" t="s">
        <v>438</v>
      </c>
      <c r="D154" s="23" t="s">
        <v>529</v>
      </c>
      <c r="E154" s="24" t="s">
        <v>528</v>
      </c>
      <c r="F154" s="22" t="n">
        <v>61</v>
      </c>
      <c r="G154" s="22" t="n">
        <v>-24.5</v>
      </c>
      <c r="H154" s="22" t="s">
        <v>78</v>
      </c>
      <c r="I154" s="22" t="s">
        <v>79</v>
      </c>
      <c r="J154" s="22" t="n">
        <v>1826</v>
      </c>
      <c r="K154" s="25" t="s">
        <v>461</v>
      </c>
      <c r="L154" s="22"/>
      <c r="M154" s="22"/>
      <c r="N154" s="22" t="n">
        <v>0</v>
      </c>
      <c r="O154" s="22" t="s">
        <v>461</v>
      </c>
      <c r="P154" s="22" t="s">
        <v>461</v>
      </c>
      <c r="Q154" s="22" t="n">
        <v>7</v>
      </c>
      <c r="R154" s="25"/>
      <c r="S154" s="25" t="n">
        <v>35.143</v>
      </c>
      <c r="T154" s="22" t="n">
        <v>42.4374086956522</v>
      </c>
      <c r="U154" s="26" t="n">
        <v>1</v>
      </c>
      <c r="V154" s="27" t="n">
        <v>0.73</v>
      </c>
      <c r="W154" s="27" t="n">
        <v>0</v>
      </c>
      <c r="X154" s="23" t="n">
        <v>0.01</v>
      </c>
      <c r="Y154" s="27" t="n">
        <v>2.47</v>
      </c>
      <c r="Z154" s="27" t="n">
        <v>0.02</v>
      </c>
      <c r="AA154" s="23" t="n">
        <v>0.01</v>
      </c>
      <c r="AB154" s="27" t="n">
        <v>0.305557621538462</v>
      </c>
      <c r="AC154" s="27" t="n">
        <v>0.206990438897232</v>
      </c>
      <c r="AD154" s="27" t="n">
        <v>0.200273374876487</v>
      </c>
      <c r="AE154" s="28" t="n">
        <v>0.661010922</v>
      </c>
      <c r="AF154" s="23" t="n">
        <v>0.016</v>
      </c>
      <c r="AG154" s="29" t="n">
        <v>9.1</v>
      </c>
      <c r="AH154" s="27" t="n">
        <v>1</v>
      </c>
      <c r="AI154" s="27" t="n">
        <f aca="false">VLOOKUP(B154,proft,2,0)</f>
        <v>5.16096479894687</v>
      </c>
      <c r="AJ154" s="27" t="n">
        <f aca="false">VLOOKUP(B154,proft,3,0)</f>
        <v>0.26849460601806</v>
      </c>
      <c r="AK154" s="27" t="s">
        <v>63</v>
      </c>
      <c r="BA154" s="30" t="n">
        <v>7.8177</v>
      </c>
      <c r="BB154" s="30" t="n">
        <v>2.27</v>
      </c>
      <c r="BC154" s="30" t="n">
        <v>0.0227</v>
      </c>
      <c r="BD154" s="60" t="n">
        <v>7.8177</v>
      </c>
      <c r="BE154" s="31" t="n">
        <v>2.27</v>
      </c>
      <c r="BF154" s="31" t="n">
        <v>0.0227</v>
      </c>
      <c r="BG154" s="14" t="n">
        <f aca="false">10^6/((BA154+273.15)^2)</f>
        <v>12.6673919135103</v>
      </c>
      <c r="BH154" s="14" t="n">
        <f aca="false">BG154*(2*($BE154/($BD154+273.15)))</f>
        <v>0.204685304707042</v>
      </c>
      <c r="BI154" s="14" t="n">
        <f aca="false">BG154*(2*($BF154/($BD154+273.15)))</f>
        <v>0.00204685304707042</v>
      </c>
      <c r="BK154" s="14" t="n">
        <f aca="false">10^6/((AG154+273.15)^2)</f>
        <v>12.5525540132477</v>
      </c>
      <c r="BL154" s="14" t="n">
        <f aca="false">BK154*(2*($AH154/($AG154+273.15)))</f>
        <v>0.0889463526182296</v>
      </c>
      <c r="BM154" s="14" t="n">
        <f aca="false">10^6/((AI154+273.15)^2)</f>
        <v>12.9103901355458</v>
      </c>
      <c r="BN154" s="14" t="n">
        <f aca="false">BM154*(2*($AJ154/($AI154+273.15)))</f>
        <v>0.0249100506369697</v>
      </c>
    </row>
    <row r="155" s="14" customFormat="true" ht="16" hidden="false" customHeight="false" outlineLevel="0" collapsed="false">
      <c r="A155" s="22" t="s">
        <v>372</v>
      </c>
      <c r="B155" s="14" t="s">
        <v>530</v>
      </c>
      <c r="C155" s="14" t="s">
        <v>438</v>
      </c>
      <c r="D155" s="23" t="s">
        <v>531</v>
      </c>
      <c r="E155" s="24" t="s">
        <v>532</v>
      </c>
      <c r="F155" s="22" t="n">
        <v>0</v>
      </c>
      <c r="G155" s="22" t="n">
        <v>161.8</v>
      </c>
      <c r="H155" s="22" t="s">
        <v>56</v>
      </c>
      <c r="I155" s="22" t="s">
        <v>57</v>
      </c>
      <c r="J155" s="22" t="n">
        <v>4025</v>
      </c>
      <c r="K155" s="25" t="s">
        <v>372</v>
      </c>
      <c r="L155" s="22" t="s">
        <v>372</v>
      </c>
      <c r="M155" s="22"/>
      <c r="N155" s="22" t="n">
        <v>4025</v>
      </c>
      <c r="O155" s="22" t="s">
        <v>375</v>
      </c>
      <c r="P155" s="22" t="s">
        <v>375</v>
      </c>
      <c r="Q155" s="22" t="n">
        <v>6</v>
      </c>
      <c r="R155" s="25" t="s">
        <v>83</v>
      </c>
      <c r="S155" s="25" t="n">
        <v>34.695</v>
      </c>
      <c r="T155" s="22" t="n">
        <v>-16.6244949152542</v>
      </c>
      <c r="U155" s="26" t="n">
        <v>1</v>
      </c>
      <c r="V155" s="27" t="n">
        <v>0.06</v>
      </c>
      <c r="W155" s="27" t="n">
        <v>0</v>
      </c>
      <c r="X155" s="23" t="n">
        <v>0</v>
      </c>
      <c r="Y155" s="27" t="n">
        <v>2.07</v>
      </c>
      <c r="Z155" s="27" t="n">
        <v>0</v>
      </c>
      <c r="AA155" s="23" t="n">
        <v>0</v>
      </c>
      <c r="AB155" s="27" t="n">
        <v>-0.07205411</v>
      </c>
      <c r="AC155" s="27" t="n">
        <v>0.2</v>
      </c>
      <c r="AD155" s="27" t="n">
        <v>0.2</v>
      </c>
      <c r="AE155" s="28" t="n">
        <v>0.651781561</v>
      </c>
      <c r="AF155" s="23" t="n">
        <v>0.014</v>
      </c>
      <c r="AG155" s="29" t="n">
        <v>1.49699997901917</v>
      </c>
      <c r="AH155" s="27" t="n">
        <v>0.0438575553398775</v>
      </c>
      <c r="AI155" s="44" t="n">
        <v>1.49699997901917</v>
      </c>
      <c r="AJ155" s="44" t="n">
        <v>0.0438575553398775</v>
      </c>
      <c r="AK155" s="27" t="s">
        <v>63</v>
      </c>
      <c r="AL155" s="14" t="n">
        <f aca="false">IF(AND(O155="Benthic, infaunal",M155="elegans"),(0.243-SQRT(((Y155)-(AB155))*0.0012+0.053337))/0.0006,IF(O155="Benthic",(0.245-SQRT(((Y155)-(AB155))*0.0044+0.045461))/0.0022,IF(O155="Benthic, infaunal",(0.245-(SQRT(0.045461+0.0044*((Y155-0.47)-(AB155)))))/0.0022,IF(O155="Benthic, epifaunal",(0.245-SQRT(((Y155)-(AB155))*0.0044+0.045461))/0.0022))))</f>
        <v>4.8737752818266</v>
      </c>
      <c r="AM155" s="45" t="n">
        <f aca="false">Y155-AB155</f>
        <v>2.14205411</v>
      </c>
      <c r="AN155" s="45" t="n">
        <f aca="false">SQRT((Z155^2)+(AC155^2))</f>
        <v>0.2</v>
      </c>
      <c r="AO155" s="46" t="n">
        <f aca="false">IF(NOT($M155="elegans"),(0.045461+0.0044*((AM155))),IF($M155="elegans",(0.053337+0.0012*((AM155)))))</f>
        <v>0.054886038084</v>
      </c>
      <c r="AP155" s="46" t="n">
        <f aca="false">IF(NOT($M155="elegans"),(0.0044*((AN155))),IF($M155="elegans",(0.0012*((AN155)))))</f>
        <v>0.00088</v>
      </c>
      <c r="AQ155" s="46" t="n">
        <f aca="false">SQRT(AO155)</f>
        <v>0.234277694379981</v>
      </c>
      <c r="AR155" s="46" t="n">
        <f aca="false">AQ155*(0.5*(AP155/AO155))</f>
        <v>0.00187811307074907</v>
      </c>
      <c r="AS155" s="46" t="n">
        <f aca="false">IF(NOT($M155="elegans"),AR155/0.0022,IF($M155="elegans",AR155/0.0006))</f>
        <v>0.853687759431397</v>
      </c>
      <c r="AT155" s="45" t="n">
        <f aca="false">Y155-AB155</f>
        <v>2.14205411</v>
      </c>
      <c r="AU155" s="45" t="n">
        <f aca="false">SQRT((AA155^2)+(AD155^2))</f>
        <v>0.2</v>
      </c>
      <c r="AV155" s="46" t="n">
        <f aca="false">IF(NOT($M155="elegans"),(0.045461+0.0044*((AT155))),IF($M155="elegans",(0.053337+0.0012*((AT155)))))</f>
        <v>0.054886038084</v>
      </c>
      <c r="AW155" s="46" t="n">
        <f aca="false">IF(NOT($M155="elegans"),(0.0044*((AU155))),IF($M155="elegans",(0.0012*((AU155)))))</f>
        <v>0.00088</v>
      </c>
      <c r="AX155" s="46" t="n">
        <f aca="false">SQRT(AV155)</f>
        <v>0.234277694379981</v>
      </c>
      <c r="AY155" s="46" t="n">
        <f aca="false">AX155*(0.5*(AW155/AV155))</f>
        <v>0.00187811307074907</v>
      </c>
      <c r="AZ155" s="46" t="n">
        <f aca="false">IF(NOT($M155="elegans"),AY155/0.0022,IF($M155="elegans",AY155/0.0006))</f>
        <v>0.853687759431397</v>
      </c>
      <c r="BD155" s="31" t="n">
        <f aca="false">AL155</f>
        <v>4.8737752818266</v>
      </c>
      <c r="BE155" s="31" t="n">
        <f aca="false">AS155</f>
        <v>0.853687759431397</v>
      </c>
      <c r="BF155" s="31" t="n">
        <f aca="false">AZ155</f>
        <v>0.853687759431397</v>
      </c>
      <c r="BG155" s="14" t="n">
        <f aca="false">10^6/((BD155+273.15)^2)</f>
        <v>12.9370759374106</v>
      </c>
      <c r="BH155" s="14" t="n">
        <f aca="false">BG155*(2*($BE155/($BD155+273.15)))</f>
        <v>0.079448049789315</v>
      </c>
      <c r="BI155" s="14" t="n">
        <f aca="false">BG155*(2*($BF155/($BD155+273.15)))</f>
        <v>0.079448049789315</v>
      </c>
      <c r="BK155" s="14" t="n">
        <f aca="false">10^6/((AG155+273.15)^2)</f>
        <v>13.2571533820997</v>
      </c>
      <c r="BL155" s="14" t="n">
        <f aca="false">BK155*(2*($AH155/($AG155+273.15)))</f>
        <v>0.00423399009018194</v>
      </c>
      <c r="BM155" s="14" t="n">
        <f aca="false">10^6/((AI155+273.15)^2)</f>
        <v>13.2571533820997</v>
      </c>
      <c r="BN155" s="14" t="n">
        <f aca="false">BM155*(2*($AJ155/($AI155+273.15)))</f>
        <v>0.00423399009018194</v>
      </c>
    </row>
    <row r="156" s="14" customFormat="true" ht="16" hidden="false" customHeight="false" outlineLevel="0" collapsed="false">
      <c r="A156" s="22" t="s">
        <v>474</v>
      </c>
      <c r="B156" s="14" t="s">
        <v>533</v>
      </c>
      <c r="C156" s="14" t="s">
        <v>438</v>
      </c>
      <c r="D156" s="23" t="s">
        <v>534</v>
      </c>
      <c r="E156" s="24" t="s">
        <v>535</v>
      </c>
      <c r="F156" s="22" t="n">
        <v>69.4</v>
      </c>
      <c r="G156" s="22" t="n">
        <v>-6.5</v>
      </c>
      <c r="H156" s="22" t="s">
        <v>78</v>
      </c>
      <c r="I156" s="22" t="s">
        <v>79</v>
      </c>
      <c r="J156" s="22" t="n">
        <v>2710</v>
      </c>
      <c r="K156" s="25" t="s">
        <v>474</v>
      </c>
      <c r="L156" s="22" t="s">
        <v>477</v>
      </c>
      <c r="M156" s="22" t="s">
        <v>478</v>
      </c>
      <c r="N156" s="22" t="n">
        <v>2710</v>
      </c>
      <c r="O156" s="22" t="s">
        <v>178</v>
      </c>
      <c r="P156" s="22" t="s">
        <v>178</v>
      </c>
      <c r="Q156" s="22" t="n">
        <v>1</v>
      </c>
      <c r="R156" s="25" t="s">
        <v>83</v>
      </c>
      <c r="S156" s="25" t="n">
        <v>34.904</v>
      </c>
      <c r="T156" s="22" t="n">
        <v>25.9332875</v>
      </c>
      <c r="U156" s="26" t="n">
        <v>2</v>
      </c>
      <c r="V156" s="27" t="n">
        <v>0.3</v>
      </c>
      <c r="W156" s="27" t="n">
        <v>1.30107647738325</v>
      </c>
      <c r="X156" s="27" t="n">
        <v>0.92</v>
      </c>
      <c r="Y156" s="27" t="n">
        <v>3.84</v>
      </c>
      <c r="Z156" s="27" t="n">
        <v>0.0989949493661167</v>
      </c>
      <c r="AA156" s="27" t="n">
        <v>0.07</v>
      </c>
      <c r="AB156" s="27" t="n">
        <v>0.2677372088</v>
      </c>
      <c r="AC156" s="27" t="n">
        <v>0.2</v>
      </c>
      <c r="AD156" s="27" t="n">
        <v>0.2</v>
      </c>
      <c r="AE156" s="28" t="n">
        <v>0.6679332595</v>
      </c>
      <c r="AF156" s="28" t="n">
        <v>0.0238908885</v>
      </c>
      <c r="AG156" s="29" t="n">
        <v>-0.919999957084656</v>
      </c>
      <c r="AH156" s="27" t="n">
        <v>0.0611216997947647</v>
      </c>
      <c r="AI156" s="44" t="n">
        <v>-0.919999957084656</v>
      </c>
      <c r="AJ156" s="44" t="n">
        <v>0.0611216997947647</v>
      </c>
      <c r="AK156" s="27" t="s">
        <v>63</v>
      </c>
      <c r="AL156" s="14" t="n">
        <f aca="false">IF(AND(O156="Benthic, infaunal",M156="elegans"),(0.243-SQRT(((Y156)-(AB156))*0.0012+0.053337))/0.0006,IF(O156="Benthic",(0.245-SQRT(((Y156)-(AB156))*0.0044+0.045461))/0.0022,IF(O156="Benthic, infaunal",(0.245-(SQRT(0.045461+0.0044*((Y156-0.47)-(AB156)))))/0.0022,IF(O156="Benthic, epifaunal",(0.245-SQRT(((Y156)-(AB156))*0.0044+0.045461))/0.0022))))</f>
        <v>0.851159709947018</v>
      </c>
      <c r="AM156" s="45" t="n">
        <f aca="false">Y156-AB156</f>
        <v>3.5722627912</v>
      </c>
      <c r="AN156" s="45" t="n">
        <f aca="false">SQRT((Z156^2)+(AC156^2))</f>
        <v>0.223159136044214</v>
      </c>
      <c r="AO156" s="46" t="n">
        <f aca="false">IF(NOT($M156="elegans"),(0.045461+0.0044*((AM156))),IF($M156="elegans",(0.053337+0.0012*((AM156)))))</f>
        <v>0.06117895628128</v>
      </c>
      <c r="AP156" s="46" t="n">
        <f aca="false">IF(NOT($M156="elegans"),(0.0044*((AN156))),IF($M156="elegans",(0.0012*((AN156)))))</f>
        <v>0.000981900198594542</v>
      </c>
      <c r="AQ156" s="46" t="n">
        <f aca="false">SQRT(AO156)</f>
        <v>0.247343801784641</v>
      </c>
      <c r="AR156" s="46" t="n">
        <f aca="false">AQ156*(0.5*(AP156/AO156))</f>
        <v>0.00198488943630265</v>
      </c>
      <c r="AS156" s="46" t="n">
        <f aca="false">IF(NOT($M156="elegans"),AR156/0.0022,IF($M156="elegans",AR156/0.0006))</f>
        <v>0.902222471046658</v>
      </c>
      <c r="AT156" s="45" t="n">
        <f aca="false">Y156-AB156</f>
        <v>3.5722627912</v>
      </c>
      <c r="AU156" s="45" t="n">
        <f aca="false">SQRT((AA156^2)+(AD156^2))</f>
        <v>0.211896201004171</v>
      </c>
      <c r="AV156" s="46" t="n">
        <f aca="false">IF(NOT($M156="elegans"),(0.045461+0.0044*((AT156))),IF($M156="elegans",(0.053337+0.0012*((AT156)))))</f>
        <v>0.06117895628128</v>
      </c>
      <c r="AW156" s="46" t="n">
        <f aca="false">IF(NOT($M156="elegans"),(0.0044*((AU156))),IF($M156="elegans",(0.0012*((AU156)))))</f>
        <v>0.000932343284418352</v>
      </c>
      <c r="AX156" s="46" t="n">
        <f aca="false">SQRT(AV156)</f>
        <v>0.247343801784641</v>
      </c>
      <c r="AY156" s="46" t="n">
        <f aca="false">AX156*(0.5*(AW156/AV156))</f>
        <v>0.00188471123531555</v>
      </c>
      <c r="AZ156" s="46" t="n">
        <f aca="false">IF(NOT($M156="elegans"),AY156/0.0022,IF($M156="elegans",AY156/0.0006))</f>
        <v>0.856686925143432</v>
      </c>
      <c r="BD156" s="31" t="n">
        <f aca="false">AL156</f>
        <v>0.851159709947018</v>
      </c>
      <c r="BE156" s="31" t="n">
        <f aca="false">AS156</f>
        <v>0.902222471046658</v>
      </c>
      <c r="BF156" s="31" t="n">
        <f aca="false">AZ156</f>
        <v>0.856686925143432</v>
      </c>
      <c r="BG156" s="14" t="n">
        <f aca="false">10^6/((BD156+273.15)^2)</f>
        <v>13.3197231474457</v>
      </c>
      <c r="BH156" s="14" t="n">
        <f aca="false">BG156*(2*($BE156/($BD156+273.15)))</f>
        <v>0.0877175377247833</v>
      </c>
      <c r="BI156" s="14" t="n">
        <f aca="false">BG156*(2*($BF156/($BD156+273.15)))</f>
        <v>0.0832903968656655</v>
      </c>
      <c r="BK156" s="14" t="n">
        <f aca="false">10^6/((AG156+273.15)^2)</f>
        <v>13.4936062642889</v>
      </c>
      <c r="BL156" s="14" t="n">
        <f aca="false">BK156*(2*($AH156/($AG156+273.15)))</f>
        <v>0.00605923043826624</v>
      </c>
      <c r="BM156" s="14" t="n">
        <f aca="false">10^6/((AI156+273.15)^2)</f>
        <v>13.4936062642889</v>
      </c>
      <c r="BN156" s="14" t="n">
        <f aca="false">BM156*(2*($AJ156/($AI156+273.15)))</f>
        <v>0.00605923043826624</v>
      </c>
    </row>
    <row r="157" s="14" customFormat="true" ht="16" hidden="false" customHeight="false" outlineLevel="0" collapsed="false">
      <c r="A157" s="22" t="s">
        <v>469</v>
      </c>
      <c r="B157" s="14" t="s">
        <v>536</v>
      </c>
      <c r="C157" s="14" t="s">
        <v>438</v>
      </c>
      <c r="D157" s="23" t="s">
        <v>537</v>
      </c>
      <c r="E157" s="24" t="s">
        <v>535</v>
      </c>
      <c r="F157" s="22" t="n">
        <v>69.4</v>
      </c>
      <c r="G157" s="22" t="n">
        <v>-6.5</v>
      </c>
      <c r="H157" s="22" t="s">
        <v>78</v>
      </c>
      <c r="I157" s="22" t="s">
        <v>79</v>
      </c>
      <c r="J157" s="22" t="n">
        <v>2710</v>
      </c>
      <c r="K157" s="25" t="s">
        <v>538</v>
      </c>
      <c r="L157" s="22" t="s">
        <v>166</v>
      </c>
      <c r="M157" s="22" t="s">
        <v>473</v>
      </c>
      <c r="N157" s="22" t="n">
        <v>2710</v>
      </c>
      <c r="O157" s="22" t="s">
        <v>172</v>
      </c>
      <c r="P157" s="22" t="s">
        <v>172</v>
      </c>
      <c r="Q157" s="22" t="n">
        <v>2</v>
      </c>
      <c r="R157" s="25" t="s">
        <v>83</v>
      </c>
      <c r="S157" s="25" t="n">
        <v>34.904</v>
      </c>
      <c r="T157" s="22" t="n">
        <v>25.9332875</v>
      </c>
      <c r="U157" s="26" t="n">
        <v>1</v>
      </c>
      <c r="V157" s="27" t="n">
        <v>1.22</v>
      </c>
      <c r="W157" s="27" t="n">
        <v>0</v>
      </c>
      <c r="X157" s="23" t="n">
        <v>0</v>
      </c>
      <c r="Y157" s="27" t="n">
        <v>3.77</v>
      </c>
      <c r="Z157" s="27" t="n">
        <v>0</v>
      </c>
      <c r="AA157" s="23" t="n">
        <v>0</v>
      </c>
      <c r="AB157" s="27" t="n">
        <v>0.2677372088</v>
      </c>
      <c r="AC157" s="27" t="n">
        <v>0.2</v>
      </c>
      <c r="AD157" s="27" t="n">
        <v>0.2</v>
      </c>
      <c r="AE157" s="28" t="n">
        <v>0.691824148</v>
      </c>
      <c r="AF157" s="23" t="n">
        <v>0.007</v>
      </c>
      <c r="AG157" s="29" t="n">
        <v>-0.919999957084656</v>
      </c>
      <c r="AH157" s="27" t="n">
        <v>0.0611216997947647</v>
      </c>
      <c r="AI157" s="44" t="n">
        <v>-0.919999957084656</v>
      </c>
      <c r="AJ157" s="44" t="n">
        <v>0.0611216997947647</v>
      </c>
      <c r="AK157" s="27" t="s">
        <v>63</v>
      </c>
      <c r="AL157" s="14" t="n">
        <f aca="false">IF(AND(O157="Benthic, infaunal",M157="elegans"),(0.243-SQRT(((Y157)-(AB157))*0.0012+0.053337))/0.0006,IF(O157="Benthic",(0.245-SQRT(((Y157)-(AB157))*0.0044+0.045461))/0.0022,IF(O157="Benthic, infaunal",(0.245-(SQRT(0.045461+0.0044*((Y157-0.47)-(AB157)))))/0.0022,IF(O157="Benthic, epifaunal",(0.245-SQRT(((Y157)-(AB157))*0.0044+0.045461))/0.0022))))</f>
        <v>-0.78200046530405</v>
      </c>
      <c r="AM157" s="45" t="n">
        <f aca="false">Y157-AB157</f>
        <v>3.5022627912</v>
      </c>
      <c r="AN157" s="45" t="n">
        <f aca="false">SQRT((Z157^2)+(AC157^2))</f>
        <v>0.2</v>
      </c>
      <c r="AO157" s="46" t="n">
        <f aca="false">IF(NOT($M157="elegans"),(0.045461+0.0044*((AM157))),IF($M157="elegans",(0.053337+0.0012*((AM157)))))</f>
        <v>0.06087095628128</v>
      </c>
      <c r="AP157" s="46" t="n">
        <f aca="false">IF(NOT($M157="elegans"),(0.0044*((AN157))),IF($M157="elegans",(0.0012*((AN157)))))</f>
        <v>0.00088</v>
      </c>
      <c r="AQ157" s="46" t="n">
        <f aca="false">SQRT(AO157)</f>
        <v>0.246720401023669</v>
      </c>
      <c r="AR157" s="46" t="n">
        <f aca="false">AQ157*(0.5*(AP157/AO157))</f>
        <v>0.00178339528540969</v>
      </c>
      <c r="AS157" s="46" t="n">
        <f aca="false">IF(NOT($M157="elegans"),AR157/0.0022,IF($M157="elegans",AR157/0.0006))</f>
        <v>0.81063422064077</v>
      </c>
      <c r="AT157" s="45" t="n">
        <f aca="false">Y157-AB157</f>
        <v>3.5022627912</v>
      </c>
      <c r="AU157" s="45" t="n">
        <f aca="false">SQRT((AA157^2)+(AD157^2))</f>
        <v>0.2</v>
      </c>
      <c r="AV157" s="46" t="n">
        <f aca="false">IF(NOT($M157="elegans"),(0.045461+0.0044*((AT157))),IF($M157="elegans",(0.053337+0.0012*((AT157)))))</f>
        <v>0.06087095628128</v>
      </c>
      <c r="AW157" s="46" t="n">
        <f aca="false">IF(NOT($M157="elegans"),(0.0044*((AU157))),IF($M157="elegans",(0.0012*((AU157)))))</f>
        <v>0.00088</v>
      </c>
      <c r="AX157" s="46" t="n">
        <f aca="false">SQRT(AV157)</f>
        <v>0.246720401023669</v>
      </c>
      <c r="AY157" s="46" t="n">
        <f aca="false">AX157*(0.5*(AW157/AV157))</f>
        <v>0.00178339528540969</v>
      </c>
      <c r="AZ157" s="46" t="n">
        <f aca="false">IF(NOT($M157="elegans"),AY157/0.0022,IF($M157="elegans",AY157/0.0006))</f>
        <v>0.81063422064077</v>
      </c>
      <c r="BD157" s="31" t="n">
        <f aca="false">AL157</f>
        <v>-0.78200046530405</v>
      </c>
      <c r="BE157" s="31" t="n">
        <f aca="false">AS157</f>
        <v>0.81063422064077</v>
      </c>
      <c r="BF157" s="31" t="n">
        <f aca="false">AZ157</f>
        <v>0.81063422064077</v>
      </c>
      <c r="BG157" s="14" t="n">
        <f aca="false">10^6/((BD157+273.15)^2)</f>
        <v>13.4799362364134</v>
      </c>
      <c r="BH157" s="14" t="n">
        <f aca="false">BG157*(2*($BE157/($BD157+273.15)))</f>
        <v>0.0802392177051638</v>
      </c>
      <c r="BI157" s="14" t="n">
        <f aca="false">BG157*(2*($BF157/($BD157+273.15)))</f>
        <v>0.0802392177051638</v>
      </c>
      <c r="BK157" s="14" t="n">
        <f aca="false">10^6/((AG157+273.15)^2)</f>
        <v>13.4936062642889</v>
      </c>
      <c r="BL157" s="14" t="n">
        <f aca="false">BK157*(2*($AH157/($AG157+273.15)))</f>
        <v>0.00605923043826624</v>
      </c>
      <c r="BM157" s="14" t="n">
        <f aca="false">10^6/((AI157+273.15)^2)</f>
        <v>13.4936062642889</v>
      </c>
      <c r="BN157" s="14" t="n">
        <f aca="false">BM157*(2*($AJ157/($AI157+273.15)))</f>
        <v>0.00605923043826624</v>
      </c>
    </row>
    <row r="158" s="14" customFormat="true" ht="16" hidden="false" customHeight="false" outlineLevel="0" collapsed="false">
      <c r="A158" s="22" t="s">
        <v>100</v>
      </c>
      <c r="B158" s="14" t="s">
        <v>539</v>
      </c>
      <c r="C158" s="14" t="s">
        <v>438</v>
      </c>
      <c r="D158" s="23" t="s">
        <v>540</v>
      </c>
      <c r="E158" s="24" t="s">
        <v>541</v>
      </c>
      <c r="F158" s="22" t="n">
        <v>45.4</v>
      </c>
      <c r="G158" s="22" t="n">
        <v>-27.1</v>
      </c>
      <c r="H158" s="22" t="s">
        <v>78</v>
      </c>
      <c r="I158" s="22" t="s">
        <v>79</v>
      </c>
      <c r="J158" s="22" t="n">
        <v>2162</v>
      </c>
      <c r="K158" s="25" t="s">
        <v>100</v>
      </c>
      <c r="L158" s="22" t="s">
        <v>104</v>
      </c>
      <c r="M158" s="22" t="s">
        <v>105</v>
      </c>
      <c r="N158" s="22" t="s">
        <v>106</v>
      </c>
      <c r="O158" s="22" t="s">
        <v>71</v>
      </c>
      <c r="P158" s="22" t="s">
        <v>71</v>
      </c>
      <c r="Q158" s="22" t="n">
        <v>5</v>
      </c>
      <c r="R158" s="25" t="s">
        <v>83</v>
      </c>
      <c r="S158" s="25" t="n">
        <v>35.8044285714286</v>
      </c>
      <c r="T158" s="22" t="n">
        <v>42.8682276422764</v>
      </c>
      <c r="U158" s="26" t="n">
        <v>1</v>
      </c>
      <c r="V158" s="27" t="n">
        <v>-0.45</v>
      </c>
      <c r="W158" s="27" t="n">
        <v>0</v>
      </c>
      <c r="X158" s="23" t="n">
        <v>0</v>
      </c>
      <c r="Y158" s="27" t="n">
        <v>0.5</v>
      </c>
      <c r="Z158" s="27" t="n">
        <v>0</v>
      </c>
      <c r="AA158" s="23" t="n">
        <v>0</v>
      </c>
      <c r="AB158" s="27" t="n">
        <v>0.68932655</v>
      </c>
      <c r="AC158" s="27" t="n">
        <v>0.200673366082356</v>
      </c>
      <c r="AD158" s="27" t="n">
        <v>0.200096333890462</v>
      </c>
      <c r="AE158" s="28" t="n">
        <v>0.645604219</v>
      </c>
      <c r="AF158" s="23" t="n">
        <v>0.009</v>
      </c>
      <c r="AG158" s="29" t="n">
        <v>15.0062301726568</v>
      </c>
      <c r="AH158" s="27" t="n">
        <v>0.667863357173431</v>
      </c>
      <c r="AI158" s="27" t="n">
        <f aca="false">VLOOKUP(B158,proft,2,0)</f>
        <v>15.7407695437972</v>
      </c>
      <c r="AJ158" s="27" t="n">
        <f aca="false">VLOOKUP(B158,proft,3,0)</f>
        <v>1.4353151321412</v>
      </c>
      <c r="AK158" s="27" t="s">
        <v>107</v>
      </c>
      <c r="BA158" s="30" t="n">
        <v>17.2224</v>
      </c>
      <c r="BB158" s="30" t="n">
        <v>2.392</v>
      </c>
      <c r="BC158" s="30" t="n">
        <v>0.02426</v>
      </c>
      <c r="BD158" s="31" t="n">
        <v>17.2224</v>
      </c>
      <c r="BE158" s="31" t="n">
        <v>2.392</v>
      </c>
      <c r="BF158" s="31" t="n">
        <v>0.02426</v>
      </c>
      <c r="BG158" s="14" t="n">
        <f aca="false">10^6/((BA158+273.15)^2)</f>
        <v>11.8601267861113</v>
      </c>
      <c r="BH158" s="14" t="n">
        <f aca="false">BG158*(2*($BE158/($BD158+273.15)))</f>
        <v>0.19540027407824</v>
      </c>
      <c r="BI158" s="14" t="n">
        <f aca="false">BG158*(2*($BF158/($BD158+273.15)))</f>
        <v>0.00198177702723165</v>
      </c>
      <c r="BK158" s="14" t="n">
        <f aca="false">10^6/((AG158+273.15)^2)</f>
        <v>12.0432575040392</v>
      </c>
      <c r="BL158" s="14" t="n">
        <f aca="false">BK158*(2*($AH158/($AG158+273.15)))</f>
        <v>0.0558256219768868</v>
      </c>
      <c r="BM158" s="14" t="n">
        <f aca="false">10^6/((AI158+273.15)^2)</f>
        <v>11.9820925143331</v>
      </c>
      <c r="BN158" s="14" t="n">
        <f aca="false">BM158*(2*($AJ158/($AI158+273.15)))</f>
        <v>0.11906284667867</v>
      </c>
    </row>
    <row r="159" s="14" customFormat="true" ht="16" hidden="false" customHeight="false" outlineLevel="0" collapsed="false">
      <c r="A159" s="22" t="s">
        <v>542</v>
      </c>
      <c r="B159" s="14" t="s">
        <v>543</v>
      </c>
      <c r="C159" s="14" t="s">
        <v>438</v>
      </c>
      <c r="D159" s="23" t="s">
        <v>544</v>
      </c>
      <c r="E159" s="24" t="s">
        <v>545</v>
      </c>
      <c r="F159" s="22" t="n">
        <v>45.4</v>
      </c>
      <c r="G159" s="22" t="n">
        <v>-27.1</v>
      </c>
      <c r="H159" s="22" t="s">
        <v>78</v>
      </c>
      <c r="I159" s="22" t="s">
        <v>79</v>
      </c>
      <c r="J159" s="22" t="n">
        <v>2162</v>
      </c>
      <c r="K159" s="25" t="s">
        <v>542</v>
      </c>
      <c r="L159" s="22" t="s">
        <v>58</v>
      </c>
      <c r="M159" s="22" t="s">
        <v>546</v>
      </c>
      <c r="N159" s="22" t="s">
        <v>547</v>
      </c>
      <c r="O159" s="22" t="s">
        <v>485</v>
      </c>
      <c r="P159" s="22" t="s">
        <v>61</v>
      </c>
      <c r="Q159" s="22" t="n">
        <v>3</v>
      </c>
      <c r="R159" s="25" t="s">
        <v>83</v>
      </c>
      <c r="S159" s="25" t="n">
        <v>35.5621538461538</v>
      </c>
      <c r="T159" s="22" t="n">
        <v>42.8682276422764</v>
      </c>
      <c r="U159" s="26" t="n">
        <v>1</v>
      </c>
      <c r="V159" s="27" t="n">
        <v>0.69</v>
      </c>
      <c r="W159" s="27" t="n">
        <v>0</v>
      </c>
      <c r="X159" s="23" t="n">
        <v>0</v>
      </c>
      <c r="Y159" s="27" t="n">
        <v>1.2</v>
      </c>
      <c r="Z159" s="27" t="n">
        <v>0</v>
      </c>
      <c r="AA159" s="23" t="n">
        <v>0</v>
      </c>
      <c r="AB159" s="27" t="n">
        <v>0.565723448</v>
      </c>
      <c r="AC159" s="27" t="n">
        <v>0.211562192402954</v>
      </c>
      <c r="AD159" s="27" t="n">
        <v>0.202365294086879</v>
      </c>
      <c r="AE159" s="28" t="n">
        <v>0.640608986</v>
      </c>
      <c r="AF159" s="23" t="n">
        <v>0.01</v>
      </c>
      <c r="AG159" s="29" t="n">
        <v>12.4196441356952</v>
      </c>
      <c r="AH159" s="27" t="n">
        <v>0.748436895988383</v>
      </c>
      <c r="AI159" s="27" t="n">
        <f aca="false">VLOOKUP(B159,proft,2,0)</f>
        <v>11.5924364026321</v>
      </c>
      <c r="AJ159" s="27" t="n">
        <f aca="false">VLOOKUP(B159,proft,3,0)</f>
        <v>0.942798614501999</v>
      </c>
      <c r="AK159" s="27" t="s">
        <v>63</v>
      </c>
      <c r="BA159" s="30" t="n">
        <v>13.7368</v>
      </c>
      <c r="BB159" s="30" t="n">
        <v>2.239</v>
      </c>
      <c r="BC159" s="30" t="n">
        <v>0.02184</v>
      </c>
      <c r="BD159" s="31" t="n">
        <v>13.7368</v>
      </c>
      <c r="BE159" s="31" t="n">
        <v>2.239</v>
      </c>
      <c r="BF159" s="31" t="n">
        <v>0.02184</v>
      </c>
      <c r="BG159" s="14" t="n">
        <f aca="false">10^6/((BA159+273.15)^2)</f>
        <v>12.1500724439198</v>
      </c>
      <c r="BH159" s="14" t="n">
        <f aca="false">BG159*(2*($BE159/($BD159+273.15)))</f>
        <v>0.189649800562009</v>
      </c>
      <c r="BI159" s="14" t="n">
        <f aca="false">BG159*(2*($BF159/($BD159+273.15)))</f>
        <v>0.00184991140878708</v>
      </c>
      <c r="BK159" s="14" t="n">
        <f aca="false">10^6/((AG159+273.15)^2)</f>
        <v>12.2624124401821</v>
      </c>
      <c r="BL159" s="14" t="n">
        <f aca="false">BK159*(2*($AH159/($AG159+273.15)))</f>
        <v>0.0642760327823797</v>
      </c>
      <c r="BM159" s="14" t="n">
        <f aca="false">10^6/((AI159+273.15)^2)</f>
        <v>12.3337632131868</v>
      </c>
      <c r="BN159" s="14" t="n">
        <f aca="false">BM159*(2*($AJ159/($AI159+273.15)))</f>
        <v>0.0816756014024239</v>
      </c>
    </row>
    <row r="160" s="14" customFormat="true" ht="16" hidden="false" customHeight="false" outlineLevel="0" collapsed="false">
      <c r="A160" s="22" t="s">
        <v>479</v>
      </c>
      <c r="B160" s="14" t="s">
        <v>548</v>
      </c>
      <c r="C160" s="14" t="s">
        <v>438</v>
      </c>
      <c r="D160" s="23" t="s">
        <v>549</v>
      </c>
      <c r="E160" s="24" t="s">
        <v>550</v>
      </c>
      <c r="F160" s="22" t="n">
        <v>45.4</v>
      </c>
      <c r="G160" s="22" t="n">
        <v>-27.1</v>
      </c>
      <c r="H160" s="22" t="s">
        <v>78</v>
      </c>
      <c r="I160" s="22" t="s">
        <v>79</v>
      </c>
      <c r="J160" s="22" t="n">
        <v>2162</v>
      </c>
      <c r="K160" s="25" t="s">
        <v>479</v>
      </c>
      <c r="L160" s="22" t="s">
        <v>58</v>
      </c>
      <c r="M160" s="22" t="s">
        <v>483</v>
      </c>
      <c r="N160" s="22" t="s">
        <v>484</v>
      </c>
      <c r="O160" s="22" t="s">
        <v>485</v>
      </c>
      <c r="P160" s="22" t="s">
        <v>61</v>
      </c>
      <c r="Q160" s="22" t="n">
        <v>3</v>
      </c>
      <c r="R160" s="25" t="s">
        <v>486</v>
      </c>
      <c r="S160" s="25" t="n">
        <v>35.2448</v>
      </c>
      <c r="T160" s="22" t="n">
        <v>42.8682276422764</v>
      </c>
      <c r="U160" s="26" t="n">
        <v>1</v>
      </c>
      <c r="V160" s="27" t="n">
        <v>0.68</v>
      </c>
      <c r="W160" s="27" t="n">
        <v>0</v>
      </c>
      <c r="X160" s="23" t="n">
        <v>0</v>
      </c>
      <c r="Y160" s="27" t="n">
        <v>1.58</v>
      </c>
      <c r="Z160" s="27" t="n">
        <v>0</v>
      </c>
      <c r="AA160" s="23" t="n">
        <v>0</v>
      </c>
      <c r="AB160" s="27" t="n">
        <v>0.432340016666667</v>
      </c>
      <c r="AC160" s="27" t="n">
        <v>0.205355109793218</v>
      </c>
      <c r="AD160" s="27" t="n">
        <v>0.201800826822046</v>
      </c>
      <c r="AE160" s="28" t="n">
        <v>0.595270525</v>
      </c>
      <c r="AF160" s="23" t="n">
        <v>0.009</v>
      </c>
      <c r="AG160" s="29" t="n">
        <v>10.0684711456299</v>
      </c>
      <c r="AH160" s="27" t="n">
        <v>0.906111593702757</v>
      </c>
      <c r="AI160" s="27" t="n">
        <f aca="false">VLOOKUP(B160,proft,2,0)</f>
        <v>9.70832713930361</v>
      </c>
      <c r="AJ160" s="27" t="n">
        <f aca="false">VLOOKUP(B160,proft,3,0)</f>
        <v>0.60069751739502</v>
      </c>
      <c r="AK160" s="27" t="s">
        <v>63</v>
      </c>
      <c r="BA160" s="30" t="n">
        <v>11.7553</v>
      </c>
      <c r="BB160" s="30" t="n">
        <v>2.229</v>
      </c>
      <c r="BC160" s="30" t="n">
        <v>0.0223</v>
      </c>
      <c r="BD160" s="31" t="n">
        <v>11.7553</v>
      </c>
      <c r="BE160" s="31" t="n">
        <v>2.229</v>
      </c>
      <c r="BF160" s="31" t="n">
        <v>0.0223</v>
      </c>
      <c r="BG160" s="14" t="n">
        <f aca="false">10^6/((BA160+273.15)^2)</f>
        <v>12.3196662700119</v>
      </c>
      <c r="BH160" s="14" t="n">
        <f aca="false">BG160*(2*($BE160/($BD160+273.15)))</f>
        <v>0.192769570210568</v>
      </c>
      <c r="BI160" s="14" t="n">
        <f aca="false">BG160*(2*($BF160/($BD160+273.15)))</f>
        <v>0.00192856052745431</v>
      </c>
      <c r="BK160" s="14" t="n">
        <f aca="false">10^6/((AG160+273.15)^2)</f>
        <v>12.4668533798717</v>
      </c>
      <c r="BL160" s="14" t="n">
        <f aca="false">BK160*(2*($AH160/($AG160+273.15)))</f>
        <v>0.079771353462929</v>
      </c>
      <c r="BM160" s="14" t="n">
        <f aca="false">10^6/((AI160+273.15)^2)</f>
        <v>12.4986199598706</v>
      </c>
      <c r="BN160" s="14" t="n">
        <f aca="false">BM160*(2*($AJ160/($AI160+273.15)))</f>
        <v>0.0530858685101435</v>
      </c>
    </row>
    <row r="161" s="14" customFormat="true" ht="16" hidden="false" customHeight="false" outlineLevel="0" collapsed="false">
      <c r="A161" s="22" t="s">
        <v>154</v>
      </c>
      <c r="B161" s="14" t="s">
        <v>551</v>
      </c>
      <c r="C161" s="14" t="s">
        <v>438</v>
      </c>
      <c r="D161" s="23" t="s">
        <v>552</v>
      </c>
      <c r="E161" s="24" t="s">
        <v>553</v>
      </c>
      <c r="F161" s="22" t="n">
        <v>0.3</v>
      </c>
      <c r="G161" s="22" t="n">
        <v>158.8</v>
      </c>
      <c r="H161" s="22" t="s">
        <v>56</v>
      </c>
      <c r="I161" s="22" t="s">
        <v>57</v>
      </c>
      <c r="J161" s="22" t="n">
        <v>2367</v>
      </c>
      <c r="K161" s="25" t="s">
        <v>154</v>
      </c>
      <c r="L161" s="22" t="s">
        <v>160</v>
      </c>
      <c r="M161" s="22" t="s">
        <v>161</v>
      </c>
      <c r="N161" s="22" t="s">
        <v>162</v>
      </c>
      <c r="O161" s="22" t="s">
        <v>71</v>
      </c>
      <c r="P161" s="22" t="s">
        <v>71</v>
      </c>
      <c r="Q161" s="22" t="n">
        <v>5</v>
      </c>
      <c r="R161" s="25" t="s">
        <v>62</v>
      </c>
      <c r="S161" s="25" t="n">
        <v>34.7434545454545</v>
      </c>
      <c r="T161" s="22" t="n">
        <v>39</v>
      </c>
      <c r="U161" s="26" t="n">
        <v>1</v>
      </c>
      <c r="V161" s="27" t="n">
        <v>1.58</v>
      </c>
      <c r="W161" s="27" t="n">
        <v>0</v>
      </c>
      <c r="X161" s="23" t="n">
        <v>0</v>
      </c>
      <c r="Y161" s="27" t="n">
        <v>-2.23</v>
      </c>
      <c r="Z161" s="27" t="n">
        <v>0</v>
      </c>
      <c r="AA161" s="23" t="n">
        <v>0</v>
      </c>
      <c r="AB161" s="27" t="n">
        <v>0.245283084</v>
      </c>
      <c r="AC161" s="27" t="n">
        <v>0.200332277220548</v>
      </c>
      <c r="AD161" s="27" t="n">
        <v>0.200066499592696</v>
      </c>
      <c r="AE161" s="28" t="n">
        <v>0.593983436</v>
      </c>
      <c r="AF161" s="23" t="n">
        <v>0.008</v>
      </c>
      <c r="AG161" s="29" t="n">
        <v>29.1717536232688</v>
      </c>
      <c r="AH161" s="27" t="n">
        <v>0.0745472101679626</v>
      </c>
      <c r="AI161" s="27" t="n">
        <f aca="false">VLOOKUP(B161,proft,2,0)</f>
        <v>27.0430101508925</v>
      </c>
      <c r="AJ161" s="27" t="n">
        <f aca="false">VLOOKUP(B161,proft,3,0)</f>
        <v>2.877836227417</v>
      </c>
      <c r="AK161" s="27" t="s">
        <v>163</v>
      </c>
      <c r="BA161" s="30" t="n">
        <v>26.38</v>
      </c>
      <c r="BB161" s="30" t="n">
        <v>1.864</v>
      </c>
      <c r="BC161" s="30" t="n">
        <v>0.01864</v>
      </c>
      <c r="BD161" s="31" t="n">
        <v>26.38</v>
      </c>
      <c r="BE161" s="31" t="n">
        <v>1.864</v>
      </c>
      <c r="BF161" s="31" t="n">
        <v>0.01864</v>
      </c>
      <c r="BG161" s="14" t="n">
        <f aca="false">10^6/((BA161+273.15)^2)</f>
        <v>11.1460079119781</v>
      </c>
      <c r="BH161" s="14" t="n">
        <f aca="false">BG161*(2*($BE161/($BD161+273.15)))</f>
        <v>0.138725060914948</v>
      </c>
      <c r="BI161" s="14" t="n">
        <f aca="false">BG161*(2*($BF161/($BD161+273.15)))</f>
        <v>0.00138725060914948</v>
      </c>
      <c r="BK161" s="14" t="n">
        <f aca="false">10^6/((AG161+273.15)^2)</f>
        <v>10.9411054533042</v>
      </c>
      <c r="BL161" s="14" t="n">
        <f aca="false">BK161*(2*($AH161/($AG161+273.15)))</f>
        <v>0.0053957671118413</v>
      </c>
      <c r="BM161" s="14" t="n">
        <f aca="false">10^6/((AI161+273.15)^2)</f>
        <v>11.0968278484478</v>
      </c>
      <c r="BN161" s="14" t="n">
        <f aca="false">BM161*(2*($AJ161/($AI161+273.15)))</f>
        <v>0.212762137103864</v>
      </c>
    </row>
    <row r="162" s="14" customFormat="true" ht="16" hidden="false" customHeight="false" outlineLevel="0" collapsed="false">
      <c r="A162" s="22" t="s">
        <v>67</v>
      </c>
      <c r="B162" s="14" t="s">
        <v>554</v>
      </c>
      <c r="C162" s="14" t="s">
        <v>438</v>
      </c>
      <c r="D162" s="23" t="s">
        <v>555</v>
      </c>
      <c r="E162" s="24" t="s">
        <v>553</v>
      </c>
      <c r="F162" s="22" t="n">
        <v>0.3</v>
      </c>
      <c r="G162" s="22" t="n">
        <v>158.8</v>
      </c>
      <c r="H162" s="22" t="s">
        <v>56</v>
      </c>
      <c r="I162" s="22" t="s">
        <v>57</v>
      </c>
      <c r="J162" s="22" t="n">
        <v>2367</v>
      </c>
      <c r="K162" s="25" t="s">
        <v>67</v>
      </c>
      <c r="L162" s="22" t="s">
        <v>68</v>
      </c>
      <c r="M162" s="22" t="s">
        <v>69</v>
      </c>
      <c r="N162" s="22" t="s">
        <v>70</v>
      </c>
      <c r="O162" s="22" t="s">
        <v>71</v>
      </c>
      <c r="P162" s="22" t="s">
        <v>71</v>
      </c>
      <c r="Q162" s="22" t="n">
        <v>5</v>
      </c>
      <c r="R162" s="25" t="s">
        <v>62</v>
      </c>
      <c r="S162" s="25" t="n">
        <v>35.0936363636364</v>
      </c>
      <c r="T162" s="22" t="n">
        <v>39</v>
      </c>
      <c r="U162" s="26" t="n">
        <v>2</v>
      </c>
      <c r="V162" s="27" t="n">
        <v>1.885</v>
      </c>
      <c r="W162" s="27" t="n">
        <v>0.0212132034355963</v>
      </c>
      <c r="X162" s="27" t="n">
        <v>0.0149999999999999</v>
      </c>
      <c r="Y162" s="27" t="n">
        <v>-1.88</v>
      </c>
      <c r="Z162" s="27" t="n">
        <v>0.0282842712474618</v>
      </c>
      <c r="AA162" s="27" t="n">
        <v>0.0199999999999999</v>
      </c>
      <c r="AB162" s="27" t="n">
        <v>0.278680373333333</v>
      </c>
      <c r="AC162" s="27" t="n">
        <v>0.200502126747365</v>
      </c>
      <c r="AD162" s="27" t="n">
        <v>0.200167515538208</v>
      </c>
      <c r="AE162" s="28" t="n">
        <v>0.606579303</v>
      </c>
      <c r="AF162" s="28" t="n">
        <v>0.00234910600000005</v>
      </c>
      <c r="AG162" s="29" t="n">
        <v>28.4809353568337</v>
      </c>
      <c r="AH162" s="27" t="n">
        <v>0.523423315129924</v>
      </c>
      <c r="AI162" s="27" t="n">
        <f aca="false">VLOOKUP(B162,proft,2,0)</f>
        <v>25.3238758796692</v>
      </c>
      <c r="AJ162" s="27" t="n">
        <f aca="false">VLOOKUP(B162,proft,3,0)</f>
        <v>4.0639705657959</v>
      </c>
      <c r="AK162" s="27" t="s">
        <v>72</v>
      </c>
      <c r="BA162" s="30" t="n">
        <v>26.0505</v>
      </c>
      <c r="BB162" s="30" t="n">
        <v>2.129</v>
      </c>
      <c r="BC162" s="30" t="n">
        <v>0.02129</v>
      </c>
      <c r="BD162" s="31" t="n">
        <v>26.0505</v>
      </c>
      <c r="BE162" s="31" t="n">
        <v>2.129</v>
      </c>
      <c r="BF162" s="31" t="n">
        <v>0.02129</v>
      </c>
      <c r="BG162" s="14" t="n">
        <f aca="false">10^6/((BA162+273.15)^2)</f>
        <v>11.1705709181971</v>
      </c>
      <c r="BH162" s="14" t="n">
        <f aca="false">BG162*(2*($BE162/($BD162+273.15)))</f>
        <v>0.158971295066964</v>
      </c>
      <c r="BI162" s="14" t="n">
        <f aca="false">BG162*(2*($BF162/($BD162+273.15)))</f>
        <v>0.00158971295066964</v>
      </c>
      <c r="BK162" s="14" t="n">
        <f aca="false">10^6/((AG162+273.15)^2)</f>
        <v>10.9912791585289</v>
      </c>
      <c r="BL162" s="14" t="n">
        <f aca="false">BK162*(2*($AH162/($AG162+273.15)))</f>
        <v>0.0381465632354297</v>
      </c>
      <c r="BM162" s="14" t="n">
        <f aca="false">10^6/((AI162+273.15)^2)</f>
        <v>11.2250258434887</v>
      </c>
      <c r="BN162" s="14" t="n">
        <f aca="false">BM162*(2*($AJ162/($AI162+273.15)))</f>
        <v>0.305676163408201</v>
      </c>
    </row>
    <row r="163" s="14" customFormat="true" ht="16" hidden="false" customHeight="false" outlineLevel="0" collapsed="false">
      <c r="A163" s="22" t="s">
        <v>100</v>
      </c>
      <c r="B163" s="36" t="s">
        <v>556</v>
      </c>
      <c r="C163" s="14" t="s">
        <v>557</v>
      </c>
      <c r="D163" s="36" t="s">
        <v>556</v>
      </c>
      <c r="E163" s="34" t="s">
        <v>558</v>
      </c>
      <c r="F163" s="22" t="n">
        <v>50.543</v>
      </c>
      <c r="G163" s="22" t="n">
        <v>-26.547</v>
      </c>
      <c r="H163" s="22" t="s">
        <v>78</v>
      </c>
      <c r="I163" s="22" t="s">
        <v>79</v>
      </c>
      <c r="J163" s="22" t="n">
        <v>3013</v>
      </c>
      <c r="K163" s="35" t="s">
        <v>100</v>
      </c>
      <c r="L163" s="22" t="s">
        <v>104</v>
      </c>
      <c r="M163" s="22" t="s">
        <v>105</v>
      </c>
      <c r="N163" s="22" t="s">
        <v>106</v>
      </c>
      <c r="O163" s="22" t="s">
        <v>71</v>
      </c>
      <c r="P163" s="22" t="s">
        <v>71</v>
      </c>
      <c r="Q163" s="22" t="n">
        <v>5</v>
      </c>
      <c r="R163" s="35" t="s">
        <v>83</v>
      </c>
      <c r="S163" s="25" t="n">
        <v>35.2833809523809</v>
      </c>
      <c r="T163" s="22" t="n">
        <v>31.2274146341463</v>
      </c>
      <c r="U163" s="36" t="n">
        <v>8</v>
      </c>
      <c r="V163" s="48" t="n">
        <v>-0.290851791375</v>
      </c>
      <c r="W163" s="48" t="n">
        <v>0.0447045983402884</v>
      </c>
      <c r="X163" s="48" t="n">
        <v>0.0158054623183194</v>
      </c>
      <c r="Y163" s="48" t="n">
        <v>1.45044730656865</v>
      </c>
      <c r="Z163" s="48" t="n">
        <v>0.0697042515936231</v>
      </c>
      <c r="AA163" s="48" t="n">
        <v>0.024644174489692</v>
      </c>
      <c r="AB163" s="27" t="n">
        <v>0.444262241428571</v>
      </c>
      <c r="AC163" s="27" t="n">
        <v>0.200304618430091</v>
      </c>
      <c r="AD163" s="27" t="n">
        <v>0.200043545318236</v>
      </c>
      <c r="AE163" s="61" t="n">
        <v>0.610443116588384</v>
      </c>
      <c r="AF163" s="61" t="n">
        <v>0.00518951874330828</v>
      </c>
      <c r="AG163" s="29" t="n">
        <v>11.8234142121814</v>
      </c>
      <c r="AH163" s="27" t="n">
        <v>0.477374522234881</v>
      </c>
      <c r="AI163" s="27" t="n">
        <f aca="false">VLOOKUP(B163,proft,2,0)</f>
        <v>10.1</v>
      </c>
      <c r="AJ163" s="27" t="n">
        <f aca="false">VLOOKUP(B163,proft,3,0)</f>
        <v>0.291</v>
      </c>
      <c r="AK163" s="27" t="s">
        <v>107</v>
      </c>
      <c r="AM163" s="14" t="n">
        <v>19</v>
      </c>
      <c r="BA163" s="30" t="n">
        <v>12.576</v>
      </c>
      <c r="BB163" s="30" t="n">
        <v>2.421</v>
      </c>
      <c r="BC163" s="30" t="n">
        <v>0.02421</v>
      </c>
      <c r="BD163" s="31" t="n">
        <v>13.1577</v>
      </c>
      <c r="BE163" s="31" t="n">
        <v>2.425</v>
      </c>
      <c r="BF163" s="31" t="n">
        <v>0.02425</v>
      </c>
      <c r="BG163" s="14" t="n">
        <f aca="false">10^6/((BA163+273.15)^2)</f>
        <v>12.2489955617734</v>
      </c>
      <c r="BH163" s="14" t="n">
        <f aca="false">BG163*(2*($BE163/($BD163+273.15)))</f>
        <v>0.207495741381042</v>
      </c>
      <c r="BI163" s="14" t="n">
        <f aca="false">BG163*(2*($BF163/($BD163+273.15)))</f>
        <v>0.00207495741381042</v>
      </c>
      <c r="BK163" s="14" t="n">
        <f aca="false">10^6/((AG163+273.15)^2)</f>
        <v>12.3137776920988</v>
      </c>
      <c r="BL163" s="14" t="n">
        <f aca="false">BK163*(2*($AH163/($AG163+273.15)))</f>
        <v>0.0412549623895471</v>
      </c>
      <c r="BM163" s="14" t="n">
        <f aca="false">10^6/((AI163+273.15)^2)</f>
        <v>12.4640781373058</v>
      </c>
      <c r="BN163" s="14" t="n">
        <f aca="false">BM163*(2*($AJ163/($AI163+273.15)))</f>
        <v>0.0256102152724166</v>
      </c>
    </row>
    <row r="164" s="14" customFormat="true" ht="16" hidden="false" customHeight="false" outlineLevel="0" collapsed="false">
      <c r="A164" s="22" t="s">
        <v>100</v>
      </c>
      <c r="B164" s="36" t="s">
        <v>559</v>
      </c>
      <c r="C164" s="14" t="s">
        <v>557</v>
      </c>
      <c r="D164" s="36" t="s">
        <v>559</v>
      </c>
      <c r="E164" s="34" t="s">
        <v>558</v>
      </c>
      <c r="F164" s="22" t="n">
        <v>50.543</v>
      </c>
      <c r="G164" s="22" t="n">
        <v>-26.547</v>
      </c>
      <c r="H164" s="22" t="s">
        <v>78</v>
      </c>
      <c r="I164" s="22" t="s">
        <v>79</v>
      </c>
      <c r="J164" s="22" t="n">
        <v>3013</v>
      </c>
      <c r="K164" s="35" t="s">
        <v>100</v>
      </c>
      <c r="L164" s="22" t="s">
        <v>104</v>
      </c>
      <c r="M164" s="22" t="s">
        <v>105</v>
      </c>
      <c r="N164" s="22" t="s">
        <v>106</v>
      </c>
      <c r="O164" s="22" t="s">
        <v>71</v>
      </c>
      <c r="P164" s="22" t="s">
        <v>71</v>
      </c>
      <c r="Q164" s="22" t="n">
        <v>5</v>
      </c>
      <c r="R164" s="35" t="s">
        <v>83</v>
      </c>
      <c r="S164" s="25" t="n">
        <v>35.2833809523809</v>
      </c>
      <c r="T164" s="22" t="n">
        <v>31.2274146341463</v>
      </c>
      <c r="U164" s="36" t="n">
        <v>9</v>
      </c>
      <c r="V164" s="48" t="n">
        <v>-0.275507647888889</v>
      </c>
      <c r="W164" s="48" t="n">
        <v>0.0519410345046697</v>
      </c>
      <c r="X164" s="48" t="n">
        <v>0.0173136781682232</v>
      </c>
      <c r="Y164" s="48" t="n">
        <v>1.45517126138047</v>
      </c>
      <c r="Z164" s="48" t="n">
        <v>0.049039592182224</v>
      </c>
      <c r="AA164" s="48" t="n">
        <v>0.016346530727408</v>
      </c>
      <c r="AB164" s="27" t="n">
        <v>0.444262241428571</v>
      </c>
      <c r="AC164" s="27" t="n">
        <v>0.200304618430091</v>
      </c>
      <c r="AD164" s="27" t="n">
        <v>0.200043545318236</v>
      </c>
      <c r="AE164" s="61" t="n">
        <v>0.625583897844408</v>
      </c>
      <c r="AF164" s="61" t="n">
        <v>0.00434308780429272</v>
      </c>
      <c r="AG164" s="29" t="n">
        <v>11.8234142121814</v>
      </c>
      <c r="AH164" s="27" t="n">
        <v>0.477374522234881</v>
      </c>
      <c r="AI164" s="27" t="n">
        <f aca="false">VLOOKUP(B164,proft,2,0)</f>
        <v>10.1</v>
      </c>
      <c r="AJ164" s="27" t="n">
        <f aca="false">VLOOKUP(B164,proft,3,0)</f>
        <v>0.291</v>
      </c>
      <c r="AK164" s="27" t="s">
        <v>107</v>
      </c>
      <c r="BA164" s="30" t="n">
        <v>12.548</v>
      </c>
      <c r="BB164" s="30" t="n">
        <v>2.376</v>
      </c>
      <c r="BC164" s="30" t="n">
        <v>0.02414</v>
      </c>
      <c r="BD164" s="31" t="n">
        <v>13.6279</v>
      </c>
      <c r="BE164" s="31" t="n">
        <v>2.387</v>
      </c>
      <c r="BF164" s="31" t="n">
        <v>0.02387</v>
      </c>
      <c r="BG164" s="14" t="n">
        <f aca="false">10^6/((BA164+273.15)^2)</f>
        <v>12.2513966194098</v>
      </c>
      <c r="BH164" s="14" t="n">
        <f aca="false">BG164*(2*($BE164/($BD164+273.15)))</f>
        <v>0.203949354050861</v>
      </c>
      <c r="BI164" s="14" t="n">
        <f aca="false">BG164*(2*($BF164/($BD164+273.15)))</f>
        <v>0.00203949354050861</v>
      </c>
      <c r="BK164" s="14" t="n">
        <f aca="false">10^6/((AG164+273.15)^2)</f>
        <v>12.3137776920988</v>
      </c>
      <c r="BL164" s="14" t="n">
        <f aca="false">BK164*(2*($AH164/($AG164+273.15)))</f>
        <v>0.0412549623895471</v>
      </c>
      <c r="BM164" s="14" t="n">
        <f aca="false">10^6/((AI164+273.15)^2)</f>
        <v>12.4640781373058</v>
      </c>
      <c r="BN164" s="14" t="n">
        <f aca="false">BM164*(2*($AJ164/($AI164+273.15)))</f>
        <v>0.0256102152724166</v>
      </c>
    </row>
    <row r="165" s="14" customFormat="true" ht="16" hidden="false" customHeight="false" outlineLevel="0" collapsed="false">
      <c r="A165" s="22" t="s">
        <v>100</v>
      </c>
      <c r="B165" s="36" t="s">
        <v>560</v>
      </c>
      <c r="C165" s="14" t="s">
        <v>557</v>
      </c>
      <c r="D165" s="36" t="s">
        <v>560</v>
      </c>
      <c r="E165" s="34" t="s">
        <v>561</v>
      </c>
      <c r="F165" s="22" t="n">
        <v>58.5</v>
      </c>
      <c r="G165" s="22" t="n">
        <v>-20.493</v>
      </c>
      <c r="H165" s="22" t="s">
        <v>78</v>
      </c>
      <c r="I165" s="22" t="s">
        <v>79</v>
      </c>
      <c r="J165" s="22" t="n">
        <v>2911</v>
      </c>
      <c r="K165" s="35" t="s">
        <v>100</v>
      </c>
      <c r="L165" s="22" t="s">
        <v>104</v>
      </c>
      <c r="M165" s="22" t="s">
        <v>105</v>
      </c>
      <c r="N165" s="22" t="s">
        <v>106</v>
      </c>
      <c r="O165" s="22" t="s">
        <v>71</v>
      </c>
      <c r="P165" s="22" t="s">
        <v>71</v>
      </c>
      <c r="Q165" s="22" t="n">
        <v>5</v>
      </c>
      <c r="R165" s="35" t="s">
        <v>83</v>
      </c>
      <c r="S165" s="25" t="n">
        <v>35.1764285714286</v>
      </c>
      <c r="T165" s="22" t="n">
        <v>30.7898472906404</v>
      </c>
      <c r="U165" s="36" t="n">
        <v>9</v>
      </c>
      <c r="V165" s="48" t="n">
        <v>0.0983390237777778</v>
      </c>
      <c r="W165" s="48" t="n">
        <v>0.037591767527287</v>
      </c>
      <c r="X165" s="48" t="n">
        <v>0.0125305891757623</v>
      </c>
      <c r="Y165" s="48" t="n">
        <v>1.94289710274607</v>
      </c>
      <c r="Z165" s="48" t="n">
        <v>0.0745491897834687</v>
      </c>
      <c r="AA165" s="48" t="n">
        <v>0.0248497299278229</v>
      </c>
      <c r="AB165" s="27" t="n">
        <v>0.4012357</v>
      </c>
      <c r="AC165" s="27" t="n">
        <v>0.200090799075673</v>
      </c>
      <c r="AD165" s="27" t="n">
        <v>0.200012973820179</v>
      </c>
      <c r="AE165" s="61" t="n">
        <v>0.617279677668507</v>
      </c>
      <c r="AF165" s="61" t="n">
        <v>0.00694982135136565</v>
      </c>
      <c r="AG165" s="29" t="n">
        <v>9.75970159258161</v>
      </c>
      <c r="AH165" s="27" t="n">
        <v>0.353237550320552</v>
      </c>
      <c r="AI165" s="27" t="n">
        <f aca="false">VLOOKUP(B165,proft,2,0)</f>
        <v>7.7</v>
      </c>
      <c r="AJ165" s="27" t="n">
        <f aca="false">VLOOKUP(B165,proft,3,0)</f>
        <v>0.239</v>
      </c>
      <c r="AK165" s="27" t="s">
        <v>107</v>
      </c>
      <c r="BA165" s="30" t="n">
        <v>10.552</v>
      </c>
      <c r="BB165" s="30" t="n">
        <v>2.415</v>
      </c>
      <c r="BC165" s="30" t="n">
        <v>0.02415</v>
      </c>
      <c r="BD165" s="31" t="n">
        <v>11.5814</v>
      </c>
      <c r="BE165" s="31" t="n">
        <v>2.408</v>
      </c>
      <c r="BF165" s="31" t="n">
        <v>0.02408</v>
      </c>
      <c r="BG165" s="14" t="n">
        <f aca="false">10^6/((BA165+273.15)^2)</f>
        <v>12.4243937120787</v>
      </c>
      <c r="BH165" s="14" t="n">
        <f aca="false">BG165*(2*($BE165/($BD165+273.15)))</f>
        <v>0.21014851230799</v>
      </c>
      <c r="BI165" s="14" t="n">
        <f aca="false">BG165*(2*($BF165/($BD165+273.15)))</f>
        <v>0.0021014851230799</v>
      </c>
      <c r="BK165" s="14" t="n">
        <f aca="false">10^6/((AG165+273.15)^2)</f>
        <v>12.4940810454241</v>
      </c>
      <c r="BL165" s="14" t="n">
        <f aca="false">BK165*(2*($AH165/($AG165+273.15)))</f>
        <v>0.0311999097743756</v>
      </c>
      <c r="BM165" s="14" t="n">
        <f aca="false">10^6/((AI165+273.15)^2)</f>
        <v>12.6780115641849</v>
      </c>
      <c r="BN165" s="14" t="n">
        <f aca="false">BM165*(2*($AJ165/($AI165+273.15)))</f>
        <v>0.0215776732336848</v>
      </c>
    </row>
    <row r="166" s="14" customFormat="true" ht="16" hidden="false" customHeight="false" outlineLevel="0" collapsed="false">
      <c r="A166" s="22" t="s">
        <v>67</v>
      </c>
      <c r="B166" s="36" t="s">
        <v>562</v>
      </c>
      <c r="C166" s="14" t="s">
        <v>557</v>
      </c>
      <c r="D166" s="36" t="s">
        <v>562</v>
      </c>
      <c r="E166" s="34" t="s">
        <v>563</v>
      </c>
      <c r="F166" s="22" t="n">
        <v>7.05</v>
      </c>
      <c r="G166" s="22" t="n">
        <v>76.717</v>
      </c>
      <c r="H166" s="22" t="s">
        <v>125</v>
      </c>
      <c r="I166" s="22" t="s">
        <v>121</v>
      </c>
      <c r="J166" s="22" t="n">
        <v>1254</v>
      </c>
      <c r="K166" s="35" t="s">
        <v>67</v>
      </c>
      <c r="L166" s="22" t="s">
        <v>68</v>
      </c>
      <c r="M166" s="22" t="s">
        <v>69</v>
      </c>
      <c r="N166" s="22" t="s">
        <v>70</v>
      </c>
      <c r="O166" s="22" t="s">
        <v>71</v>
      </c>
      <c r="P166" s="22" t="s">
        <v>71</v>
      </c>
      <c r="Q166" s="22" t="n">
        <v>5</v>
      </c>
      <c r="R166" s="35" t="s">
        <v>62</v>
      </c>
      <c r="S166" s="25" t="n">
        <v>35.1563636363636</v>
      </c>
      <c r="T166" s="22" t="n">
        <v>17.2642113402062</v>
      </c>
      <c r="U166" s="36" t="n">
        <v>7</v>
      </c>
      <c r="V166" s="48" t="n">
        <v>2.04837261605144</v>
      </c>
      <c r="W166" s="48" t="n">
        <v>0.0925967810999411</v>
      </c>
      <c r="X166" s="48" t="n">
        <v>0.03499829357079</v>
      </c>
      <c r="Y166" s="48" t="n">
        <v>-2.38886165261463</v>
      </c>
      <c r="Z166" s="48" t="n">
        <v>0.139566045105101</v>
      </c>
      <c r="AA166" s="48" t="n">
        <v>0.0527510066881316</v>
      </c>
      <c r="AB166" s="27" t="n">
        <v>0.322949073333333</v>
      </c>
      <c r="AC166" s="27" t="n">
        <v>0.220842127318879</v>
      </c>
      <c r="AD166" s="27" t="n">
        <v>0.207180473017068</v>
      </c>
      <c r="AE166" s="61" t="n">
        <v>0.586722213367206</v>
      </c>
      <c r="AF166" s="61" t="n">
        <v>0.00739933614211607</v>
      </c>
      <c r="AG166" s="29" t="n">
        <v>24.5091653303667</v>
      </c>
      <c r="AH166" s="27" t="n">
        <v>1.81517952448127</v>
      </c>
      <c r="AI166" s="27" t="n">
        <f aca="false">VLOOKUP(B166,proft,2,0)</f>
        <v>28.4</v>
      </c>
      <c r="AJ166" s="27" t="n">
        <f aca="false">VLOOKUP(B166,proft,3,0)</f>
        <v>0.454</v>
      </c>
      <c r="AK166" s="27" t="s">
        <v>72</v>
      </c>
      <c r="AL166" s="62"/>
      <c r="BA166" s="30" t="n">
        <v>28.73</v>
      </c>
      <c r="BB166" s="30" t="n">
        <v>2.133</v>
      </c>
      <c r="BC166" s="30" t="n">
        <v>0.02133</v>
      </c>
      <c r="BD166" s="31" t="n">
        <v>28.7048</v>
      </c>
      <c r="BE166" s="31" t="n">
        <v>2.109</v>
      </c>
      <c r="BF166" s="31" t="n">
        <v>0.02109</v>
      </c>
      <c r="BG166" s="14" t="n">
        <f aca="false">10^6/((BA166+273.15)^2)</f>
        <v>10.9731500361965</v>
      </c>
      <c r="BH166" s="14" t="n">
        <f aca="false">BG166*(2*($BE166/($BD166+273.15)))</f>
        <v>0.153334473570328</v>
      </c>
      <c r="BI166" s="14" t="n">
        <f aca="false">BG166*(2*($BF166/($BD166+273.15)))</f>
        <v>0.00153334473570328</v>
      </c>
      <c r="BK166" s="14" t="n">
        <f aca="false">10^6/((AG166+273.15)^2)</f>
        <v>11.2865570404996</v>
      </c>
      <c r="BL166" s="14" t="n">
        <f aca="false">BK166*(2*($AH166/($AG166+273.15)))</f>
        <v>0.13765493979711</v>
      </c>
      <c r="BM166" s="14" t="n">
        <f aca="false">10^6/((AI166+273.15)^2)</f>
        <v>10.9971800206203</v>
      </c>
      <c r="BN166" s="14" t="n">
        <f aca="false">BM166*(2*($AJ166/($AI166+273.15)))</f>
        <v>0.0331137106905097</v>
      </c>
    </row>
    <row r="167" s="14" customFormat="true" ht="16" hidden="false" customHeight="false" outlineLevel="0" collapsed="false">
      <c r="A167" s="22" t="s">
        <v>67</v>
      </c>
      <c r="B167" s="36" t="s">
        <v>564</v>
      </c>
      <c r="C167" s="14" t="s">
        <v>557</v>
      </c>
      <c r="D167" s="36" t="s">
        <v>564</v>
      </c>
      <c r="E167" s="34" t="s">
        <v>565</v>
      </c>
      <c r="F167" s="22" t="n">
        <v>37.8485</v>
      </c>
      <c r="G167" s="22" t="n">
        <v>-10.15266</v>
      </c>
      <c r="H167" s="22" t="s">
        <v>78</v>
      </c>
      <c r="I167" s="22" t="s">
        <v>566</v>
      </c>
      <c r="J167" s="22" t="n">
        <v>3100</v>
      </c>
      <c r="K167" s="35" t="s">
        <v>67</v>
      </c>
      <c r="L167" s="22" t="s">
        <v>68</v>
      </c>
      <c r="M167" s="22" t="s">
        <v>69</v>
      </c>
      <c r="N167" s="22" t="s">
        <v>162</v>
      </c>
      <c r="O167" s="22" t="s">
        <v>71</v>
      </c>
      <c r="P167" s="22" t="s">
        <v>71</v>
      </c>
      <c r="Q167" s="22" t="n">
        <v>5</v>
      </c>
      <c r="R167" s="35" t="s">
        <v>62</v>
      </c>
      <c r="S167" s="25" t="n">
        <v>36.2113636363636</v>
      </c>
      <c r="T167" s="22" t="n">
        <v>29.5896055045872</v>
      </c>
      <c r="U167" s="36" t="n">
        <v>7</v>
      </c>
      <c r="V167" s="48" t="n">
        <v>1.93485182471429</v>
      </c>
      <c r="W167" s="48" t="n">
        <v>0.0360201892563037</v>
      </c>
      <c r="X167" s="48" t="n">
        <v>0.0136143518499514</v>
      </c>
      <c r="Y167" s="48" t="n">
        <v>-0.0858061918045085</v>
      </c>
      <c r="Z167" s="48" t="n">
        <v>0.0353004768680484</v>
      </c>
      <c r="AA167" s="48" t="n">
        <v>0.0133423261364063</v>
      </c>
      <c r="AB167" s="27" t="n">
        <v>0.933227004</v>
      </c>
      <c r="AC167" s="27" t="n">
        <v>0.200406157103111</v>
      </c>
      <c r="AD167" s="27" t="n">
        <v>0.200081297379259</v>
      </c>
      <c r="AE167" s="61" t="n">
        <v>0.610487805563667</v>
      </c>
      <c r="AF167" s="61" t="n">
        <v>0.00658670985004683</v>
      </c>
      <c r="AG167" s="29" t="n">
        <v>17.4650920521129</v>
      </c>
      <c r="AH167" s="27" t="n">
        <v>0.400634457602914</v>
      </c>
      <c r="AI167" s="27" t="n">
        <f aca="false">VLOOKUP(B167,proft,2,0)</f>
        <v>16.9</v>
      </c>
      <c r="AJ167" s="27" t="n">
        <f aca="false">VLOOKUP(B167,proft,3,0)</f>
        <v>0.0768061131238937</v>
      </c>
      <c r="AK167" s="27" t="s">
        <v>72</v>
      </c>
      <c r="BA167" s="30" t="n">
        <v>20.395</v>
      </c>
      <c r="BB167" s="30" t="n">
        <v>2.117</v>
      </c>
      <c r="BC167" s="30" t="n">
        <v>0.02117</v>
      </c>
      <c r="BD167" s="31" t="n">
        <v>21.7044</v>
      </c>
      <c r="BE167" s="31" t="n">
        <v>2.108</v>
      </c>
      <c r="BF167" s="31" t="n">
        <v>0.02108</v>
      </c>
      <c r="BG167" s="14" t="n">
        <f aca="false">10^6/((BA167+273.15)^2)</f>
        <v>11.6051464473725</v>
      </c>
      <c r="BH167" s="14" t="n">
        <f aca="false">BG167*(2*($BE167/($BD167+273.15)))</f>
        <v>0.165937145323666</v>
      </c>
      <c r="BI167" s="14" t="n">
        <f aca="false">BG167*(2*($BF167/($BD167+273.15)))</f>
        <v>0.00165937145323666</v>
      </c>
      <c r="BK167" s="14" t="n">
        <f aca="false">10^6/((AG167+273.15)^2)</f>
        <v>11.8403263233607</v>
      </c>
      <c r="BL167" s="14" t="n">
        <f aca="false">BK167*(2*($AH167/($AG167+273.15)))</f>
        <v>0.0326455359279859</v>
      </c>
      <c r="BM167" s="14" t="n">
        <f aca="false">10^6/((AI167+273.15)^2)</f>
        <v>11.886507271972</v>
      </c>
      <c r="BN167" s="14" t="n">
        <f aca="false">BM167*(2*($AJ167/($AI167+273.15)))</f>
        <v>0.00629516581402563</v>
      </c>
    </row>
    <row r="168" s="14" customFormat="true" ht="16" hidden="false" customHeight="false" outlineLevel="0" collapsed="false">
      <c r="A168" s="22" t="s">
        <v>67</v>
      </c>
      <c r="B168" s="36" t="s">
        <v>567</v>
      </c>
      <c r="C168" s="14" t="s">
        <v>557</v>
      </c>
      <c r="D168" s="36" t="s">
        <v>567</v>
      </c>
      <c r="E168" s="34" t="s">
        <v>568</v>
      </c>
      <c r="F168" s="22" t="n">
        <v>37.117</v>
      </c>
      <c r="G168" s="22" t="n">
        <v>-30.033</v>
      </c>
      <c r="H168" s="22" t="s">
        <v>78</v>
      </c>
      <c r="I168" s="22" t="s">
        <v>566</v>
      </c>
      <c r="J168" s="22" t="n">
        <v>2610</v>
      </c>
      <c r="K168" s="35" t="s">
        <v>67</v>
      </c>
      <c r="L168" s="22" t="s">
        <v>68</v>
      </c>
      <c r="M168" s="22" t="s">
        <v>69</v>
      </c>
      <c r="N168" s="22" t="s">
        <v>162</v>
      </c>
      <c r="O168" s="22" t="s">
        <v>71</v>
      </c>
      <c r="P168" s="22" t="s">
        <v>71</v>
      </c>
      <c r="Q168" s="22" t="n">
        <v>5</v>
      </c>
      <c r="R168" s="35" t="s">
        <v>62</v>
      </c>
      <c r="S168" s="25" t="n">
        <v>36.1174545454545</v>
      </c>
      <c r="T168" s="22" t="n">
        <v>38.5651646586345</v>
      </c>
      <c r="U168" s="36" t="n">
        <v>11</v>
      </c>
      <c r="V168" s="48" t="n">
        <v>1.69337890063636</v>
      </c>
      <c r="W168" s="48" t="n">
        <v>0.0335148623923681</v>
      </c>
      <c r="X168" s="48" t="n">
        <v>0.0101051112232616</v>
      </c>
      <c r="Y168" s="48" t="n">
        <v>-0.0906748154992724</v>
      </c>
      <c r="Z168" s="48" t="n">
        <v>0.0421069540306374</v>
      </c>
      <c r="AA168" s="48" t="n">
        <v>0.0126957243258516</v>
      </c>
      <c r="AB168" s="27" t="n">
        <v>0.96715566</v>
      </c>
      <c r="AC168" s="27" t="n">
        <v>0.200253029920932</v>
      </c>
      <c r="AD168" s="27" t="n">
        <v>0.200050631587363</v>
      </c>
      <c r="AE168" s="61" t="n">
        <v>0.599157521130884</v>
      </c>
      <c r="AF168" s="61" t="n">
        <v>0.0143220361789734</v>
      </c>
      <c r="AG168" s="29" t="n">
        <v>19.1954513896595</v>
      </c>
      <c r="AH168" s="27" t="n">
        <v>0.613969898510832</v>
      </c>
      <c r="AI168" s="27" t="n">
        <f aca="false">VLOOKUP(B168,proft,2,0)</f>
        <v>19.8</v>
      </c>
      <c r="AJ168" s="27" t="n">
        <f aca="false">VLOOKUP(B168,proft,3,0)</f>
        <v>0.633</v>
      </c>
      <c r="AK168" s="27" t="s">
        <v>72</v>
      </c>
      <c r="BA168" s="30" t="n">
        <v>20.629</v>
      </c>
      <c r="BB168" s="30" t="n">
        <v>2.127</v>
      </c>
      <c r="BC168" s="30" t="n">
        <v>0.02163</v>
      </c>
      <c r="BD168" s="31" t="n">
        <v>21.9061</v>
      </c>
      <c r="BE168" s="31" t="n">
        <v>2.114</v>
      </c>
      <c r="BF168" s="31" t="n">
        <v>0.02114</v>
      </c>
      <c r="BG168" s="14" t="n">
        <f aca="false">10^6/((BA168+273.15)^2)</f>
        <v>11.5866664147217</v>
      </c>
      <c r="BH168" s="14" t="n">
        <f aca="false">BG168*(2*($BE168/($BD168+273.15)))</f>
        <v>0.166030885656807</v>
      </c>
      <c r="BI168" s="14" t="n">
        <f aca="false">BG168*(2*($BF168/($BD168+273.15)))</f>
        <v>0.00166030885656807</v>
      </c>
      <c r="BK168" s="14" t="n">
        <f aca="false">10^6/((AG168+273.15)^2)</f>
        <v>11.7005780495753</v>
      </c>
      <c r="BL168" s="14" t="n">
        <f aca="false">BK168*(2*($AH168/($AG168+273.15)))</f>
        <v>0.0491459859113096</v>
      </c>
      <c r="BM168" s="14" t="n">
        <f aca="false">10^6/((AI168+273.15)^2)</f>
        <v>11.6523358957111</v>
      </c>
      <c r="BN168" s="14" t="n">
        <f aca="false">BM168*(2*($AJ168/($AI168+273.15)))</f>
        <v>0.0503562288580655</v>
      </c>
    </row>
    <row r="169" s="14" customFormat="true" ht="16" hidden="false" customHeight="false" outlineLevel="0" collapsed="false">
      <c r="A169" s="22" t="s">
        <v>74</v>
      </c>
      <c r="B169" s="36" t="s">
        <v>569</v>
      </c>
      <c r="C169" s="14" t="s">
        <v>557</v>
      </c>
      <c r="D169" s="36" t="s">
        <v>569</v>
      </c>
      <c r="E169" s="34" t="s">
        <v>570</v>
      </c>
      <c r="F169" s="22" t="n">
        <v>85.295</v>
      </c>
      <c r="G169" s="22" t="n">
        <v>-14.892</v>
      </c>
      <c r="H169" s="22" t="s">
        <v>571</v>
      </c>
      <c r="I169" s="22" t="s">
        <v>572</v>
      </c>
      <c r="J169" s="22" t="n">
        <v>1016</v>
      </c>
      <c r="K169" s="35" t="s">
        <v>74</v>
      </c>
      <c r="L169" s="22" t="s">
        <v>80</v>
      </c>
      <c r="M169" s="22" t="s">
        <v>81</v>
      </c>
      <c r="N169" s="22" t="s">
        <v>82</v>
      </c>
      <c r="O169" s="22" t="s">
        <v>71</v>
      </c>
      <c r="P169" s="22" t="s">
        <v>71</v>
      </c>
      <c r="Q169" s="22" t="n">
        <v>5</v>
      </c>
      <c r="R169" s="35" t="s">
        <v>83</v>
      </c>
      <c r="S169" s="25" t="n">
        <v>33.08288</v>
      </c>
      <c r="T169" s="22" t="n">
        <v>44.9384662162162</v>
      </c>
      <c r="U169" s="36" t="n">
        <v>12</v>
      </c>
      <c r="V169" s="48" t="n">
        <v>1.01486555483333</v>
      </c>
      <c r="W169" s="48" t="n">
        <v>0.0307434146569956</v>
      </c>
      <c r="X169" s="48" t="n">
        <v>0.00887485936401234</v>
      </c>
      <c r="Y169" s="48" t="n">
        <v>2.50382995440989</v>
      </c>
      <c r="Z169" s="48" t="n">
        <v>0.0750075789827962</v>
      </c>
      <c r="AA169" s="48" t="n">
        <v>0.0216528229584897</v>
      </c>
      <c r="AB169" s="27" t="n">
        <v>-1.1492224117</v>
      </c>
      <c r="AC169" s="27" t="n">
        <v>0.916595842476907</v>
      </c>
      <c r="AD169" s="27" t="n">
        <v>0.346431513931102</v>
      </c>
      <c r="AE169" s="61" t="n">
        <v>0.669881013537881</v>
      </c>
      <c r="AF169" s="61" t="n">
        <v>0.00742462558074985</v>
      </c>
      <c r="AG169" s="29" t="n">
        <v>-1.51457794070244</v>
      </c>
      <c r="AH169" s="27" t="n">
        <v>0.382948623698388</v>
      </c>
      <c r="AI169" s="27" t="n">
        <f aca="false">VLOOKUP(B169,proft,2,0)</f>
        <v>-1.7</v>
      </c>
      <c r="AJ169" s="27" t="n">
        <f aca="false">VLOOKUP(B169,proft,3,0)</f>
        <v>0.045</v>
      </c>
      <c r="AK169" s="27" t="s">
        <v>84</v>
      </c>
      <c r="BA169" s="30" t="n">
        <v>2.2126</v>
      </c>
      <c r="BB169" s="30" t="n">
        <v>2.134</v>
      </c>
      <c r="BC169" s="30" t="n">
        <v>0.02134</v>
      </c>
      <c r="BD169" s="31" t="n">
        <v>3.4292</v>
      </c>
      <c r="BE169" s="31" t="n">
        <v>2.143</v>
      </c>
      <c r="BF169" s="31" t="n">
        <v>0.02201</v>
      </c>
      <c r="BG169" s="14" t="n">
        <f aca="false">10^6/((BA169+273.15)^2)</f>
        <v>13.1883387189799</v>
      </c>
      <c r="BH169" s="14" t="n">
        <f aca="false">BG169*(2*($BE169/($BD169+273.15)))</f>
        <v>0.204372634491486</v>
      </c>
      <c r="BI169" s="14" t="n">
        <f aca="false">BG169*(2*($BF169/($BD169+273.15)))</f>
        <v>0.00209903951710575</v>
      </c>
      <c r="BK169" s="14" t="n">
        <f aca="false">10^6/((AG169+273.15)^2)</f>
        <v>13.5527427483776</v>
      </c>
      <c r="BL169" s="14" t="n">
        <f aca="false">BK169*(2*($AH169/($AG169+273.15)))</f>
        <v>0.0382130146612214</v>
      </c>
      <c r="BM169" s="14" t="n">
        <f aca="false">10^6/((AI169+273.15)^2)</f>
        <v>13.5712642864275</v>
      </c>
      <c r="BN169" s="14" t="n">
        <f aca="false">BM169*(2*($AJ169/($AI169+273.15)))</f>
        <v>0.00449959029573946</v>
      </c>
    </row>
    <row r="170" s="14" customFormat="true" ht="16" hidden="false" customHeight="false" outlineLevel="0" collapsed="false">
      <c r="A170" s="22" t="s">
        <v>74</v>
      </c>
      <c r="B170" s="36" t="s">
        <v>573</v>
      </c>
      <c r="C170" s="14" t="s">
        <v>557</v>
      </c>
      <c r="D170" s="36" t="s">
        <v>573</v>
      </c>
      <c r="E170" s="34" t="s">
        <v>574</v>
      </c>
      <c r="F170" s="22" t="n">
        <v>53.1961667</v>
      </c>
      <c r="G170" s="22" t="n">
        <v>149.58</v>
      </c>
      <c r="H170" s="22" t="s">
        <v>56</v>
      </c>
      <c r="I170" s="22" t="s">
        <v>575</v>
      </c>
      <c r="J170" s="22" t="n">
        <v>123</v>
      </c>
      <c r="K170" s="35" t="s">
        <v>74</v>
      </c>
      <c r="L170" s="22" t="s">
        <v>80</v>
      </c>
      <c r="M170" s="22" t="s">
        <v>81</v>
      </c>
      <c r="N170" s="22" t="s">
        <v>82</v>
      </c>
      <c r="O170" s="22" t="s">
        <v>71</v>
      </c>
      <c r="P170" s="22" t="s">
        <v>71</v>
      </c>
      <c r="Q170" s="22" t="n">
        <v>5</v>
      </c>
      <c r="R170" s="35" t="s">
        <v>83</v>
      </c>
      <c r="S170" s="25" t="n">
        <v>32.99628</v>
      </c>
      <c r="T170" s="22" t="n">
        <v>23.5315098039216</v>
      </c>
      <c r="U170" s="36" t="n">
        <v>7</v>
      </c>
      <c r="V170" s="48" t="n">
        <v>0.686892683285714</v>
      </c>
      <c r="W170" s="48" t="n">
        <v>0.0253197785145731</v>
      </c>
      <c r="X170" s="48" t="n">
        <v>0.00956997674297096</v>
      </c>
      <c r="Y170" s="48" t="n">
        <v>3.26665310099554</v>
      </c>
      <c r="Z170" s="48" t="n">
        <v>0.0394009205807722</v>
      </c>
      <c r="AA170" s="48" t="n">
        <v>0.01489214818339</v>
      </c>
      <c r="AB170" s="27" t="n">
        <v>-0.713381063</v>
      </c>
      <c r="AC170" s="27" t="n">
        <v>0.236278180843748</v>
      </c>
      <c r="AD170" s="27" t="n">
        <v>0.203918458885612</v>
      </c>
      <c r="AE170" s="61" t="n">
        <v>0.657615668532537</v>
      </c>
      <c r="AF170" s="61" t="n">
        <v>0.0107848058460664</v>
      </c>
      <c r="AG170" s="29" t="n">
        <v>1.85196682529524</v>
      </c>
      <c r="AH170" s="27" t="n">
        <v>2.77530859538754</v>
      </c>
      <c r="AI170" s="27" t="n">
        <f aca="false">VLOOKUP(B170,proft,2,0)</f>
        <v>2.4</v>
      </c>
      <c r="AJ170" s="27" t="n">
        <f aca="false">VLOOKUP(B170,proft,3,0)</f>
        <v>0.0329983495175839</v>
      </c>
      <c r="AK170" s="27" t="s">
        <v>84</v>
      </c>
      <c r="BA170" s="30" t="n">
        <v>0.8496</v>
      </c>
      <c r="BB170" s="30" t="n">
        <v>2.165</v>
      </c>
      <c r="BC170" s="30" t="n">
        <v>0.02165</v>
      </c>
      <c r="BD170" s="31" t="n">
        <v>1.9719</v>
      </c>
      <c r="BE170" s="31" t="n">
        <v>2.154</v>
      </c>
      <c r="BF170" s="31" t="n">
        <v>0.02162</v>
      </c>
      <c r="BG170" s="14" t="n">
        <f aca="false">10^6/((BA170+273.15)^2)</f>
        <v>13.3198747897387</v>
      </c>
      <c r="BH170" s="14" t="n">
        <f aca="false">BG170*(2*($BE170/($BD170+273.15)))</f>
        <v>0.208569439925336</v>
      </c>
      <c r="BI170" s="14" t="n">
        <f aca="false">BG170*(2*($BF170/($BD170+273.15)))</f>
        <v>0.0020934407108569</v>
      </c>
      <c r="BK170" s="14" t="n">
        <f aca="false">10^6/((AG170+273.15)^2)</f>
        <v>13.2229513516627</v>
      </c>
      <c r="BL170" s="14" t="n">
        <f aca="false">BK170*(2*($AH170/($AG170+273.15)))</f>
        <v>0.266890967845145</v>
      </c>
      <c r="BM170" s="14" t="n">
        <f aca="false">10^6/((AI170+273.15)^2)</f>
        <v>13.1704061894851</v>
      </c>
      <c r="BN170" s="14" t="n">
        <f aca="false">BM170*(2*($AJ170/($AI170+273.15)))</f>
        <v>0.00315443053332737</v>
      </c>
    </row>
    <row r="171" s="14" customFormat="true" ht="16" hidden="false" customHeight="false" outlineLevel="0" collapsed="false">
      <c r="A171" s="22" t="s">
        <v>93</v>
      </c>
      <c r="B171" s="36" t="s">
        <v>576</v>
      </c>
      <c r="C171" s="14" t="s">
        <v>557</v>
      </c>
      <c r="D171" s="36" t="s">
        <v>576</v>
      </c>
      <c r="E171" s="34" t="s">
        <v>577</v>
      </c>
      <c r="F171" s="22" t="n">
        <v>46.213</v>
      </c>
      <c r="G171" s="22" t="n">
        <v>-23.715</v>
      </c>
      <c r="H171" s="22" t="s">
        <v>78</v>
      </c>
      <c r="I171" s="22" t="s">
        <v>79</v>
      </c>
      <c r="J171" s="22" t="n">
        <v>3393</v>
      </c>
      <c r="K171" s="35" t="s">
        <v>93</v>
      </c>
      <c r="L171" s="22" t="s">
        <v>96</v>
      </c>
      <c r="M171" s="22" t="s">
        <v>97</v>
      </c>
      <c r="N171" s="22" t="s">
        <v>98</v>
      </c>
      <c r="O171" s="22" t="s">
        <v>92</v>
      </c>
      <c r="P171" s="22" t="s">
        <v>92</v>
      </c>
      <c r="Q171" s="22" t="n">
        <v>4</v>
      </c>
      <c r="R171" s="35" t="s">
        <v>62</v>
      </c>
      <c r="S171" s="25" t="n">
        <v>35.6415675675676</v>
      </c>
      <c r="T171" s="22" t="n">
        <v>27.5362424242424</v>
      </c>
      <c r="U171" s="36" t="n">
        <v>10</v>
      </c>
      <c r="V171" s="48" t="n">
        <v>0.6309016679</v>
      </c>
      <c r="W171" s="48" t="n">
        <v>0.0561225380240003</v>
      </c>
      <c r="X171" s="48" t="n">
        <v>0.0177475048225247</v>
      </c>
      <c r="Y171" s="48" t="n">
        <v>1.30714661998081</v>
      </c>
      <c r="Z171" s="48" t="n">
        <v>0.0627635191525012</v>
      </c>
      <c r="AA171" s="48" t="n">
        <v>0.0198475674489505</v>
      </c>
      <c r="AB171" s="27" t="n">
        <v>0.701636974285715</v>
      </c>
      <c r="AC171" s="27" t="n">
        <v>0.214897012744409</v>
      </c>
      <c r="AD171" s="27" t="n">
        <v>0.201100672387608</v>
      </c>
      <c r="AE171" s="61" t="n">
        <v>0.634607241000528</v>
      </c>
      <c r="AF171" s="61" t="n">
        <v>0.00783813414032407</v>
      </c>
      <c r="AG171" s="29" t="n">
        <v>14.4466262250333</v>
      </c>
      <c r="AH171" s="27" t="n">
        <v>1.88807623564032</v>
      </c>
      <c r="AI171" s="27" t="n">
        <f aca="false">VLOOKUP(B171,proft,2,0)</f>
        <v>11.4</v>
      </c>
      <c r="AJ171" s="27" t="n">
        <f aca="false">VLOOKUP(B171,proft,3,0)</f>
        <v>0.171</v>
      </c>
      <c r="AK171" s="27" t="s">
        <v>63</v>
      </c>
      <c r="BA171" s="30" t="n">
        <v>13.884</v>
      </c>
      <c r="BB171" s="30" t="n">
        <v>2.22</v>
      </c>
      <c r="BC171" s="30" t="n">
        <v>0.02348</v>
      </c>
      <c r="BD171" s="31" t="n">
        <v>15.3014</v>
      </c>
      <c r="BE171" s="31" t="n">
        <v>2.243</v>
      </c>
      <c r="BF171" s="31" t="n">
        <v>0.02243</v>
      </c>
      <c r="BG171" s="14" t="n">
        <f aca="false">10^6/((BA171+273.15)^2)</f>
        <v>12.1376137660851</v>
      </c>
      <c r="BH171" s="14" t="n">
        <f aca="false">BG171*(2*($BE171/($BD171+273.15)))</f>
        <v>0.188764330333143</v>
      </c>
      <c r="BI171" s="14" t="n">
        <f aca="false">BG171*(2*($BF171/($BD171+273.15)))</f>
        <v>0.00188764330333143</v>
      </c>
      <c r="BK171" s="14" t="n">
        <f aca="false">10^6/((AG171+273.15)^2)</f>
        <v>12.0901705108218</v>
      </c>
      <c r="BL171" s="14" t="n">
        <f aca="false">BK171*(2*($AH171/($AG171+273.15)))</f>
        <v>0.158744307441636</v>
      </c>
      <c r="BM171" s="14" t="n">
        <f aca="false">10^6/((AI171+273.15)^2)</f>
        <v>12.3504510894194</v>
      </c>
      <c r="BN171" s="14" t="n">
        <f aca="false">BM171*(2*($AJ171/($AI171+273.15)))</f>
        <v>0.0148439791691493</v>
      </c>
    </row>
    <row r="172" s="14" customFormat="true" ht="16" hidden="false" customHeight="false" outlineLevel="0" collapsed="false">
      <c r="A172" s="22" t="s">
        <v>93</v>
      </c>
      <c r="B172" s="36" t="s">
        <v>578</v>
      </c>
      <c r="C172" s="14" t="s">
        <v>557</v>
      </c>
      <c r="D172" s="36" t="s">
        <v>578</v>
      </c>
      <c r="E172" s="34" t="s">
        <v>579</v>
      </c>
      <c r="F172" s="22" t="n">
        <v>47.172</v>
      </c>
      <c r="G172" s="22" t="n">
        <v>-21.387</v>
      </c>
      <c r="H172" s="22" t="s">
        <v>78</v>
      </c>
      <c r="I172" s="22" t="s">
        <v>79</v>
      </c>
      <c r="J172" s="22" t="n">
        <v>3945</v>
      </c>
      <c r="K172" s="35" t="s">
        <v>93</v>
      </c>
      <c r="L172" s="22" t="s">
        <v>96</v>
      </c>
      <c r="M172" s="22" t="s">
        <v>97</v>
      </c>
      <c r="N172" s="22" t="s">
        <v>98</v>
      </c>
      <c r="O172" s="22" t="s">
        <v>92</v>
      </c>
      <c r="P172" s="22" t="s">
        <v>92</v>
      </c>
      <c r="Q172" s="22" t="n">
        <v>4</v>
      </c>
      <c r="R172" s="35" t="s">
        <v>62</v>
      </c>
      <c r="S172" s="25" t="n">
        <v>35.6192702702703</v>
      </c>
      <c r="T172" s="22" t="n">
        <v>13.1609409836066</v>
      </c>
      <c r="U172" s="36" t="n">
        <v>7</v>
      </c>
      <c r="V172" s="48" t="n">
        <v>1.049409487</v>
      </c>
      <c r="W172" s="48" t="n">
        <v>0.0450757626172528</v>
      </c>
      <c r="X172" s="48" t="n">
        <v>0.017037036863119</v>
      </c>
      <c r="Y172" s="48" t="n">
        <v>1.52597054789653</v>
      </c>
      <c r="Z172" s="48" t="n">
        <v>0.0517397751733741</v>
      </c>
      <c r="AA172" s="48" t="n">
        <v>0.0195557968570202</v>
      </c>
      <c r="AB172" s="27" t="n">
        <v>0.587817352142857</v>
      </c>
      <c r="AC172" s="27" t="n">
        <v>0.208529379309043</v>
      </c>
      <c r="AD172" s="27" t="n">
        <v>0.20062126757276</v>
      </c>
      <c r="AE172" s="61" t="n">
        <v>0.640565717202707</v>
      </c>
      <c r="AF172" s="61" t="n">
        <v>0.00753738805694233</v>
      </c>
      <c r="AG172" s="29" t="n">
        <v>13.0241778863443</v>
      </c>
      <c r="AH172" s="27" t="n">
        <v>1.28336366567763</v>
      </c>
      <c r="AI172" s="27" t="n">
        <f aca="false">VLOOKUP(B172,proft,2,0)</f>
        <v>9.9</v>
      </c>
      <c r="AJ172" s="27" t="n">
        <f aca="false">VLOOKUP(B172,proft,3,0)</f>
        <v>0.407</v>
      </c>
      <c r="AK172" s="27" t="s">
        <v>63</v>
      </c>
      <c r="BA172" s="30" t="n">
        <v>12.582</v>
      </c>
      <c r="BB172" s="30" t="n">
        <v>2.244</v>
      </c>
      <c r="BC172" s="30" t="n">
        <v>0.02244</v>
      </c>
      <c r="BD172" s="31" t="n">
        <v>13.6108</v>
      </c>
      <c r="BE172" s="31" t="n">
        <v>2.239</v>
      </c>
      <c r="BF172" s="31" t="n">
        <v>0.02239</v>
      </c>
      <c r="BG172" s="14" t="n">
        <f aca="false">10^6/((BA172+273.15)^2)</f>
        <v>12.2484811412553</v>
      </c>
      <c r="BH172" s="14" t="n">
        <f aca="false">BG172*(2*($BE172/($BD172+273.15)))</f>
        <v>0.191269861677542</v>
      </c>
      <c r="BI172" s="14" t="n">
        <f aca="false">BG172*(2*($BF172/($BD172+273.15)))</f>
        <v>0.00191269861677542</v>
      </c>
      <c r="BK172" s="14" t="n">
        <f aca="false">10^6/((AG172+273.15)^2)</f>
        <v>12.2106592573302</v>
      </c>
      <c r="BL172" s="14" t="n">
        <f aca="false">BK172*(2*($AH172/($AG172+273.15)))</f>
        <v>0.109518731148773</v>
      </c>
      <c r="BM172" s="14" t="n">
        <f aca="false">10^6/((AI172+273.15)^2)</f>
        <v>12.4816983197855</v>
      </c>
      <c r="BN172" s="14" t="n">
        <f aca="false">BM172*(2*($AJ172/($AI172+273.15)))</f>
        <v>0.035895080135331</v>
      </c>
    </row>
    <row r="173" s="14" customFormat="true" ht="16" hidden="false" customHeight="false" outlineLevel="0" collapsed="false">
      <c r="A173" s="22" t="s">
        <v>130</v>
      </c>
      <c r="B173" s="36" t="s">
        <v>580</v>
      </c>
      <c r="C173" s="14" t="s">
        <v>557</v>
      </c>
      <c r="D173" s="36" t="s">
        <v>580</v>
      </c>
      <c r="E173" s="34" t="s">
        <v>581</v>
      </c>
      <c r="F173" s="22" t="n">
        <v>20</v>
      </c>
      <c r="G173" s="22" t="n">
        <v>-20.4</v>
      </c>
      <c r="H173" s="22" t="s">
        <v>78</v>
      </c>
      <c r="I173" s="22" t="s">
        <v>582</v>
      </c>
      <c r="J173" s="22" t="n">
        <v>3400</v>
      </c>
      <c r="K173" s="35" t="s">
        <v>130</v>
      </c>
      <c r="L173" s="22" t="s">
        <v>80</v>
      </c>
      <c r="M173" s="22" t="s">
        <v>134</v>
      </c>
      <c r="N173" s="22" t="s">
        <v>583</v>
      </c>
      <c r="O173" s="22" t="s">
        <v>92</v>
      </c>
      <c r="P173" s="22" t="s">
        <v>92</v>
      </c>
      <c r="Q173" s="22" t="n">
        <v>4</v>
      </c>
      <c r="R173" s="35" t="s">
        <v>62</v>
      </c>
      <c r="S173" s="25" t="n">
        <v>36.5490555555556</v>
      </c>
      <c r="T173" s="22" t="n">
        <v>21.243033557047</v>
      </c>
      <c r="U173" s="36" t="n">
        <v>11</v>
      </c>
      <c r="V173" s="48" t="n">
        <v>1.78385621909091</v>
      </c>
      <c r="W173" s="48" t="n">
        <v>0.0666016432340024</v>
      </c>
      <c r="X173" s="48" t="n">
        <v>0.0200811510025726</v>
      </c>
      <c r="Y173" s="48" t="n">
        <v>0.210833406096324</v>
      </c>
      <c r="Z173" s="48" t="n">
        <v>0.0666436807129569</v>
      </c>
      <c r="AA173" s="48" t="n">
        <v>0.0200938257793748</v>
      </c>
      <c r="AB173" s="27" t="n">
        <v>0.8700112</v>
      </c>
      <c r="AC173" s="27" t="n">
        <v>0.209293170760686</v>
      </c>
      <c r="AD173" s="27" t="n">
        <v>0.200822058902139</v>
      </c>
      <c r="AE173" s="61" t="n">
        <v>0.620598332063375</v>
      </c>
      <c r="AF173" s="61" t="n">
        <v>0.0116412161337307</v>
      </c>
      <c r="AG173" s="29" t="n">
        <v>19.3941742579142</v>
      </c>
      <c r="AH173" s="27" t="n">
        <v>1.93654512933949</v>
      </c>
      <c r="AI173" s="27" t="n">
        <f aca="false">VLOOKUP(B173,proft,2,0)</f>
        <v>18</v>
      </c>
      <c r="AJ173" s="27" t="n">
        <f aca="false">VLOOKUP(B173,proft,3,0)</f>
        <v>0.273</v>
      </c>
      <c r="AK173" s="27" t="s">
        <v>63</v>
      </c>
      <c r="BA173" s="30" t="n">
        <v>18.778</v>
      </c>
      <c r="BB173" s="30" t="n">
        <v>2.225</v>
      </c>
      <c r="BC173" s="30" t="n">
        <v>0.02303</v>
      </c>
      <c r="BD173" s="31" t="n">
        <v>19.8064</v>
      </c>
      <c r="BE173" s="31" t="n">
        <v>2.249</v>
      </c>
      <c r="BF173" s="31" t="n">
        <v>0.02249</v>
      </c>
      <c r="BG173" s="14" t="n">
        <f aca="false">10^6/((BA173+273.15)^2)</f>
        <v>11.7340651757262</v>
      </c>
      <c r="BH173" s="14" t="n">
        <f aca="false">BG173*(2*($BE173/($BD173+273.15)))</f>
        <v>0.180162731247436</v>
      </c>
      <c r="BI173" s="14" t="n">
        <f aca="false">BG173*(2*($BF173/($BD173+273.15)))</f>
        <v>0.00180162731247436</v>
      </c>
      <c r="BK173" s="14" t="n">
        <f aca="false">10^6/((AG173+273.15)^2)</f>
        <v>11.6846872344475</v>
      </c>
      <c r="BL173" s="14" t="n">
        <f aca="false">BK173*(2*($AH173/($AG173+273.15)))</f>
        <v>0.154697486006166</v>
      </c>
      <c r="BM173" s="14" t="n">
        <f aca="false">10^6/((AI173+273.15)^2)</f>
        <v>11.7968596110888</v>
      </c>
      <c r="BN173" s="14" t="n">
        <f aca="false">BM173*(2*($AJ173/($AI173+273.15)))</f>
        <v>0.0221229103474308</v>
      </c>
    </row>
    <row r="174" s="14" customFormat="true" ht="16" hidden="false" customHeight="false" outlineLevel="0" collapsed="false">
      <c r="A174" s="22" t="s">
        <v>85</v>
      </c>
      <c r="B174" s="36" t="s">
        <v>584</v>
      </c>
      <c r="C174" s="14" t="s">
        <v>557</v>
      </c>
      <c r="D174" s="36" t="s">
        <v>584</v>
      </c>
      <c r="E174" s="34" t="s">
        <v>581</v>
      </c>
      <c r="F174" s="22" t="n">
        <v>20</v>
      </c>
      <c r="G174" s="22" t="n">
        <v>-20.4</v>
      </c>
      <c r="H174" s="22" t="s">
        <v>78</v>
      </c>
      <c r="I174" s="22" t="s">
        <v>582</v>
      </c>
      <c r="J174" s="22" t="n">
        <v>3400</v>
      </c>
      <c r="K174" s="35" t="s">
        <v>85</v>
      </c>
      <c r="L174" s="22" t="s">
        <v>89</v>
      </c>
      <c r="M174" s="22" t="s">
        <v>90</v>
      </c>
      <c r="N174" s="22" t="s">
        <v>91</v>
      </c>
      <c r="O174" s="22" t="s">
        <v>92</v>
      </c>
      <c r="P174" s="22" t="s">
        <v>92</v>
      </c>
      <c r="Q174" s="22" t="n">
        <v>4</v>
      </c>
      <c r="R174" s="35" t="s">
        <v>62</v>
      </c>
      <c r="S174" s="25" t="n">
        <v>36.5339473684211</v>
      </c>
      <c r="T174" s="22" t="n">
        <v>21.243033557047</v>
      </c>
      <c r="U174" s="36" t="n">
        <v>7</v>
      </c>
      <c r="V174" s="48" t="n">
        <v>1.92231348157143</v>
      </c>
      <c r="W174" s="48" t="n">
        <v>0.074329699299821</v>
      </c>
      <c r="X174" s="48" t="n">
        <v>0.0280939856247912</v>
      </c>
      <c r="Y174" s="48" t="n">
        <v>-0.141860753098685</v>
      </c>
      <c r="Z174" s="48" t="n">
        <v>0.135399330567108</v>
      </c>
      <c r="AA174" s="48" t="n">
        <v>0.0511761366235991</v>
      </c>
      <c r="AB174" s="27" t="n">
        <v>0.8700112</v>
      </c>
      <c r="AC174" s="27" t="n">
        <v>0.209293170760686</v>
      </c>
      <c r="AD174" s="27" t="n">
        <v>0.201353857434781</v>
      </c>
      <c r="AE174" s="61" t="n">
        <v>0.604255242129607</v>
      </c>
      <c r="AF174" s="61" t="n">
        <v>0.0126898755242733</v>
      </c>
      <c r="AG174" s="29" t="n">
        <v>19.1836474067287</v>
      </c>
      <c r="AH174" s="27" t="n">
        <v>2.09379362613852</v>
      </c>
      <c r="AI174" s="27" t="n">
        <f aca="false">VLOOKUP(B174,proft,2,0)</f>
        <v>19.7</v>
      </c>
      <c r="AJ174" s="27" t="n">
        <f aca="false">VLOOKUP(B174,proft,3,0)</f>
        <v>0.293</v>
      </c>
      <c r="AK174" s="27" t="s">
        <v>63</v>
      </c>
      <c r="BA174" s="30" t="n">
        <v>20.196</v>
      </c>
      <c r="BB174" s="30" t="n">
        <v>2.237</v>
      </c>
      <c r="BC174" s="30" t="n">
        <v>0.02237</v>
      </c>
      <c r="BD174" s="31" t="n">
        <v>21.1964</v>
      </c>
      <c r="BE174" s="31" t="n">
        <v>2.214</v>
      </c>
      <c r="BF174" s="31" t="n">
        <v>0.02233</v>
      </c>
      <c r="BG174" s="14" t="n">
        <f aca="false">10^6/((BA174+273.15)^2)</f>
        <v>11.6208971818387</v>
      </c>
      <c r="BH174" s="14" t="n">
        <f aca="false">BG174*(2*($BE174/($BD174+273.15)))</f>
        <v>0.174818964054535</v>
      </c>
      <c r="BI174" s="14" t="n">
        <f aca="false">BG174*(2*($BF174/($BD174+273.15)))</f>
        <v>0.00176319217133594</v>
      </c>
      <c r="BK174" s="14" t="n">
        <f aca="false">10^6/((AG174+273.15)^2)</f>
        <v>11.7015229713331</v>
      </c>
      <c r="BL174" s="14" t="n">
        <f aca="false">BK174*(2*($AH174/($AG174+273.15)))</f>
        <v>0.16762062411107</v>
      </c>
      <c r="BM174" s="14" t="n">
        <f aca="false">10^6/((AI174+273.15)^2)</f>
        <v>11.6602951413095</v>
      </c>
      <c r="BN174" s="14" t="n">
        <f aca="false">BM174*(2*($AJ174/($AI174+273.15)))</f>
        <v>0.0233325352665439</v>
      </c>
    </row>
    <row r="175" s="14" customFormat="true" ht="16" hidden="false" customHeight="false" outlineLevel="0" collapsed="false">
      <c r="A175" s="22" t="s">
        <v>85</v>
      </c>
      <c r="B175" s="36" t="s">
        <v>585</v>
      </c>
      <c r="C175" s="14" t="s">
        <v>557</v>
      </c>
      <c r="D175" s="36" t="s">
        <v>585</v>
      </c>
      <c r="E175" s="34" t="s">
        <v>586</v>
      </c>
      <c r="F175" s="22" t="n">
        <v>37.70566</v>
      </c>
      <c r="G175" s="22" t="n">
        <v>-10.492</v>
      </c>
      <c r="H175" s="22" t="s">
        <v>78</v>
      </c>
      <c r="I175" s="22" t="s">
        <v>566</v>
      </c>
      <c r="J175" s="22" t="n">
        <v>3729</v>
      </c>
      <c r="K175" s="35" t="s">
        <v>85</v>
      </c>
      <c r="L175" s="22" t="s">
        <v>89</v>
      </c>
      <c r="M175" s="22" t="s">
        <v>90</v>
      </c>
      <c r="N175" s="22" t="s">
        <v>91</v>
      </c>
      <c r="O175" s="22" t="s">
        <v>92</v>
      </c>
      <c r="P175" s="22" t="s">
        <v>92</v>
      </c>
      <c r="Q175" s="22" t="n">
        <v>4</v>
      </c>
      <c r="R175" s="35" t="s">
        <v>62</v>
      </c>
      <c r="S175" s="25" t="n">
        <v>36.1821052631579</v>
      </c>
      <c r="T175" s="22" t="n">
        <v>17.8601857142857</v>
      </c>
      <c r="U175" s="36" t="n">
        <v>7</v>
      </c>
      <c r="V175" s="48" t="n">
        <v>1.98870072928571</v>
      </c>
      <c r="W175" s="48" t="n">
        <v>0.098382871638217</v>
      </c>
      <c r="X175" s="48" t="n">
        <v>0.0371852302318731</v>
      </c>
      <c r="Y175" s="48" t="n">
        <v>0.937107192945372</v>
      </c>
      <c r="Z175" s="48" t="n">
        <v>0.0525311289990519</v>
      </c>
      <c r="AA175" s="48" t="n">
        <v>0.0198549004887064</v>
      </c>
      <c r="AB175" s="27" t="n">
        <v>1.3568424</v>
      </c>
      <c r="AC175" s="27" t="n">
        <v>0.210685786242016</v>
      </c>
      <c r="AD175" s="27" t="n">
        <v>0.201561228033432</v>
      </c>
      <c r="AE175" s="61" t="n">
        <v>0.603231923930479</v>
      </c>
      <c r="AF175" s="61" t="n">
        <v>0.00843276469582819</v>
      </c>
      <c r="AG175" s="29" t="n">
        <v>14.6372412129452</v>
      </c>
      <c r="AH175" s="27" t="n">
        <v>1.09842113677567</v>
      </c>
      <c r="AI175" s="27" t="n">
        <f aca="false">VLOOKUP(B175,proft,2,0)</f>
        <v>16.5</v>
      </c>
      <c r="AJ175" s="27" t="n">
        <f aca="false">VLOOKUP(B175,proft,3,0)</f>
        <v>0.634</v>
      </c>
      <c r="AK175" s="27" t="s">
        <v>63</v>
      </c>
      <c r="BA175" s="30" t="n">
        <v>17.863</v>
      </c>
      <c r="BB175" s="30" t="n">
        <v>2.264</v>
      </c>
      <c r="BC175" s="30" t="n">
        <v>0.02264</v>
      </c>
      <c r="BD175" s="31" t="n">
        <v>18.8605</v>
      </c>
      <c r="BE175" s="31" t="n">
        <v>2.205</v>
      </c>
      <c r="BF175" s="31" t="n">
        <v>0.0216</v>
      </c>
      <c r="BG175" s="14" t="n">
        <f aca="false">10^6/((BA175+273.15)^2)</f>
        <v>11.8079694253467</v>
      </c>
      <c r="BH175" s="14" t="n">
        <f aca="false">BG175*(2*($BE175/($BD175+273.15)))</f>
        <v>0.178326276506423</v>
      </c>
      <c r="BI175" s="14" t="n">
        <f aca="false">BG175*(2*($BF175/($BD175+273.15)))</f>
        <v>0.00174686964740986</v>
      </c>
      <c r="BK175" s="14" t="n">
        <f aca="false">10^6/((AG175+273.15)^2)</f>
        <v>12.0741600408342</v>
      </c>
      <c r="BL175" s="14" t="n">
        <f aca="false">BK175*(2*($AH175/($AG175+273.15)))</f>
        <v>0.0921688712937135</v>
      </c>
      <c r="BM175" s="14" t="n">
        <f aca="false">10^6/((AI175+273.15)^2)</f>
        <v>11.919359927988</v>
      </c>
      <c r="BN175" s="14" t="n">
        <f aca="false">BM175*(2*($AJ175/($AI175+273.15)))</f>
        <v>0.0521793488302737</v>
      </c>
    </row>
    <row r="176" s="14" customFormat="true" ht="16" hidden="false" customHeight="false" outlineLevel="0" collapsed="false">
      <c r="A176" s="22" t="s">
        <v>85</v>
      </c>
      <c r="B176" s="36" t="s">
        <v>587</v>
      </c>
      <c r="C176" s="14" t="s">
        <v>557</v>
      </c>
      <c r="D176" s="36" t="s">
        <v>587</v>
      </c>
      <c r="E176" s="34" t="s">
        <v>588</v>
      </c>
      <c r="F176" s="22" t="n">
        <v>47.673</v>
      </c>
      <c r="G176" s="22" t="n">
        <v>-20.808</v>
      </c>
      <c r="H176" s="22" t="s">
        <v>78</v>
      </c>
      <c r="I176" s="22" t="s">
        <v>79</v>
      </c>
      <c r="J176" s="22" t="n">
        <v>4479</v>
      </c>
      <c r="K176" s="35" t="s">
        <v>85</v>
      </c>
      <c r="L176" s="22" t="s">
        <v>89</v>
      </c>
      <c r="M176" s="22" t="s">
        <v>90</v>
      </c>
      <c r="N176" s="22" t="s">
        <v>91</v>
      </c>
      <c r="O176" s="22" t="s">
        <v>92</v>
      </c>
      <c r="P176" s="22" t="s">
        <v>92</v>
      </c>
      <c r="Q176" s="22" t="n">
        <v>4</v>
      </c>
      <c r="R176" s="35" t="s">
        <v>62</v>
      </c>
      <c r="S176" s="25" t="n">
        <v>35.6609473684211</v>
      </c>
      <c r="T176" s="22" t="n">
        <v>-1.05576041666667</v>
      </c>
      <c r="U176" s="36" t="n">
        <v>6</v>
      </c>
      <c r="V176" s="48" t="n">
        <v>1.97753290398315</v>
      </c>
      <c r="W176" s="48" t="n">
        <v>0.0305894540607666</v>
      </c>
      <c r="X176" s="48" t="n">
        <v>0.0124880923265308</v>
      </c>
      <c r="Y176" s="48" t="n">
        <v>0.957353645284629</v>
      </c>
      <c r="Z176" s="48" t="n">
        <v>0.0287921223953634</v>
      </c>
      <c r="AA176" s="48" t="n">
        <v>0.0117543347467334</v>
      </c>
      <c r="AB176" s="27" t="n">
        <v>0.59755683</v>
      </c>
      <c r="AC176" s="27" t="n">
        <v>0.200307563959533</v>
      </c>
      <c r="AD176" s="27" t="n">
        <v>0.200043966659976</v>
      </c>
      <c r="AE176" s="61" t="n">
        <v>0.606119555392167</v>
      </c>
      <c r="AF176" s="61" t="n">
        <v>0.00471262903087338</v>
      </c>
      <c r="AG176" s="29" t="n">
        <v>13.3764349284925</v>
      </c>
      <c r="AH176" s="27" t="n">
        <v>0.598908217077686</v>
      </c>
      <c r="AI176" s="27" t="n">
        <f aca="false">VLOOKUP(B176,proft,2,0)</f>
        <v>13.2</v>
      </c>
      <c r="AJ176" s="27" t="n">
        <f aca="false">VLOOKUP(B176,proft,3,0)</f>
        <v>0.085</v>
      </c>
      <c r="AK176" s="27" t="s">
        <v>63</v>
      </c>
      <c r="AL176" s="62"/>
      <c r="BA176" s="30" t="n">
        <v>14.886</v>
      </c>
      <c r="BB176" s="30" t="n">
        <v>2.237</v>
      </c>
      <c r="BC176" s="30" t="n">
        <v>0.02237</v>
      </c>
      <c r="BD176" s="31" t="n">
        <v>14.799</v>
      </c>
      <c r="BE176" s="31" t="n">
        <v>2.242</v>
      </c>
      <c r="BF176" s="31" t="n">
        <v>0.02242</v>
      </c>
      <c r="BG176" s="14" t="n">
        <f aca="false">10^6/((BA176+273.15)^2)</f>
        <v>12.0533136437499</v>
      </c>
      <c r="BH176" s="14" t="n">
        <f aca="false">BG176*(2*($BE176/($BD176+273.15)))</f>
        <v>0.187696635093626</v>
      </c>
      <c r="BI176" s="14" t="n">
        <f aca="false">BG176*(2*($BF176/($BD176+273.15)))</f>
        <v>0.00187696635093626</v>
      </c>
      <c r="BK176" s="14" t="n">
        <f aca="false">10^6/((AG176+273.15)^2)</f>
        <v>12.1806540209931</v>
      </c>
      <c r="BL176" s="14" t="n">
        <f aca="false">BK176*(2*($AH176/($AG176+273.15)))</f>
        <v>0.0509209126506859</v>
      </c>
      <c r="BM176" s="14" t="n">
        <f aca="false">10^6/((AI176+273.15)^2)</f>
        <v>12.195668897224</v>
      </c>
      <c r="BN176" s="14" t="n">
        <f aca="false">BM176*(2*($AJ176/($AI176+273.15)))</f>
        <v>0.007240313296763</v>
      </c>
    </row>
    <row r="177" s="14" customFormat="true" ht="16" hidden="false" customHeight="false" outlineLevel="0" collapsed="false">
      <c r="A177" s="22" t="s">
        <v>85</v>
      </c>
      <c r="B177" s="36" t="s">
        <v>589</v>
      </c>
      <c r="C177" s="14" t="s">
        <v>557</v>
      </c>
      <c r="D177" s="36" t="s">
        <v>589</v>
      </c>
      <c r="E177" s="34" t="s">
        <v>341</v>
      </c>
      <c r="F177" s="22" t="n">
        <v>-29.12483</v>
      </c>
      <c r="G177" s="22" t="n">
        <v>47.549</v>
      </c>
      <c r="H177" s="22" t="s">
        <v>125</v>
      </c>
      <c r="I177" s="22" t="s">
        <v>342</v>
      </c>
      <c r="J177" s="22" t="n">
        <v>2871</v>
      </c>
      <c r="K177" s="35" t="s">
        <v>85</v>
      </c>
      <c r="L177" s="22" t="s">
        <v>89</v>
      </c>
      <c r="M177" s="22" t="s">
        <v>90</v>
      </c>
      <c r="N177" s="22" t="s">
        <v>91</v>
      </c>
      <c r="O177" s="22" t="s">
        <v>92</v>
      </c>
      <c r="P177" s="22" t="s">
        <v>92</v>
      </c>
      <c r="Q177" s="22" t="n">
        <v>4</v>
      </c>
      <c r="R177" s="35" t="s">
        <v>62</v>
      </c>
      <c r="S177" s="25" t="n">
        <v>35.5302105263158</v>
      </c>
      <c r="T177" s="22" t="n">
        <v>-2.645</v>
      </c>
      <c r="U177" s="36" t="n">
        <v>9</v>
      </c>
      <c r="V177" s="48" t="n">
        <v>1.677910106</v>
      </c>
      <c r="W177" s="48" t="n">
        <v>0.0727629992668793</v>
      </c>
      <c r="X177" s="48" t="n">
        <v>0.0242543330889598</v>
      </c>
      <c r="Y177" s="48" t="n">
        <v>0.201664564510649</v>
      </c>
      <c r="Z177" s="48" t="n">
        <v>0.63177539404675</v>
      </c>
      <c r="AA177" s="48" t="n">
        <v>0.210591798015583</v>
      </c>
      <c r="AB177" s="27" t="n">
        <v>0.425181222857143</v>
      </c>
      <c r="AC177" s="27" t="n">
        <v>0.207962686399698</v>
      </c>
      <c r="AD177" s="27" t="n">
        <v>0.201156825435344</v>
      </c>
      <c r="AE177" s="61" t="n">
        <v>0.622982508285903</v>
      </c>
      <c r="AF177" s="61" t="n">
        <v>0.0059645007798489</v>
      </c>
      <c r="AG177" s="29" t="n">
        <v>20.5711719111392</v>
      </c>
      <c r="AH177" s="27" t="n">
        <v>1.54637297670146</v>
      </c>
      <c r="AI177" s="27" t="n">
        <f aca="false">VLOOKUP(B177,proft,2,0)</f>
        <v>15.6</v>
      </c>
      <c r="AJ177" s="27" t="n">
        <f aca="false">VLOOKUP(B177,proft,3,0)</f>
        <v>0.4</v>
      </c>
      <c r="AK177" s="27" t="s">
        <v>63</v>
      </c>
      <c r="BA177" s="30" t="n">
        <v>17.113</v>
      </c>
      <c r="BB177" s="30" t="n">
        <v>2.228</v>
      </c>
      <c r="BC177" s="30" t="n">
        <v>0.02228</v>
      </c>
      <c r="BD177" s="31" t="n">
        <v>18.1693</v>
      </c>
      <c r="BE177" s="31" t="n">
        <v>2.212</v>
      </c>
      <c r="BF177" s="31" t="n">
        <v>0.02253</v>
      </c>
      <c r="BG177" s="14" t="n">
        <f aca="false">10^6/((BA177+273.15)^2)</f>
        <v>11.8690686242622</v>
      </c>
      <c r="BH177" s="14" t="n">
        <f aca="false">BG177*(2*($BE177/($BD177+273.15)))</f>
        <v>0.180244699179683</v>
      </c>
      <c r="BI177" s="14" t="n">
        <f aca="false">BG177*(2*($BF177/($BD177+273.15)))</f>
        <v>0.00183585581940247</v>
      </c>
      <c r="BK177" s="14" t="n">
        <f aca="false">10^6/((AG177+273.15)^2)</f>
        <v>11.5912292504832</v>
      </c>
      <c r="BL177" s="14" t="n">
        <f aca="false">BK177*(2*($AH177/($AG177+273.15)))</f>
        <v>0.122050198581678</v>
      </c>
      <c r="BM177" s="14" t="n">
        <f aca="false">10^6/((AI177+273.15)^2)</f>
        <v>11.9937782275445</v>
      </c>
      <c r="BN177" s="14" t="n">
        <f aca="false">BM177*(2*($AJ177/($AI177+273.15)))</f>
        <v>0.033229515435621</v>
      </c>
    </row>
    <row r="178" s="14" customFormat="true" ht="16" hidden="false" customHeight="false" outlineLevel="0" collapsed="false">
      <c r="A178" s="22" t="s">
        <v>479</v>
      </c>
      <c r="B178" s="36" t="s">
        <v>590</v>
      </c>
      <c r="C178" s="14" t="s">
        <v>557</v>
      </c>
      <c r="D178" s="36" t="s">
        <v>590</v>
      </c>
      <c r="E178" s="34" t="s">
        <v>588</v>
      </c>
      <c r="F178" s="22" t="n">
        <v>47.673</v>
      </c>
      <c r="G178" s="22" t="n">
        <v>-20.808</v>
      </c>
      <c r="H178" s="22" t="s">
        <v>78</v>
      </c>
      <c r="I178" s="22" t="s">
        <v>79</v>
      </c>
      <c r="J178" s="22" t="n">
        <v>4479</v>
      </c>
      <c r="K178" s="35" t="s">
        <v>479</v>
      </c>
      <c r="L178" s="22" t="s">
        <v>58</v>
      </c>
      <c r="M178" s="22" t="s">
        <v>483</v>
      </c>
      <c r="N178" s="22" t="s">
        <v>484</v>
      </c>
      <c r="O178" s="22" t="s">
        <v>485</v>
      </c>
      <c r="P178" s="22" t="s">
        <v>61</v>
      </c>
      <c r="Q178" s="22" t="n">
        <v>3</v>
      </c>
      <c r="R178" s="35" t="s">
        <v>486</v>
      </c>
      <c r="S178" s="25" t="n">
        <v>35.3036</v>
      </c>
      <c r="T178" s="22" t="n">
        <v>-1.05576041666667</v>
      </c>
      <c r="U178" s="36" t="n">
        <v>8</v>
      </c>
      <c r="V178" s="48" t="n">
        <v>1.109653871375</v>
      </c>
      <c r="W178" s="48" t="n">
        <v>0.0386913456125226</v>
      </c>
      <c r="X178" s="48" t="n">
        <v>0.0136794564279235</v>
      </c>
      <c r="Y178" s="48" t="n">
        <v>2.21115862428413</v>
      </c>
      <c r="Z178" s="48" t="n">
        <v>0.0670203147736232</v>
      </c>
      <c r="AA178" s="48" t="n">
        <v>0.0236952595268429</v>
      </c>
      <c r="AB178" s="27" t="n">
        <v>0.403879376666667</v>
      </c>
      <c r="AC178" s="27" t="n">
        <v>0.201441607585615</v>
      </c>
      <c r="AD178" s="27" t="n">
        <v>0.200481687664715</v>
      </c>
      <c r="AE178" s="61" t="n">
        <v>0.632</v>
      </c>
      <c r="AF178" s="61" t="n">
        <v>0.017</v>
      </c>
      <c r="AG178" s="29" t="n">
        <v>9.4574493408203</v>
      </c>
      <c r="AH178" s="27" t="n">
        <v>0.694612121822182</v>
      </c>
      <c r="AI178" s="27" t="n">
        <f aca="false">VLOOKUP(B178,proft,2,0)</f>
        <v>6.7</v>
      </c>
      <c r="AJ178" s="27" t="n">
        <f aca="false">VLOOKUP(B178,proft,3,0)</f>
        <v>0.337</v>
      </c>
      <c r="AK178" s="27" t="s">
        <v>63</v>
      </c>
      <c r="BA178" s="30" t="n">
        <v>9.203</v>
      </c>
      <c r="BB178" s="30" t="n">
        <v>2.203</v>
      </c>
      <c r="BC178" s="30" t="n">
        <v>0.02203</v>
      </c>
      <c r="BD178" s="31" t="n">
        <v>10.2815</v>
      </c>
      <c r="BE178" s="31" t="n">
        <v>2.242</v>
      </c>
      <c r="BF178" s="31" t="n">
        <v>0.02242</v>
      </c>
      <c r="BG178" s="14" t="n">
        <f aca="false">10^6/((BA178+273.15)^2)</f>
        <v>12.5433975513616</v>
      </c>
      <c r="BH178" s="14" t="n">
        <f aca="false">BG178*(2*($BE178/($BD178+273.15)))</f>
        <v>0.198441579783141</v>
      </c>
      <c r="BI178" s="14" t="n">
        <f aca="false">BG178*(2*($BF178/($BD178+273.15)))</f>
        <v>0.00198441579783141</v>
      </c>
      <c r="BK178" s="14" t="n">
        <f aca="false">10^6/((AG178+273.15)^2)</f>
        <v>12.5208204931856</v>
      </c>
      <c r="BL178" s="14" t="n">
        <f aca="false">BK178*(2*($AH178/($AG178+273.15)))</f>
        <v>0.0615490760063988</v>
      </c>
      <c r="BM178" s="14" t="n">
        <f aca="false">10^6/((AI178+273.15)^2)</f>
        <v>12.7687792111761</v>
      </c>
      <c r="BN178" s="14" t="n">
        <f aca="false">BM178*(2*($AJ178/($AI178+273.15)))</f>
        <v>0.0307527503603098</v>
      </c>
    </row>
    <row r="179" s="14" customFormat="true" ht="16" hidden="false" customHeight="false" outlineLevel="0" collapsed="false">
      <c r="A179" s="22" t="s">
        <v>479</v>
      </c>
      <c r="B179" s="36" t="s">
        <v>591</v>
      </c>
      <c r="C179" s="14" t="s">
        <v>557</v>
      </c>
      <c r="D179" s="36" t="s">
        <v>591</v>
      </c>
      <c r="E179" s="34" t="s">
        <v>592</v>
      </c>
      <c r="F179" s="22" t="n">
        <v>46.213</v>
      </c>
      <c r="G179" s="22" t="n">
        <v>-23.715</v>
      </c>
      <c r="H179" s="22" t="s">
        <v>78</v>
      </c>
      <c r="I179" s="22" t="s">
        <v>79</v>
      </c>
      <c r="J179" s="22" t="n">
        <v>3393</v>
      </c>
      <c r="K179" s="35" t="s">
        <v>593</v>
      </c>
      <c r="L179" s="22" t="s">
        <v>58</v>
      </c>
      <c r="M179" s="22" t="s">
        <v>483</v>
      </c>
      <c r="N179" s="22" t="s">
        <v>484</v>
      </c>
      <c r="O179" s="22" t="s">
        <v>485</v>
      </c>
      <c r="P179" s="22" t="s">
        <v>61</v>
      </c>
      <c r="Q179" s="22" t="n">
        <v>3</v>
      </c>
      <c r="R179" s="35" t="s">
        <v>83</v>
      </c>
      <c r="S179" s="25" t="n">
        <v>35.3042</v>
      </c>
      <c r="T179" s="22" t="n">
        <v>24.6793636363636</v>
      </c>
      <c r="U179" s="36" t="n">
        <v>7</v>
      </c>
      <c r="V179" s="48" t="n">
        <v>1.10306344657143</v>
      </c>
      <c r="W179" s="48" t="n">
        <v>0.0567977692307729</v>
      </c>
      <c r="X179" s="48" t="n">
        <v>0.0214675389154088</v>
      </c>
      <c r="Y179" s="48" t="n">
        <v>2.0362849571074</v>
      </c>
      <c r="Z179" s="48" t="n">
        <v>0.0879816983548796</v>
      </c>
      <c r="AA179" s="48" t="n">
        <v>0.0332539562531589</v>
      </c>
      <c r="AB179" s="27" t="n">
        <v>0.429721803333333</v>
      </c>
      <c r="AC179" s="27" t="n">
        <v>0.203569942070938</v>
      </c>
      <c r="AD179" s="27" t="n">
        <v>0.201197018959663</v>
      </c>
      <c r="AE179" s="61" t="n">
        <v>0.616282396347919</v>
      </c>
      <c r="AF179" s="61" t="n">
        <v>0.00993740295783665</v>
      </c>
      <c r="AG179" s="29" t="n">
        <v>9.86676769256593</v>
      </c>
      <c r="AH179" s="27" t="n">
        <v>0.776761478843393</v>
      </c>
      <c r="AI179" s="27" t="n">
        <f aca="false">VLOOKUP(B179,proft,2,0)</f>
        <v>7.4</v>
      </c>
      <c r="AJ179" s="27" t="n">
        <f aca="false">VLOOKUP(B179,proft,3,0)</f>
        <v>0.309</v>
      </c>
      <c r="AK179" s="27" t="s">
        <v>63</v>
      </c>
      <c r="BA179" s="30" t="n">
        <v>9.993</v>
      </c>
      <c r="BB179" s="30" t="n">
        <v>2.237</v>
      </c>
      <c r="BC179" s="30" t="n">
        <v>0.02237</v>
      </c>
      <c r="BD179" s="31" t="n">
        <v>11.0562</v>
      </c>
      <c r="BE179" s="31" t="n">
        <v>2.255</v>
      </c>
      <c r="BF179" s="31" t="n">
        <v>0.02255</v>
      </c>
      <c r="BG179" s="14" t="n">
        <f aca="false">10^6/((BA179+273.15)^2)</f>
        <v>12.4735002904629</v>
      </c>
      <c r="BH179" s="14" t="n">
        <f aca="false">BG179*(2*($BE179/($BD179+273.15)))</f>
        <v>0.197938983421149</v>
      </c>
      <c r="BI179" s="14" t="n">
        <f aca="false">BG179*(2*($BF179/($BD179+273.15)))</f>
        <v>0.00197938983421149</v>
      </c>
      <c r="BK179" s="14" t="n">
        <f aca="false">10^6/((AG179+273.15)^2)</f>
        <v>12.484629736127</v>
      </c>
      <c r="BL179" s="14" t="n">
        <f aca="false">BK179*(2*($AH179/($AG179+273.15)))</f>
        <v>0.0685300700429204</v>
      </c>
      <c r="BM179" s="14" t="n">
        <f aca="false">10^6/((AI179+273.15)^2)</f>
        <v>12.7051399691919</v>
      </c>
      <c r="BN179" s="14" t="n">
        <f aca="false">BM179*(2*($AJ179/($AI179+273.15)))</f>
        <v>0.0279870843021231</v>
      </c>
    </row>
    <row r="180" s="14" customFormat="true" ht="16" hidden="false" customHeight="false" outlineLevel="0" collapsed="false">
      <c r="A180" s="22" t="s">
        <v>51</v>
      </c>
      <c r="B180" s="36" t="s">
        <v>594</v>
      </c>
      <c r="C180" s="14" t="s">
        <v>557</v>
      </c>
      <c r="D180" s="36" t="s">
        <v>594</v>
      </c>
      <c r="E180" s="34" t="s">
        <v>581</v>
      </c>
      <c r="F180" s="22" t="n">
        <v>20</v>
      </c>
      <c r="G180" s="22" t="n">
        <v>-20.4</v>
      </c>
      <c r="H180" s="22" t="s">
        <v>78</v>
      </c>
      <c r="I180" s="22" t="s">
        <v>582</v>
      </c>
      <c r="J180" s="22" t="n">
        <v>3400</v>
      </c>
      <c r="K180" s="35" t="s">
        <v>51</v>
      </c>
      <c r="L180" s="22" t="s">
        <v>58</v>
      </c>
      <c r="M180" s="22" t="s">
        <v>59</v>
      </c>
      <c r="N180" s="22" t="s">
        <v>60</v>
      </c>
      <c r="O180" s="22" t="s">
        <v>61</v>
      </c>
      <c r="P180" s="22" t="s">
        <v>61</v>
      </c>
      <c r="Q180" s="22" t="n">
        <v>3</v>
      </c>
      <c r="R180" s="35" t="s">
        <v>62</v>
      </c>
      <c r="S180" s="25" t="n">
        <v>36.5598235294118</v>
      </c>
      <c r="T180" s="22" t="n">
        <v>21.243033557047</v>
      </c>
      <c r="U180" s="36" t="n">
        <v>7</v>
      </c>
      <c r="V180" s="48" t="n">
        <v>1.84263942571429</v>
      </c>
      <c r="W180" s="48" t="n">
        <v>0.0399133736044895</v>
      </c>
      <c r="X180" s="48" t="n">
        <v>0.0150858372204413</v>
      </c>
      <c r="Y180" s="48" t="n">
        <v>0.458883411718473</v>
      </c>
      <c r="Z180" s="48" t="n">
        <v>0.0653714395014132</v>
      </c>
      <c r="AA180" s="48" t="n">
        <v>0.0247080816810062</v>
      </c>
      <c r="AB180" s="27" t="n">
        <v>0.902287624</v>
      </c>
      <c r="AC180" s="27" t="n">
        <v>0.202101072798306</v>
      </c>
      <c r="AD180" s="27" t="n">
        <v>0.200421976652375</v>
      </c>
      <c r="AE180" s="61" t="n">
        <v>0.614771825884839</v>
      </c>
      <c r="AF180" s="61" t="n">
        <v>0.0134633965785395</v>
      </c>
      <c r="AG180" s="29" t="n">
        <v>19.5833569694968</v>
      </c>
      <c r="AH180" s="27" t="n">
        <v>1.8166203088905</v>
      </c>
      <c r="AI180" s="27" t="n">
        <f aca="false">VLOOKUP(B180,proft,2,0)</f>
        <v>16.6</v>
      </c>
      <c r="AJ180" s="27" t="n">
        <f aca="false">VLOOKUP(B180,proft,3,0)</f>
        <v>0.909</v>
      </c>
      <c r="AK180" s="27" t="s">
        <v>63</v>
      </c>
      <c r="BA180" s="30" t="n">
        <v>17.902</v>
      </c>
      <c r="BB180" s="30" t="n">
        <v>2.239</v>
      </c>
      <c r="BC180" s="30" t="n">
        <v>0.02213</v>
      </c>
      <c r="BD180" s="31" t="n">
        <v>19.0132</v>
      </c>
      <c r="BE180" s="31" t="n">
        <v>2.225</v>
      </c>
      <c r="BF180" s="31" t="n">
        <v>0.02225</v>
      </c>
      <c r="BG180" s="14" t="n">
        <f aca="false">10^6/((BA180+273.15)^2)</f>
        <v>11.8048051800975</v>
      </c>
      <c r="BH180" s="14" t="n">
        <f aca="false">BG180*(2*($BE180/($BD180+273.15)))</f>
        <v>0.179801504951458</v>
      </c>
      <c r="BI180" s="14" t="n">
        <f aca="false">BG180*(2*($BF180/($BD180+273.15)))</f>
        <v>0.00179801504951458</v>
      </c>
      <c r="BK180" s="14" t="n">
        <f aca="false">10^6/((AG180+273.15)^2)</f>
        <v>11.669589354639</v>
      </c>
      <c r="BL180" s="14" t="n">
        <f aca="false">BK180*(2*($AH180/($AG180+273.15)))</f>
        <v>0.144836333224974</v>
      </c>
      <c r="BM180" s="14" t="n">
        <f aca="false">10^6/((AI180+273.15)^2)</f>
        <v>11.9111340069576</v>
      </c>
      <c r="BN180" s="14" t="n">
        <f aca="false">BM180*(2*($AJ180/($AI180+273.15)))</f>
        <v>0.0747349150117305</v>
      </c>
    </row>
    <row r="181" s="14" customFormat="true" ht="16" hidden="false" customHeight="false" outlineLevel="0" collapsed="false">
      <c r="A181" s="22" t="s">
        <v>51</v>
      </c>
      <c r="B181" s="36" t="s">
        <v>595</v>
      </c>
      <c r="C181" s="14" t="s">
        <v>557</v>
      </c>
      <c r="D181" s="36" t="s">
        <v>595</v>
      </c>
      <c r="E181" s="34" t="s">
        <v>563</v>
      </c>
      <c r="F181" s="22" t="n">
        <v>7.05</v>
      </c>
      <c r="G181" s="22" t="n">
        <v>76.717</v>
      </c>
      <c r="H181" s="22" t="s">
        <v>125</v>
      </c>
      <c r="I181" s="22" t="s">
        <v>121</v>
      </c>
      <c r="J181" s="22" t="n">
        <v>1254</v>
      </c>
      <c r="K181" s="35" t="s">
        <v>51</v>
      </c>
      <c r="L181" s="22" t="s">
        <v>58</v>
      </c>
      <c r="M181" s="22" t="s">
        <v>59</v>
      </c>
      <c r="N181" s="22" t="s">
        <v>60</v>
      </c>
      <c r="O181" s="22" t="s">
        <v>61</v>
      </c>
      <c r="P181" s="22" t="s">
        <v>61</v>
      </c>
      <c r="Q181" s="22" t="n">
        <v>3</v>
      </c>
      <c r="R181" s="35" t="s">
        <v>62</v>
      </c>
      <c r="S181" s="25" t="n">
        <v>35.0648823529412</v>
      </c>
      <c r="T181" s="22" t="n">
        <v>17.2642113402062</v>
      </c>
      <c r="U181" s="36" t="n">
        <v>9</v>
      </c>
      <c r="V181" s="48" t="n">
        <v>1.11824430444444</v>
      </c>
      <c r="W181" s="48" t="n">
        <v>0.0913961370522297</v>
      </c>
      <c r="X181" s="48" t="n">
        <v>0.0304653790174099</v>
      </c>
      <c r="Y181" s="48" t="n">
        <v>-0.714911074012107</v>
      </c>
      <c r="Z181" s="48" t="n">
        <v>0.169752668400328</v>
      </c>
      <c r="AA181" s="48" t="n">
        <v>0.0565842228001093</v>
      </c>
      <c r="AB181" s="27" t="n">
        <v>0.349719012</v>
      </c>
      <c r="AC181" s="27" t="n">
        <v>0.213871095318035</v>
      </c>
      <c r="AD181" s="27" t="n">
        <v>0.202850114820049</v>
      </c>
      <c r="AE181" s="61" t="n">
        <v>0.618402390054774</v>
      </c>
      <c r="AF181" s="61" t="n">
        <v>0.00716778551986086</v>
      </c>
      <c r="AG181" s="29" t="n">
        <v>25.7346838782815</v>
      </c>
      <c r="AH181" s="27" t="n">
        <v>2.23881709019944</v>
      </c>
      <c r="AI181" s="27" t="n">
        <f aca="false">VLOOKUP(B181,proft,2,0)</f>
        <v>19.3</v>
      </c>
      <c r="AJ181" s="27" t="n">
        <f aca="false">VLOOKUP(B181,proft,3,0)</f>
        <v>3.046</v>
      </c>
      <c r="AK181" s="27" t="s">
        <v>63</v>
      </c>
      <c r="BA181" s="30" t="n">
        <v>20.394</v>
      </c>
      <c r="BB181" s="30" t="n">
        <v>2.249</v>
      </c>
      <c r="BC181" s="30" t="n">
        <v>0.02249</v>
      </c>
      <c r="BD181" s="31" t="n">
        <v>21.3923</v>
      </c>
      <c r="BE181" s="31" t="n">
        <v>2.222</v>
      </c>
      <c r="BF181" s="31" t="n">
        <v>0.02328</v>
      </c>
      <c r="BG181" s="14" t="n">
        <f aca="false">10^6/((BA181+273.15)^2)</f>
        <v>11.6052255167196</v>
      </c>
      <c r="BH181" s="14" t="n">
        <f aca="false">BG181*(2*($BE181/($BD181+273.15)))</f>
        <v>0.175097506186045</v>
      </c>
      <c r="BI181" s="14" t="n">
        <f aca="false">BG181*(2*($BF181/($BD181+273.15)))</f>
        <v>0.00183450492529753</v>
      </c>
      <c r="BK181" s="14" t="n">
        <f aca="false">10^6/((AG181+273.15)^2)</f>
        <v>11.1941901293668</v>
      </c>
      <c r="BL181" s="14" t="n">
        <f aca="false">BK181*(2*($AH181/($AG181+273.15)))</f>
        <v>0.167701762749239</v>
      </c>
      <c r="BM181" s="14" t="n">
        <f aca="false">10^6/((AI181+273.15)^2)</f>
        <v>11.6922138128248</v>
      </c>
      <c r="BN181" s="14" t="n">
        <f aca="false">BM181*(2*($AJ181/($AI181+273.15)))</f>
        <v>0.24355946844838</v>
      </c>
    </row>
    <row r="182" s="14" customFormat="true" ht="16" hidden="false" customHeight="false" outlineLevel="0" collapsed="false">
      <c r="A182" s="22" t="s">
        <v>100</v>
      </c>
      <c r="B182" s="36" t="s">
        <v>596</v>
      </c>
      <c r="C182" s="14" t="s">
        <v>597</v>
      </c>
      <c r="D182" s="36" t="s">
        <v>598</v>
      </c>
      <c r="E182" s="34" t="s">
        <v>88</v>
      </c>
      <c r="F182" s="22" t="n">
        <v>52.9</v>
      </c>
      <c r="G182" s="22" t="n">
        <v>-16.9</v>
      </c>
      <c r="H182" s="22" t="s">
        <v>78</v>
      </c>
      <c r="I182" s="22" t="s">
        <v>79</v>
      </c>
      <c r="J182" s="22" t="n">
        <v>3569</v>
      </c>
      <c r="K182" s="35" t="s">
        <v>100</v>
      </c>
      <c r="L182" s="22" t="s">
        <v>104</v>
      </c>
      <c r="M182" s="22" t="s">
        <v>105</v>
      </c>
      <c r="N182" s="22" t="s">
        <v>106</v>
      </c>
      <c r="O182" s="22" t="s">
        <v>71</v>
      </c>
      <c r="P182" s="22" t="s">
        <v>71</v>
      </c>
      <c r="Q182" s="22" t="n">
        <v>5</v>
      </c>
      <c r="R182" s="35" t="s">
        <v>83</v>
      </c>
      <c r="S182" s="25" t="n">
        <v>35.4827619047619</v>
      </c>
      <c r="T182" s="22" t="n">
        <v>23.1977172131148</v>
      </c>
      <c r="U182" s="36" t="n">
        <v>30</v>
      </c>
      <c r="V182" s="48" t="n">
        <v>-0.409</v>
      </c>
      <c r="W182" s="48" t="n">
        <v>0.123018081093237</v>
      </c>
      <c r="X182" s="48" t="n">
        <v>0.0224599259985885</v>
      </c>
      <c r="Y182" s="48" t="n">
        <v>1.38366666666667</v>
      </c>
      <c r="Z182" s="48" t="n">
        <v>0.198467982883602</v>
      </c>
      <c r="AA182" s="48" t="n">
        <v>0.0362351303892994</v>
      </c>
      <c r="AB182" s="27" t="n">
        <v>0.50648155</v>
      </c>
      <c r="AC182" s="27" t="n">
        <v>0.20011610775396</v>
      </c>
      <c r="AD182" s="27" t="n">
        <v>0.200016590948492</v>
      </c>
      <c r="AE182" s="55" t="n">
        <v>0.635</v>
      </c>
      <c r="AF182" s="55" t="n">
        <v>0.005</v>
      </c>
      <c r="AG182" s="29" t="n">
        <v>11.982</v>
      </c>
      <c r="AH182" s="27" t="n">
        <v>0.494409</v>
      </c>
      <c r="AI182" s="27" t="n">
        <f aca="false">VLOOKUP(B182,proft,2,0)</f>
        <v>10.5045167153299</v>
      </c>
      <c r="AJ182" s="27" t="n">
        <f aca="false">VLOOKUP(B182,proft,3,0)</f>
        <v>1.71413451667754</v>
      </c>
      <c r="AK182" s="27" t="s">
        <v>107</v>
      </c>
      <c r="BA182" s="30" t="n">
        <v>13.0873</v>
      </c>
      <c r="BB182" s="30" t="n">
        <v>2.411</v>
      </c>
      <c r="BC182" s="30" t="n">
        <v>0.02314</v>
      </c>
      <c r="BD182" s="31" t="n">
        <v>13.0873</v>
      </c>
      <c r="BE182" s="31" t="n">
        <v>2.411</v>
      </c>
      <c r="BF182" s="31" t="n">
        <v>0.02314</v>
      </c>
      <c r="BG182" s="14" t="n">
        <f aca="false">10^6/((BA182+273.15)^2)</f>
        <v>12.2052743711834</v>
      </c>
      <c r="BH182" s="14" t="n">
        <f aca="false">BG182*(2*($BE182/($BD182+273.15)))</f>
        <v>0.205612032456449</v>
      </c>
      <c r="BI182" s="14" t="n">
        <f aca="false">BG182*(2*($BF182/($BD182+273.15)))</f>
        <v>0.00197339793904697</v>
      </c>
      <c r="BK182" s="14" t="n">
        <f aca="false">10^6/((AG182+273.15)^2)</f>
        <v>12.3000840548975</v>
      </c>
      <c r="BL182" s="14" t="n">
        <f aca="false">BK182*(2*($AH182/($AG182+273.15)))</f>
        <v>0.0426558384011461</v>
      </c>
      <c r="BM182" s="14" t="n">
        <f aca="false">10^6/((AI182+273.15)^2)</f>
        <v>12.4285537050781</v>
      </c>
      <c r="BN182" s="14" t="n">
        <f aca="false">BM182*(2*($AJ182/($AI182+273.15)))</f>
        <v>0.150212400246285</v>
      </c>
    </row>
    <row r="183" s="14" customFormat="true" ht="16" hidden="false" customHeight="false" outlineLevel="0" collapsed="false">
      <c r="A183" s="22" t="s">
        <v>100</v>
      </c>
      <c r="B183" s="36" t="s">
        <v>599</v>
      </c>
      <c r="C183" s="14" t="s">
        <v>597</v>
      </c>
      <c r="D183" s="36" t="s">
        <v>599</v>
      </c>
      <c r="E183" s="34" t="s">
        <v>600</v>
      </c>
      <c r="F183" s="22" t="n">
        <v>48.9</v>
      </c>
      <c r="G183" s="22" t="n">
        <v>-11.8</v>
      </c>
      <c r="H183" s="22" t="s">
        <v>78</v>
      </c>
      <c r="I183" s="22" t="s">
        <v>79</v>
      </c>
      <c r="J183" s="22" t="n">
        <v>1484</v>
      </c>
      <c r="K183" s="35" t="s">
        <v>100</v>
      </c>
      <c r="L183" s="22" t="s">
        <v>104</v>
      </c>
      <c r="M183" s="22" t="s">
        <v>105</v>
      </c>
      <c r="N183" s="22" t="s">
        <v>106</v>
      </c>
      <c r="O183" s="22" t="s">
        <v>71</v>
      </c>
      <c r="P183" s="22" t="s">
        <v>71</v>
      </c>
      <c r="Q183" s="22" t="n">
        <v>5</v>
      </c>
      <c r="R183" s="35" t="s">
        <v>83</v>
      </c>
      <c r="S183" s="25" t="n">
        <v>35.5901428571428</v>
      </c>
      <c r="T183" s="22" t="n">
        <v>51.05021</v>
      </c>
      <c r="U183" s="36" t="n">
        <v>16</v>
      </c>
      <c r="V183" s="48" t="n">
        <v>-0.4375</v>
      </c>
      <c r="W183" s="48" t="n">
        <v>0.108166538263919</v>
      </c>
      <c r="X183" s="48" t="n">
        <v>0.0270416345659798</v>
      </c>
      <c r="Y183" s="48" t="n">
        <v>0.71875</v>
      </c>
      <c r="Z183" s="48" t="n">
        <v>0.0630211604674705</v>
      </c>
      <c r="AA183" s="48" t="n">
        <v>0.0157552901168676</v>
      </c>
      <c r="AB183" s="27" t="n">
        <v>0.575650715714286</v>
      </c>
      <c r="AC183" s="27" t="n">
        <v>0.200018381882431</v>
      </c>
      <c r="AD183" s="27" t="n">
        <v>0.20000262608664</v>
      </c>
      <c r="AE183" s="55" t="n">
        <v>0.628</v>
      </c>
      <c r="AF183" s="55" t="n">
        <v>0.005</v>
      </c>
      <c r="AG183" s="29" t="n">
        <v>12.8894</v>
      </c>
      <c r="AH183" s="27" t="n">
        <v>0.780495</v>
      </c>
      <c r="AI183" s="27" t="n">
        <f aca="false">VLOOKUP(B183,proft,2,0)</f>
        <v>14.1881734464994</v>
      </c>
      <c r="AJ183" s="27" t="n">
        <f aca="false">VLOOKUP(B183,proft,3,0)</f>
        <v>1.47496217980997</v>
      </c>
      <c r="AK183" s="27" t="s">
        <v>107</v>
      </c>
      <c r="BA183" s="30" t="n">
        <v>15.9191</v>
      </c>
      <c r="BB183" s="30" t="n">
        <v>2.433</v>
      </c>
      <c r="BC183" s="30" t="n">
        <v>0.02433</v>
      </c>
      <c r="BD183" s="31" t="n">
        <v>15.9191</v>
      </c>
      <c r="BE183" s="31" t="n">
        <v>2.433</v>
      </c>
      <c r="BF183" s="31" t="n">
        <v>0.02433</v>
      </c>
      <c r="BG183" s="14" t="n">
        <f aca="false">10^6/((BA183+273.15)^2)</f>
        <v>11.9673132596619</v>
      </c>
      <c r="BH183" s="14" t="n">
        <f aca="false">BG183*(2*($BE183/($BD183+273.15)))</f>
        <v>0.201449917412532</v>
      </c>
      <c r="BI183" s="14" t="n">
        <f aca="false">BG183*(2*($BF183/($BD183+273.15)))</f>
        <v>0.00201449917412532</v>
      </c>
      <c r="BK183" s="14" t="n">
        <f aca="false">10^6/((AG183+273.15)^2)</f>
        <v>12.2221689624104</v>
      </c>
      <c r="BL183" s="14" t="n">
        <f aca="false">BK183*(2*($AH183/($AG183+273.15)))</f>
        <v>0.0666994949948609</v>
      </c>
      <c r="BM183" s="14" t="n">
        <f aca="false">10^6/((AI183+273.15)^2)</f>
        <v>12.1119298436105</v>
      </c>
      <c r="BN183" s="14" t="n">
        <f aca="false">BM183*(2*($AJ183/($AI183+273.15)))</f>
        <v>0.124345736798967</v>
      </c>
    </row>
    <row r="184" s="14" customFormat="true" ht="16" hidden="false" customHeight="false" outlineLevel="0" collapsed="false">
      <c r="A184" s="22" t="s">
        <v>100</v>
      </c>
      <c r="B184" s="36" t="s">
        <v>601</v>
      </c>
      <c r="C184" s="14" t="s">
        <v>597</v>
      </c>
      <c r="D184" s="36" t="s">
        <v>601</v>
      </c>
      <c r="E184" s="34" t="s">
        <v>602</v>
      </c>
      <c r="F184" s="22" t="n">
        <v>63.8</v>
      </c>
      <c r="G184" s="22" t="n">
        <v>5.2</v>
      </c>
      <c r="H184" s="22" t="s">
        <v>78</v>
      </c>
      <c r="I184" s="22" t="s">
        <v>79</v>
      </c>
      <c r="J184" s="22" t="n">
        <v>922</v>
      </c>
      <c r="K184" s="35" t="s">
        <v>100</v>
      </c>
      <c r="L184" s="22" t="s">
        <v>104</v>
      </c>
      <c r="M184" s="22" t="s">
        <v>105</v>
      </c>
      <c r="N184" s="22" t="s">
        <v>106</v>
      </c>
      <c r="O184" s="22" t="s">
        <v>71</v>
      </c>
      <c r="P184" s="22" t="s">
        <v>71</v>
      </c>
      <c r="Q184" s="22" t="n">
        <v>5</v>
      </c>
      <c r="R184" s="35" t="s">
        <v>83</v>
      </c>
      <c r="S184" s="25" t="n">
        <v>34.8341904761905</v>
      </c>
      <c r="T184" s="22" t="n">
        <v>20</v>
      </c>
      <c r="U184" s="36" t="n">
        <v>18</v>
      </c>
      <c r="V184" s="48" t="n">
        <v>-0.410555555555556</v>
      </c>
      <c r="W184" s="48" t="n">
        <v>0.109354911787382</v>
      </c>
      <c r="X184" s="48" t="n">
        <v>0.0257751998936382</v>
      </c>
      <c r="Y184" s="48" t="n">
        <v>1.61055555555556</v>
      </c>
      <c r="Z184" s="48" t="n">
        <v>0.0978277130362787</v>
      </c>
      <c r="AA184" s="48" t="n">
        <v>0.0230582130919748</v>
      </c>
      <c r="AB184" s="27" t="n">
        <v>0.29681454</v>
      </c>
      <c r="AC184" s="27" t="n">
        <v>0.221102402401137</v>
      </c>
      <c r="AD184" s="27" t="n">
        <v>0.203148880081142</v>
      </c>
      <c r="AE184" s="55" t="n">
        <v>0.637</v>
      </c>
      <c r="AF184" s="55" t="n">
        <v>0.006</v>
      </c>
      <c r="AG184" s="29" t="n">
        <v>8.4802</v>
      </c>
      <c r="AH184" s="27" t="n">
        <v>0.406524</v>
      </c>
      <c r="AI184" s="27" t="n">
        <f aca="false">VLOOKUP(B184,proft,2,0)</f>
        <v>9.14269545906587</v>
      </c>
      <c r="AJ184" s="27" t="n">
        <f aca="false">VLOOKUP(B184,proft,3,0)</f>
        <v>0.905005656034291</v>
      </c>
      <c r="AK184" s="27" t="s">
        <v>107</v>
      </c>
      <c r="BA184" s="30" t="n">
        <v>11.4411</v>
      </c>
      <c r="BB184" s="30" t="n">
        <v>2.431</v>
      </c>
      <c r="BC184" s="30" t="n">
        <v>0.02431</v>
      </c>
      <c r="BD184" s="31" t="n">
        <v>11.4411</v>
      </c>
      <c r="BE184" s="31" t="n">
        <v>2.431</v>
      </c>
      <c r="BF184" s="31" t="n">
        <v>0.02431</v>
      </c>
      <c r="BG184" s="14" t="n">
        <f aca="false">10^6/((BA184+273.15)^2)</f>
        <v>12.3468840988403</v>
      </c>
      <c r="BH184" s="14" t="n">
        <f aca="false">BG184*(2*($BE184/($BD184+273.15)))</f>
        <v>0.210936148349549</v>
      </c>
      <c r="BI184" s="14" t="n">
        <f aca="false">BG184*(2*($BF184/($BD184+273.15)))</f>
        <v>0.00210936148349549</v>
      </c>
      <c r="BK184" s="14" t="n">
        <f aca="false">10^6/((AG184+273.15)^2)</f>
        <v>12.6078650843437</v>
      </c>
      <c r="BL184" s="14" t="n">
        <f aca="false">BK184*(2*($AH184/($AG184+273.15)))</f>
        <v>0.0363980833415432</v>
      </c>
      <c r="BM184" s="14" t="n">
        <f aca="false">10^6/((AI184+273.15)^2)</f>
        <v>12.5487572694022</v>
      </c>
      <c r="BN184" s="14" t="n">
        <f aca="false">BM184*(2*($AJ184/($AI184+273.15)))</f>
        <v>0.0804604333565352</v>
      </c>
    </row>
    <row r="185" s="14" customFormat="true" ht="16" hidden="false" customHeight="false" outlineLevel="0" collapsed="false">
      <c r="A185" s="22" t="s">
        <v>100</v>
      </c>
      <c r="B185" s="36" t="s">
        <v>603</v>
      </c>
      <c r="C185" s="14" t="s">
        <v>597</v>
      </c>
      <c r="D185" s="36" t="s">
        <v>603</v>
      </c>
      <c r="E185" s="34" t="s">
        <v>604</v>
      </c>
      <c r="F185" s="22" t="n">
        <v>34.8</v>
      </c>
      <c r="G185" s="22" t="n">
        <v>-27.7</v>
      </c>
      <c r="H185" s="22" t="s">
        <v>78</v>
      </c>
      <c r="I185" s="22" t="s">
        <v>605</v>
      </c>
      <c r="J185" s="22" t="n">
        <v>2060</v>
      </c>
      <c r="K185" s="35" t="s">
        <v>100</v>
      </c>
      <c r="L185" s="22" t="s">
        <v>104</v>
      </c>
      <c r="M185" s="22" t="s">
        <v>105</v>
      </c>
      <c r="N185" s="22" t="s">
        <v>106</v>
      </c>
      <c r="O185" s="22" t="s">
        <v>71</v>
      </c>
      <c r="P185" s="22" t="s">
        <v>71</v>
      </c>
      <c r="Q185" s="22" t="n">
        <v>5</v>
      </c>
      <c r="R185" s="35" t="s">
        <v>83</v>
      </c>
      <c r="S185" s="25" t="n">
        <v>36.4714285714286</v>
      </c>
      <c r="T185" s="22" t="n">
        <v>45.4435183946488</v>
      </c>
      <c r="U185" s="36" t="n">
        <v>17</v>
      </c>
      <c r="V185" s="48" t="n">
        <v>-1.18294117647059</v>
      </c>
      <c r="W185" s="48" t="n">
        <v>0.176343581747477</v>
      </c>
      <c r="X185" s="48" t="n">
        <v>0.04276960082027</v>
      </c>
      <c r="Y185" s="48" t="n">
        <v>1.41294117647059</v>
      </c>
      <c r="Z185" s="48" t="n">
        <v>0.139676622322883</v>
      </c>
      <c r="AA185" s="48" t="n">
        <v>0.0338765568980443</v>
      </c>
      <c r="AB185" s="27" t="n">
        <v>1.01732282285714</v>
      </c>
      <c r="AC185" s="27" t="n">
        <v>0.205889800645239</v>
      </c>
      <c r="AD185" s="27" t="n">
        <v>0.200851974637235</v>
      </c>
      <c r="AE185" s="55" t="n">
        <v>0.628</v>
      </c>
      <c r="AF185" s="55" t="n">
        <v>0.005</v>
      </c>
      <c r="AG185" s="29" t="n">
        <v>19.1487</v>
      </c>
      <c r="AH185" s="27" t="n">
        <v>1.192915</v>
      </c>
      <c r="AI185" s="27" t="n">
        <f aca="false">VLOOKUP(B185,proft,2,0)</f>
        <v>11.1422658889363</v>
      </c>
      <c r="AJ185" s="27" t="n">
        <f aca="false">VLOOKUP(B185,proft,3,0)</f>
        <v>0.716791227909091</v>
      </c>
      <c r="AK185" s="27" t="s">
        <v>107</v>
      </c>
      <c r="BA185" s="30" t="n">
        <v>14.9735</v>
      </c>
      <c r="BB185" s="30" t="n">
        <v>2.391</v>
      </c>
      <c r="BC185" s="30" t="n">
        <v>0.02431</v>
      </c>
      <c r="BD185" s="31" t="n">
        <v>14.9735</v>
      </c>
      <c r="BE185" s="31" t="n">
        <v>2.391</v>
      </c>
      <c r="BF185" s="31" t="n">
        <v>0.02431</v>
      </c>
      <c r="BG185" s="14" t="n">
        <f aca="false">10^6/((BA185+273.15)^2)</f>
        <v>12.0459938326366</v>
      </c>
      <c r="BH185" s="14" t="n">
        <f aca="false">BG185*(2*($BE185/($BD185+273.15)))</f>
        <v>0.199927956267602</v>
      </c>
      <c r="BI185" s="14" t="n">
        <f aca="false">BG185*(2*($BF185/($BD185+273.15)))</f>
        <v>0.00203272631403823</v>
      </c>
      <c r="BK185" s="14" t="n">
        <f aca="false">10^6/((AG185+273.15)^2)</f>
        <v>11.7043212207201</v>
      </c>
      <c r="BL185" s="14" t="n">
        <f aca="false">BK185*(2*($AH185/($AG185+273.15)))</f>
        <v>0.0955341939530716</v>
      </c>
      <c r="BM185" s="14" t="n">
        <f aca="false">10^6/((AI185+273.15)^2)</f>
        <v>12.3728546212732</v>
      </c>
      <c r="BN185" s="14" t="n">
        <f aca="false">BM185*(2*($AJ185/($AI185+273.15)))</f>
        <v>0.0623918039345313</v>
      </c>
    </row>
    <row r="186" s="14" customFormat="true" ht="16" hidden="false" customHeight="false" outlineLevel="0" collapsed="false">
      <c r="A186" s="22" t="s">
        <v>100</v>
      </c>
      <c r="B186" s="36" t="s">
        <v>606</v>
      </c>
      <c r="C186" s="14" t="s">
        <v>597</v>
      </c>
      <c r="D186" s="36" t="s">
        <v>606</v>
      </c>
      <c r="E186" s="34" t="s">
        <v>607</v>
      </c>
      <c r="F186" s="22" t="n">
        <v>-45.1</v>
      </c>
      <c r="G186" s="22" t="n">
        <v>174.6</v>
      </c>
      <c r="H186" s="22" t="s">
        <v>56</v>
      </c>
      <c r="I186" s="22" t="s">
        <v>608</v>
      </c>
      <c r="J186" s="22" t="n">
        <v>992</v>
      </c>
      <c r="K186" s="35" t="s">
        <v>100</v>
      </c>
      <c r="L186" s="22" t="s">
        <v>104</v>
      </c>
      <c r="M186" s="22" t="s">
        <v>105</v>
      </c>
      <c r="N186" s="22" t="s">
        <v>151</v>
      </c>
      <c r="O186" s="22" t="s">
        <v>71</v>
      </c>
      <c r="P186" s="22" t="s">
        <v>71</v>
      </c>
      <c r="Q186" s="22" t="n">
        <v>5</v>
      </c>
      <c r="R186" s="35" t="s">
        <v>83</v>
      </c>
      <c r="S186" s="25" t="n">
        <v>34.341</v>
      </c>
      <c r="T186" s="22" t="n">
        <v>33.51871</v>
      </c>
      <c r="U186" s="36" t="n">
        <v>30</v>
      </c>
      <c r="V186" s="48" t="n">
        <v>0.404333333333334</v>
      </c>
      <c r="W186" s="48" t="n">
        <v>0.1678193473153</v>
      </c>
      <c r="X186" s="48" t="n">
        <v>0.0306394807034613</v>
      </c>
      <c r="Y186" s="48" t="n">
        <v>2.01733333333333</v>
      </c>
      <c r="Z186" s="48" t="n">
        <v>0.146097117754225</v>
      </c>
      <c r="AA186" s="48" t="n">
        <v>0.0266735623268259</v>
      </c>
      <c r="AB186" s="27" t="n">
        <v>-0.0243575398333333</v>
      </c>
      <c r="AC186" s="27" t="n">
        <v>0.201583910873476</v>
      </c>
      <c r="AD186" s="27" t="n">
        <v>0.200529360379842</v>
      </c>
      <c r="AE186" s="55" t="n">
        <v>0.65</v>
      </c>
      <c r="AF186" s="55" t="n">
        <v>0.004</v>
      </c>
      <c r="AG186" s="29" t="n">
        <v>7.7927</v>
      </c>
      <c r="AH186" s="27" t="n">
        <v>0.245063</v>
      </c>
      <c r="AI186" s="27" t="n">
        <f aca="false">VLOOKUP(B186,proft,2,0)</f>
        <v>5.54836626344597</v>
      </c>
      <c r="AJ186" s="27" t="n">
        <f aca="false">VLOOKUP(B186,proft,3,0)</f>
        <v>0.627293414729047</v>
      </c>
      <c r="AK186" s="27" t="s">
        <v>107</v>
      </c>
      <c r="BA186" s="30" t="n">
        <v>8.6268</v>
      </c>
      <c r="BB186" s="30" t="n">
        <v>2.439</v>
      </c>
      <c r="BC186" s="30" t="n">
        <v>0.02517</v>
      </c>
      <c r="BD186" s="31" t="n">
        <v>8.6268</v>
      </c>
      <c r="BE186" s="31" t="n">
        <v>2.439</v>
      </c>
      <c r="BF186" s="31" t="n">
        <v>0.02517</v>
      </c>
      <c r="BG186" s="14" t="n">
        <f aca="false">10^6/((BA186+273.15)^2)</f>
        <v>12.5947495105242</v>
      </c>
      <c r="BH186" s="14" t="n">
        <f aca="false">BG186*(2*($BE186/($BD186+273.15)))</f>
        <v>0.218034941529385</v>
      </c>
      <c r="BI186" s="14" t="n">
        <f aca="false">BG186*(2*($BF186/($BD186+273.15)))</f>
        <v>0.00225007768687766</v>
      </c>
      <c r="BK186" s="14" t="n">
        <f aca="false">10^6/((AG186+273.15)^2)</f>
        <v>12.6696464578577</v>
      </c>
      <c r="BL186" s="14" t="n">
        <f aca="false">BK186*(2*($AH186/($AG186+273.15)))</f>
        <v>0.0221031660185652</v>
      </c>
      <c r="BM186" s="14" t="n">
        <f aca="false">10^6/((AI186+273.15)^2)</f>
        <v>12.8745232019062</v>
      </c>
      <c r="BN186" s="14" t="n">
        <f aca="false">BM186*(2*($AJ186/($AI186+273.15)))</f>
        <v>0.0579558734456157</v>
      </c>
    </row>
    <row r="187" s="14" customFormat="true" ht="16" hidden="false" customHeight="false" outlineLevel="0" collapsed="false">
      <c r="A187" s="22" t="s">
        <v>609</v>
      </c>
      <c r="B187" s="36" t="s">
        <v>610</v>
      </c>
      <c r="C187" s="14" t="s">
        <v>597</v>
      </c>
      <c r="D187" s="36" t="s">
        <v>610</v>
      </c>
      <c r="E187" s="34" t="s">
        <v>611</v>
      </c>
      <c r="F187" s="22" t="n">
        <v>14.7</v>
      </c>
      <c r="G187" s="22" t="n">
        <v>-59.7</v>
      </c>
      <c r="H187" s="22" t="s">
        <v>78</v>
      </c>
      <c r="I187" s="22" t="s">
        <v>612</v>
      </c>
      <c r="J187" s="22" t="n">
        <v>2720</v>
      </c>
      <c r="K187" s="35" t="s">
        <v>609</v>
      </c>
      <c r="L187" s="22" t="s">
        <v>160</v>
      </c>
      <c r="M187" s="22" t="s">
        <v>613</v>
      </c>
      <c r="N187" s="22" t="s">
        <v>614</v>
      </c>
      <c r="O187" s="22" t="s">
        <v>71</v>
      </c>
      <c r="P187" s="22" t="s">
        <v>71</v>
      </c>
      <c r="Q187" s="22" t="n">
        <v>5</v>
      </c>
      <c r="R187" s="35" t="s">
        <v>62</v>
      </c>
      <c r="S187" s="25" t="n">
        <v>36.6595714285714</v>
      </c>
      <c r="T187" s="22" t="n">
        <v>28.2040202020202</v>
      </c>
      <c r="U187" s="36" t="n">
        <v>16</v>
      </c>
      <c r="V187" s="48" t="n">
        <v>2.301875</v>
      </c>
      <c r="W187" s="48" t="n">
        <v>0.223851699420249</v>
      </c>
      <c r="X187" s="48" t="n">
        <v>0.0559629248550621</v>
      </c>
      <c r="Y187" s="48" t="n">
        <v>-1.2975</v>
      </c>
      <c r="Z187" s="48" t="n">
        <v>0.135523675668375</v>
      </c>
      <c r="AA187" s="48" t="n">
        <v>0.0338809189170938</v>
      </c>
      <c r="AB187" s="27" t="n">
        <v>1.08055668333333</v>
      </c>
      <c r="AC187" s="27" t="n">
        <v>0.21198174443217</v>
      </c>
      <c r="AD187" s="27" t="n">
        <v>0.204072095081212</v>
      </c>
      <c r="AE187" s="55" t="n">
        <v>0.596</v>
      </c>
      <c r="AF187" s="55" t="n">
        <v>0.008</v>
      </c>
      <c r="AG187" s="29" t="n">
        <v>25.5079</v>
      </c>
      <c r="AH187" s="27" t="n">
        <v>0.783823</v>
      </c>
      <c r="AI187" s="27" t="n">
        <f aca="false">VLOOKUP(B187,proft,2,0)</f>
        <v>25.9665966048897</v>
      </c>
      <c r="AJ187" s="27" t="n">
        <f aca="false">VLOOKUP(B187,proft,3,0)</f>
        <v>1.40079248818879</v>
      </c>
      <c r="AK187" s="27" t="s">
        <v>63</v>
      </c>
      <c r="BA187" s="30" t="n">
        <v>25.4944</v>
      </c>
      <c r="BB187" s="30" t="n">
        <v>2.215</v>
      </c>
      <c r="BC187" s="30" t="n">
        <v>0.02215</v>
      </c>
      <c r="BD187" s="31" t="n">
        <v>25.4944</v>
      </c>
      <c r="BE187" s="31" t="n">
        <v>2.215</v>
      </c>
      <c r="BF187" s="31" t="n">
        <v>0.02215</v>
      </c>
      <c r="BG187" s="14" t="n">
        <f aca="false">10^6/((BA187+273.15)^2)</f>
        <v>11.212210661438</v>
      </c>
      <c r="BH187" s="14" t="n">
        <f aca="false">BG187*(2*($BE187/($BD187+273.15)))</f>
        <v>0.166318515365331</v>
      </c>
      <c r="BI187" s="14" t="n">
        <f aca="false">BG187*(2*($BF187/($BD187+273.15)))</f>
        <v>0.00166318515365331</v>
      </c>
      <c r="BK187" s="14" t="n">
        <f aca="false">10^6/((AG187+273.15)^2)</f>
        <v>11.2111970507287</v>
      </c>
      <c r="BL187" s="14" t="n">
        <f aca="false">BK187*(2*($AH187/($AG187+273.15)))</f>
        <v>0.0588472235684598</v>
      </c>
      <c r="BM187" s="14" t="n">
        <f aca="false">10^6/((AI187+273.15)^2)</f>
        <v>11.1768385762743</v>
      </c>
      <c r="BN187" s="14" t="n">
        <f aca="false">BM187*(2*($AJ187/($AI187+273.15)))</f>
        <v>0.10468447218945</v>
      </c>
    </row>
    <row r="188" s="14" customFormat="true" ht="16" hidden="false" customHeight="false" outlineLevel="0" collapsed="false">
      <c r="A188" s="22" t="s">
        <v>609</v>
      </c>
      <c r="B188" s="36" t="s">
        <v>615</v>
      </c>
      <c r="C188" s="14" t="s">
        <v>597</v>
      </c>
      <c r="D188" s="36" t="s">
        <v>615</v>
      </c>
      <c r="E188" s="34" t="s">
        <v>616</v>
      </c>
      <c r="F188" s="22" t="n">
        <v>-13.5</v>
      </c>
      <c r="G188" s="22" t="n">
        <v>-162.1</v>
      </c>
      <c r="H188" s="22" t="s">
        <v>56</v>
      </c>
      <c r="I188" s="22" t="s">
        <v>617</v>
      </c>
      <c r="J188" s="22" t="n">
        <v>3154</v>
      </c>
      <c r="K188" s="35" t="s">
        <v>609</v>
      </c>
      <c r="L188" s="22" t="s">
        <v>160</v>
      </c>
      <c r="M188" s="22" t="s">
        <v>613</v>
      </c>
      <c r="N188" s="22" t="s">
        <v>618</v>
      </c>
      <c r="O188" s="22" t="s">
        <v>71</v>
      </c>
      <c r="P188" s="22" t="s">
        <v>71</v>
      </c>
      <c r="Q188" s="22" t="n">
        <v>5</v>
      </c>
      <c r="R188" s="35" t="s">
        <v>62</v>
      </c>
      <c r="S188" s="25" t="n">
        <v>36.1932</v>
      </c>
      <c r="T188" s="22" t="n">
        <v>1.82885929648241</v>
      </c>
      <c r="U188" s="36" t="n">
        <v>21</v>
      </c>
      <c r="V188" s="48" t="n">
        <v>2.3552380952381</v>
      </c>
      <c r="W188" s="48" t="n">
        <v>0.106330571691261</v>
      </c>
      <c r="X188" s="48" t="n">
        <v>0.023203233022054</v>
      </c>
      <c r="Y188" s="48" t="n">
        <v>-1.22571428571429</v>
      </c>
      <c r="Z188" s="48" t="n">
        <v>0.198810749924934</v>
      </c>
      <c r="AA188" s="48" t="n">
        <v>0.0433840624048546</v>
      </c>
      <c r="AB188" s="27" t="n">
        <v>0.6265999975</v>
      </c>
      <c r="AC188" s="27" t="n">
        <v>0.203559278094028</v>
      </c>
      <c r="AD188" s="27" t="n">
        <v>0.200895731474167</v>
      </c>
      <c r="AE188" s="55" t="n">
        <v>0.609</v>
      </c>
      <c r="AF188" s="55" t="n">
        <v>0.006</v>
      </c>
      <c r="AG188" s="29" t="n">
        <v>24.7713</v>
      </c>
      <c r="AH188" s="27" t="n">
        <v>1.941156</v>
      </c>
      <c r="AI188" s="27" t="n">
        <f aca="false">VLOOKUP(B188,proft,2,0)</f>
        <v>23.6509976067659</v>
      </c>
      <c r="AJ188" s="27" t="n">
        <f aca="false">VLOOKUP(B188,proft,3,0)</f>
        <v>2.33139244127252</v>
      </c>
      <c r="AK188" s="27" t="s">
        <v>63</v>
      </c>
      <c r="BA188" s="30" t="n">
        <v>23.4137</v>
      </c>
      <c r="BB188" s="30" t="n">
        <v>2.218</v>
      </c>
      <c r="BC188" s="30" t="n">
        <v>0.02265</v>
      </c>
      <c r="BD188" s="31" t="n">
        <v>23.4137</v>
      </c>
      <c r="BE188" s="31" t="n">
        <v>2.218</v>
      </c>
      <c r="BF188" s="31" t="n">
        <v>0.02265</v>
      </c>
      <c r="BG188" s="14" t="n">
        <f aca="false">10^6/((BA188+273.15)^2)</f>
        <v>11.3700930056219</v>
      </c>
      <c r="BH188" s="14" t="n">
        <f aca="false">BG188*(2*($BE188/($BD188+273.15)))</f>
        <v>0.170073857902834</v>
      </c>
      <c r="BI188" s="14" t="n">
        <f aca="false">BG188*(2*($BF188/($BD188+273.15)))</f>
        <v>0.00173677767425572</v>
      </c>
      <c r="BK188" s="14" t="n">
        <f aca="false">10^6/((AG188+273.15)^2)</f>
        <v>11.2667041713214</v>
      </c>
      <c r="BL188" s="14" t="n">
        <f aca="false">BK188*(2*($AH188/($AG188+273.15)))</f>
        <v>0.146820186420948</v>
      </c>
      <c r="BM188" s="14" t="n">
        <f aca="false">10^6/((AI188+273.15)^2)</f>
        <v>11.3519190958764</v>
      </c>
      <c r="BN188" s="14" t="n">
        <f aca="false">BM188*(2*($AJ188/($AI188+273.15)))</f>
        <v>0.178340225184338</v>
      </c>
    </row>
    <row r="189" s="14" customFormat="true" ht="16" hidden="false" customHeight="false" outlineLevel="0" collapsed="false">
      <c r="A189" s="22" t="s">
        <v>154</v>
      </c>
      <c r="B189" s="36" t="s">
        <v>619</v>
      </c>
      <c r="C189" s="14" t="s">
        <v>597</v>
      </c>
      <c r="D189" s="36" t="s">
        <v>619</v>
      </c>
      <c r="E189" s="34" t="s">
        <v>604</v>
      </c>
      <c r="F189" s="22" t="n">
        <v>14.7</v>
      </c>
      <c r="G189" s="22" t="n">
        <v>-59.7</v>
      </c>
      <c r="H189" s="22" t="s">
        <v>78</v>
      </c>
      <c r="I189" s="22" t="s">
        <v>605</v>
      </c>
      <c r="J189" s="22" t="n">
        <v>2720</v>
      </c>
      <c r="K189" s="35" t="s">
        <v>154</v>
      </c>
      <c r="L189" s="22" t="s">
        <v>160</v>
      </c>
      <c r="M189" s="22" t="s">
        <v>161</v>
      </c>
      <c r="N189" s="22" t="s">
        <v>620</v>
      </c>
      <c r="O189" s="22" t="s">
        <v>71</v>
      </c>
      <c r="P189" s="22" t="s">
        <v>71</v>
      </c>
      <c r="Q189" s="22" t="n">
        <v>5</v>
      </c>
      <c r="R189" s="35" t="s">
        <v>62</v>
      </c>
      <c r="S189" s="25" t="n">
        <v>35.779</v>
      </c>
      <c r="T189" s="22" t="n">
        <v>45.4435183946488</v>
      </c>
      <c r="U189" s="36" t="n">
        <v>19</v>
      </c>
      <c r="V189" s="48" t="n">
        <v>1.05315789473684</v>
      </c>
      <c r="W189" s="48" t="n">
        <v>0.11416618645052</v>
      </c>
      <c r="X189" s="48" t="n">
        <v>0.0261915194477494</v>
      </c>
      <c r="Y189" s="48" t="n">
        <v>0.614736842105263</v>
      </c>
      <c r="Z189" s="48" t="n">
        <v>0.0866902801838962</v>
      </c>
      <c r="AA189" s="48" t="n">
        <v>0.0198881142478332</v>
      </c>
      <c r="AB189" s="27" t="n">
        <v>1.0334437</v>
      </c>
      <c r="AC189" s="27" t="n">
        <v>0.200038992065497</v>
      </c>
      <c r="AD189" s="27" t="n">
        <v>0.200019496982894</v>
      </c>
      <c r="AE189" s="55" t="n">
        <v>0.635</v>
      </c>
      <c r="AF189" s="55" t="n">
        <v>0.007</v>
      </c>
      <c r="AG189" s="29" t="n">
        <v>19.655</v>
      </c>
      <c r="AH189" s="27" t="n">
        <v>0.374369</v>
      </c>
      <c r="AI189" s="27" t="n">
        <f aca="false">VLOOKUP(B189,proft,2,0)</f>
        <v>15.6668871263616</v>
      </c>
      <c r="AJ189" s="27" t="n">
        <f aca="false">VLOOKUP(B189,proft,3,0)</f>
        <v>0.378377411057999</v>
      </c>
      <c r="AK189" s="27" t="s">
        <v>163</v>
      </c>
      <c r="BA189" s="30" t="n">
        <v>18.529</v>
      </c>
      <c r="BB189" s="30" t="n">
        <v>1.905</v>
      </c>
      <c r="BC189" s="30" t="n">
        <v>0.01943</v>
      </c>
      <c r="BD189" s="31" t="n">
        <v>18.529</v>
      </c>
      <c r="BE189" s="31" t="n">
        <v>1.905</v>
      </c>
      <c r="BF189" s="31" t="n">
        <v>0.01943</v>
      </c>
      <c r="BG189" s="14" t="n">
        <f aca="false">10^6/((BA189+273.15)^2)</f>
        <v>11.7541079580974</v>
      </c>
      <c r="BH189" s="14" t="n">
        <f aca="false">BG189*(2*($BE189/($BD189+273.15)))</f>
        <v>0.153535740729882</v>
      </c>
      <c r="BI189" s="14" t="n">
        <f aca="false">BG189*(2*($BF189/($BD189+273.15)))</f>
        <v>0.00156598395925543</v>
      </c>
      <c r="BK189" s="14" t="n">
        <f aca="false">10^6/((AG189+273.15)^2)</f>
        <v>11.6638794626283</v>
      </c>
      <c r="BL189" s="14" t="n">
        <f aca="false">BK189*(2*($AH189/($AG189+273.15)))</f>
        <v>0.0298259585085275</v>
      </c>
      <c r="BM189" s="14" t="n">
        <f aca="false">10^6/((AI189+273.15)^2)</f>
        <v>11.9882235906695</v>
      </c>
      <c r="BN189" s="14" t="n">
        <f aca="false">BM189*(2*($AJ189/($AI189+273.15)))</f>
        <v>0.0314114112270543</v>
      </c>
    </row>
    <row r="190" s="14" customFormat="true" ht="16" hidden="false" customHeight="false" outlineLevel="0" collapsed="false">
      <c r="A190" s="22" t="s">
        <v>154</v>
      </c>
      <c r="B190" s="36" t="s">
        <v>621</v>
      </c>
      <c r="C190" s="14" t="s">
        <v>597</v>
      </c>
      <c r="D190" s="36" t="s">
        <v>621</v>
      </c>
      <c r="E190" s="34" t="s">
        <v>611</v>
      </c>
      <c r="F190" s="22" t="n">
        <v>14.7</v>
      </c>
      <c r="G190" s="22" t="n">
        <v>-59.7</v>
      </c>
      <c r="H190" s="22" t="s">
        <v>78</v>
      </c>
      <c r="I190" s="22" t="s">
        <v>612</v>
      </c>
      <c r="J190" s="22" t="n">
        <v>2720</v>
      </c>
      <c r="K190" s="35" t="s">
        <v>154</v>
      </c>
      <c r="L190" s="22" t="s">
        <v>160</v>
      </c>
      <c r="M190" s="22" t="s">
        <v>161</v>
      </c>
      <c r="N190" s="22" t="s">
        <v>162</v>
      </c>
      <c r="O190" s="22" t="s">
        <v>71</v>
      </c>
      <c r="P190" s="22" t="s">
        <v>71</v>
      </c>
      <c r="Q190" s="22" t="n">
        <v>5</v>
      </c>
      <c r="R190" s="35" t="s">
        <v>62</v>
      </c>
      <c r="S190" s="25" t="n">
        <v>35.4234545454545</v>
      </c>
      <c r="T190" s="22" t="n">
        <v>28.2040202020202</v>
      </c>
      <c r="U190" s="36" t="n">
        <v>20</v>
      </c>
      <c r="V190" s="48" t="n">
        <v>1.1875</v>
      </c>
      <c r="W190" s="48" t="n">
        <v>0.204266982158154</v>
      </c>
      <c r="X190" s="48" t="n">
        <v>0.045675485766437</v>
      </c>
      <c r="Y190" s="48" t="n">
        <v>-2.293</v>
      </c>
      <c r="Z190" s="48" t="n">
        <v>0.10285912696499</v>
      </c>
      <c r="AA190" s="48" t="n">
        <v>0.023</v>
      </c>
      <c r="AB190" s="27" t="n">
        <v>0.769982172</v>
      </c>
      <c r="AC190" s="27" t="n">
        <v>0.209148111045576</v>
      </c>
      <c r="AD190" s="27" t="n">
        <v>0.201862791199336</v>
      </c>
      <c r="AE190" s="55" t="n">
        <v>0.601</v>
      </c>
      <c r="AF190" s="55" t="n">
        <v>0.007</v>
      </c>
      <c r="AG190" s="29" t="n">
        <v>27.3473</v>
      </c>
      <c r="AH190" s="27" t="n">
        <v>0.13363</v>
      </c>
      <c r="AI190" s="27" t="n">
        <f aca="false">VLOOKUP(B190,proft,2,0)</f>
        <v>28.4092559814453</v>
      </c>
      <c r="AJ190" s="27" t="n">
        <f aca="false">VLOOKUP(B190,proft,3,0)</f>
        <v>0.15676237642765</v>
      </c>
      <c r="AK190" s="27" t="s">
        <v>163</v>
      </c>
      <c r="BA190" s="30" t="n">
        <v>28.623</v>
      </c>
      <c r="BB190" s="30" t="n">
        <v>1.871</v>
      </c>
      <c r="BC190" s="30" t="n">
        <v>0.01871</v>
      </c>
      <c r="BD190" s="31" t="n">
        <v>28.623</v>
      </c>
      <c r="BE190" s="31" t="n">
        <v>1.871</v>
      </c>
      <c r="BF190" s="31" t="n">
        <v>0.01871</v>
      </c>
      <c r="BG190" s="14" t="n">
        <f aca="false">10^6/((BA190+273.15)^2)</f>
        <v>10.980932940629</v>
      </c>
      <c r="BH190" s="14" t="n">
        <f aca="false">BG190*(2*($BE190/($BD190+273.15)))</f>
        <v>0.136164107007035</v>
      </c>
      <c r="BI190" s="14" t="n">
        <f aca="false">BG190*(2*($BF190/($BD190+273.15)))</f>
        <v>0.00136164107007035</v>
      </c>
      <c r="BK190" s="14" t="n">
        <f aca="false">10^6/((AG190+273.15)^2)</f>
        <v>11.0743654673394</v>
      </c>
      <c r="BL190" s="14" t="n">
        <f aca="false">BK190*(2*($AH190/($AG190+273.15)))</f>
        <v>0.00984945593454956</v>
      </c>
      <c r="BM190" s="14" t="n">
        <f aca="false">10^6/((AI190+273.15)^2)</f>
        <v>10.9965049418087</v>
      </c>
      <c r="BN190" s="14" t="n">
        <f aca="false">BM190*(2*($AJ190/($AI190+273.15)))</f>
        <v>0.0114328326050944</v>
      </c>
    </row>
    <row r="191" s="14" customFormat="true" ht="16" hidden="false" customHeight="false" outlineLevel="0" collapsed="false">
      <c r="A191" s="22" t="s">
        <v>154</v>
      </c>
      <c r="B191" s="36" t="s">
        <v>622</v>
      </c>
      <c r="C191" s="14" t="s">
        <v>597</v>
      </c>
      <c r="D191" s="36" t="s">
        <v>622</v>
      </c>
      <c r="E191" s="34" t="s">
        <v>611</v>
      </c>
      <c r="F191" s="63" t="n">
        <v>14.7</v>
      </c>
      <c r="G191" s="63" t="n">
        <v>-59.7</v>
      </c>
      <c r="H191" s="22" t="s">
        <v>78</v>
      </c>
      <c r="I191" s="22" t="s">
        <v>612</v>
      </c>
      <c r="J191" s="22" t="n">
        <v>2060</v>
      </c>
      <c r="K191" s="35" t="s">
        <v>154</v>
      </c>
      <c r="L191" s="22" t="s">
        <v>160</v>
      </c>
      <c r="M191" s="22" t="s">
        <v>161</v>
      </c>
      <c r="N191" s="22" t="s">
        <v>620</v>
      </c>
      <c r="O191" s="22" t="s">
        <v>71</v>
      </c>
      <c r="P191" s="22" t="s">
        <v>71</v>
      </c>
      <c r="Q191" s="22" t="n">
        <v>5</v>
      </c>
      <c r="R191" s="35" t="s">
        <v>62</v>
      </c>
      <c r="S191" s="25" t="n">
        <v>34.04</v>
      </c>
      <c r="T191" s="22" t="n">
        <v>28.2040202020202</v>
      </c>
      <c r="U191" s="36" t="n">
        <v>20</v>
      </c>
      <c r="V191" s="48" t="n">
        <v>1.4505</v>
      </c>
      <c r="W191" s="48" t="n">
        <v>0.0971962204160115</v>
      </c>
      <c r="X191" s="48" t="n">
        <v>0.0217337356006255</v>
      </c>
      <c r="Y191" s="48" t="n">
        <v>-2.1825</v>
      </c>
      <c r="Z191" s="48" t="n">
        <v>0.0888449269943511</v>
      </c>
      <c r="AA191" s="48" t="n">
        <v>0.0198663296215375</v>
      </c>
      <c r="AB191" s="27" t="n">
        <v>0.82940951</v>
      </c>
      <c r="AC191" s="27" t="n">
        <v>0.20154233385918</v>
      </c>
      <c r="AD191" s="27" t="n">
        <v>0.200772647959583</v>
      </c>
      <c r="AE191" s="55" t="n">
        <v>0.605</v>
      </c>
      <c r="AF191" s="55" t="n">
        <v>0.005</v>
      </c>
      <c r="AG191" s="29" t="n">
        <v>27.2402</v>
      </c>
      <c r="AH191" s="27" t="n">
        <v>0.133551</v>
      </c>
      <c r="AI191" s="27" t="n">
        <f aca="false">VLOOKUP(B191,proft,2,0)</f>
        <v>28.4092559814453</v>
      </c>
      <c r="AJ191" s="27" t="n">
        <f aca="false">VLOOKUP(B191,proft,3,0)</f>
        <v>0.15676237642765</v>
      </c>
      <c r="AK191" s="27" t="s">
        <v>163</v>
      </c>
      <c r="BA191" s="30" t="n">
        <v>28.421</v>
      </c>
      <c r="BB191" s="30" t="n">
        <v>1.893</v>
      </c>
      <c r="BC191" s="30" t="n">
        <v>0.01893</v>
      </c>
      <c r="BD191" s="31" t="n">
        <v>28.421</v>
      </c>
      <c r="BE191" s="31" t="n">
        <v>1.893</v>
      </c>
      <c r="BF191" s="31" t="n">
        <v>0.01893</v>
      </c>
      <c r="BG191" s="14" t="n">
        <f aca="false">10^6/((BA191+273.15)^2)</f>
        <v>10.9956484891427</v>
      </c>
      <c r="BH191" s="14" t="n">
        <f aca="false">BG191*(2*($BE191/($BD191+273.15)))</f>
        <v>0.138042202930302</v>
      </c>
      <c r="BI191" s="14" t="n">
        <f aca="false">BG191*(2*($BF191/($BD191+273.15)))</f>
        <v>0.00138042202930302</v>
      </c>
      <c r="BK191" s="14" t="n">
        <f aca="false">10^6/((AG191+273.15)^2)</f>
        <v>11.0822637008973</v>
      </c>
      <c r="BL191" s="14" t="n">
        <f aca="false">BK191*(2*($AH191/($AG191+273.15)))</f>
        <v>0.00985416567863093</v>
      </c>
      <c r="BM191" s="14" t="n">
        <f aca="false">10^6/((AI191+273.15)^2)</f>
        <v>10.9965049418087</v>
      </c>
      <c r="BN191" s="14" t="n">
        <f aca="false">BM191*(2*($AJ191/($AI191+273.15)))</f>
        <v>0.0114328326050944</v>
      </c>
    </row>
    <row r="192" s="14" customFormat="true" ht="16" hidden="false" customHeight="false" outlineLevel="0" collapsed="false">
      <c r="A192" s="22" t="s">
        <v>154</v>
      </c>
      <c r="B192" s="36" t="s">
        <v>623</v>
      </c>
      <c r="C192" s="14" t="s">
        <v>597</v>
      </c>
      <c r="D192" s="36" t="s">
        <v>623</v>
      </c>
      <c r="E192" s="34" t="s">
        <v>611</v>
      </c>
      <c r="F192" s="22" t="n">
        <v>14.7</v>
      </c>
      <c r="G192" s="22" t="n">
        <v>-59.7</v>
      </c>
      <c r="H192" s="22" t="s">
        <v>78</v>
      </c>
      <c r="I192" s="22" t="s">
        <v>612</v>
      </c>
      <c r="J192" s="22" t="n">
        <v>2720</v>
      </c>
      <c r="K192" s="35" t="s">
        <v>154</v>
      </c>
      <c r="L192" s="22" t="s">
        <v>160</v>
      </c>
      <c r="M192" s="22" t="s">
        <v>161</v>
      </c>
      <c r="N192" s="22" t="s">
        <v>624</v>
      </c>
      <c r="O192" s="22" t="s">
        <v>71</v>
      </c>
      <c r="P192" s="22" t="s">
        <v>71</v>
      </c>
      <c r="Q192" s="22" t="n">
        <v>5</v>
      </c>
      <c r="R192" s="35" t="s">
        <v>62</v>
      </c>
      <c r="S192" s="25" t="n">
        <v>35.1782857142857</v>
      </c>
      <c r="T192" s="22" t="n">
        <v>28.2040202020202</v>
      </c>
      <c r="U192" s="36" t="n">
        <v>18</v>
      </c>
      <c r="V192" s="48" t="n">
        <v>0.674444444444444</v>
      </c>
      <c r="W192" s="48" t="n">
        <v>0.196325726408113</v>
      </c>
      <c r="X192" s="48" t="n">
        <v>0.0462744174881839</v>
      </c>
      <c r="Y192" s="48" t="n">
        <v>-2.20777777777778</v>
      </c>
      <c r="Z192" s="48" t="n">
        <v>0.125255294853706</v>
      </c>
      <c r="AA192" s="48" t="n">
        <v>0.0295229561235254</v>
      </c>
      <c r="AB192" s="27" t="n">
        <v>0.750726075</v>
      </c>
      <c r="AC192" s="27" t="n">
        <v>0.206200375025736</v>
      </c>
      <c r="AD192" s="27" t="n">
        <v>0.201567975296644</v>
      </c>
      <c r="AE192" s="55" t="n">
        <v>0.577</v>
      </c>
      <c r="AF192" s="55" t="n">
        <v>0.006</v>
      </c>
      <c r="AG192" s="29" t="n">
        <v>27.4258</v>
      </c>
      <c r="AH192" s="27" t="n">
        <v>0.034088</v>
      </c>
      <c r="AI192" s="27" t="n">
        <f aca="false">VLOOKUP(B192,proft,2,0)</f>
        <v>28.4092559814453</v>
      </c>
      <c r="AJ192" s="27" t="n">
        <f aca="false">VLOOKUP(B192,proft,3,0)</f>
        <v>0.15676237642765</v>
      </c>
      <c r="AK192" s="27" t="s">
        <v>163</v>
      </c>
      <c r="BA192" s="30" t="n">
        <v>28.24</v>
      </c>
      <c r="BB192" s="30" t="n">
        <v>1.904</v>
      </c>
      <c r="BC192" s="30" t="n">
        <v>0.01904</v>
      </c>
      <c r="BD192" s="31" t="n">
        <v>28.24</v>
      </c>
      <c r="BE192" s="31" t="n">
        <v>1.904</v>
      </c>
      <c r="BF192" s="31" t="n">
        <v>0.01904</v>
      </c>
      <c r="BG192" s="14" t="n">
        <f aca="false">10^6/((BA192+273.15)^2)</f>
        <v>11.0088593454308</v>
      </c>
      <c r="BH192" s="14" t="n">
        <f aca="false">BG192*(2*($BE192/($BD192+273.15)))</f>
        <v>0.139094649415708</v>
      </c>
      <c r="BI192" s="14" t="n">
        <f aca="false">BG192*(2*($BF192/($BD192+273.15)))</f>
        <v>0.00139094649415708</v>
      </c>
      <c r="BK192" s="14" t="n">
        <f aca="false">10^6/((AG192+273.15)^2)</f>
        <v>11.0685817404477</v>
      </c>
      <c r="BL192" s="14" t="n">
        <f aca="false">BK192*(2*($AH192/($AG192+273.15)))</f>
        <v>0.00251055350675857</v>
      </c>
      <c r="BM192" s="14" t="n">
        <f aca="false">10^6/((AI192+273.15)^2)</f>
        <v>10.9965049418087</v>
      </c>
      <c r="BN192" s="14" t="n">
        <f aca="false">BM192*(2*($AJ192/($AI192+273.15)))</f>
        <v>0.0114328326050944</v>
      </c>
    </row>
    <row r="193" s="14" customFormat="true" ht="16" hidden="false" customHeight="false" outlineLevel="0" collapsed="false">
      <c r="A193" s="22" t="s">
        <v>154</v>
      </c>
      <c r="B193" s="36" t="s">
        <v>625</v>
      </c>
      <c r="C193" s="14" t="s">
        <v>597</v>
      </c>
      <c r="D193" s="36" t="s">
        <v>625</v>
      </c>
      <c r="E193" s="34" t="s">
        <v>616</v>
      </c>
      <c r="F193" s="22" t="n">
        <v>-13.5</v>
      </c>
      <c r="G193" s="22" t="n">
        <v>-162.1</v>
      </c>
      <c r="H193" s="22" t="s">
        <v>56</v>
      </c>
      <c r="I193" s="22" t="s">
        <v>617</v>
      </c>
      <c r="J193" s="22" t="n">
        <v>3154</v>
      </c>
      <c r="K193" s="35" t="s">
        <v>154</v>
      </c>
      <c r="L193" s="22" t="s">
        <v>160</v>
      </c>
      <c r="M193" s="22" t="s">
        <v>161</v>
      </c>
      <c r="N193" s="22" t="s">
        <v>626</v>
      </c>
      <c r="O193" s="22" t="s">
        <v>71</v>
      </c>
      <c r="P193" s="22" t="s">
        <v>71</v>
      </c>
      <c r="Q193" s="22" t="n">
        <v>5</v>
      </c>
      <c r="R193" s="35" t="s">
        <v>62</v>
      </c>
      <c r="S193" s="25" t="n">
        <v>35.9784615384615</v>
      </c>
      <c r="T193" s="22" t="n">
        <v>1.82885929648241</v>
      </c>
      <c r="U193" s="36" t="n">
        <v>17</v>
      </c>
      <c r="V193" s="48" t="n">
        <v>1.75176470588235</v>
      </c>
      <c r="W193" s="48" t="n">
        <v>0.189051424687754</v>
      </c>
      <c r="X193" s="48" t="n">
        <v>0.0458517054506538</v>
      </c>
      <c r="Y193" s="48" t="n">
        <v>-1.58470588235294</v>
      </c>
      <c r="Z193" s="48" t="n">
        <v>0.0854486429865056</v>
      </c>
      <c r="AA193" s="48" t="n">
        <v>0.0207243400352386</v>
      </c>
      <c r="AB193" s="27" t="n">
        <v>0.612956274</v>
      </c>
      <c r="AC193" s="27" t="n">
        <v>0.205116461313573</v>
      </c>
      <c r="AD193" s="27" t="n">
        <v>0.201033709960197</v>
      </c>
      <c r="AE193" s="55" t="n">
        <v>0.608</v>
      </c>
      <c r="AF193" s="55" t="n">
        <v>0.007</v>
      </c>
      <c r="AG193" s="29" t="n">
        <v>27.532</v>
      </c>
      <c r="AH193" s="27" t="n">
        <v>1.04582</v>
      </c>
      <c r="AI193" s="27" t="n">
        <f aca="false">VLOOKUP(B193,proft,2,0)</f>
        <v>25.6431806646404</v>
      </c>
      <c r="AJ193" s="27" t="n">
        <f aca="false">VLOOKUP(B193,proft,3,0)</f>
        <v>0.325958103003252</v>
      </c>
      <c r="AK193" s="27" t="s">
        <v>163</v>
      </c>
      <c r="BA193" s="30" t="n">
        <v>25.331</v>
      </c>
      <c r="BB193" s="30" t="n">
        <v>1.878</v>
      </c>
      <c r="BC193" s="30" t="n">
        <v>0.01878</v>
      </c>
      <c r="BD193" s="31" t="n">
        <v>25.331</v>
      </c>
      <c r="BE193" s="31" t="n">
        <v>1.878</v>
      </c>
      <c r="BF193" s="31" t="n">
        <v>0.01878</v>
      </c>
      <c r="BG193" s="14" t="n">
        <f aca="false">10^6/((BA193+273.15)^2)</f>
        <v>11.2244900138682</v>
      </c>
      <c r="BH193" s="14" t="n">
        <f aca="false">BG193*(2*($BE193/($BD193+273.15)))</f>
        <v>0.141245789487736</v>
      </c>
      <c r="BI193" s="14" t="n">
        <f aca="false">BG193*(2*($BF193/($BD193+273.15)))</f>
        <v>0.00141245789487736</v>
      </c>
      <c r="BK193" s="14" t="n">
        <f aca="false">10^6/((AG193+273.15)^2)</f>
        <v>11.0607643400566</v>
      </c>
      <c r="BL193" s="14" t="n">
        <f aca="false">BK193*(2*($AH193/($AG193+273.15)))</f>
        <v>0.0769422084602206</v>
      </c>
      <c r="BM193" s="14" t="n">
        <f aca="false">10^6/((AI193+273.15)^2)</f>
        <v>11.2010474559732</v>
      </c>
      <c r="BN193" s="14" t="n">
        <f aca="false">BM193*(2*($AJ193/($AI193+273.15)))</f>
        <v>0.0244387918912803</v>
      </c>
    </row>
    <row r="194" s="14" customFormat="true" ht="16" hidden="false" customHeight="false" outlineLevel="0" collapsed="false">
      <c r="A194" s="22" t="s">
        <v>627</v>
      </c>
      <c r="B194" s="36" t="s">
        <v>628</v>
      </c>
      <c r="C194" s="14" t="s">
        <v>597</v>
      </c>
      <c r="D194" s="36" t="s">
        <v>628</v>
      </c>
      <c r="E194" s="34" t="s">
        <v>345</v>
      </c>
      <c r="F194" s="22" t="n">
        <v>-11.2</v>
      </c>
      <c r="G194" s="22" t="n">
        <v>58.8</v>
      </c>
      <c r="H194" s="22" t="s">
        <v>125</v>
      </c>
      <c r="I194" s="22" t="s">
        <v>346</v>
      </c>
      <c r="J194" s="22" t="n">
        <v>2871</v>
      </c>
      <c r="K194" s="35" t="s">
        <v>154</v>
      </c>
      <c r="L194" s="22" t="s">
        <v>160</v>
      </c>
      <c r="M194" s="22" t="s">
        <v>161</v>
      </c>
      <c r="N194" s="22" t="s">
        <v>624</v>
      </c>
      <c r="O194" s="22" t="s">
        <v>71</v>
      </c>
      <c r="P194" s="22" t="s">
        <v>71</v>
      </c>
      <c r="Q194" s="22" t="n">
        <v>5</v>
      </c>
      <c r="R194" s="35" t="s">
        <v>62</v>
      </c>
      <c r="S194" s="25" t="n">
        <v>35.0202857142857</v>
      </c>
      <c r="T194" s="22" t="n">
        <v>7.05296756756757</v>
      </c>
      <c r="U194" s="36" t="n">
        <v>19</v>
      </c>
      <c r="V194" s="48" t="n">
        <v>1.58684210526316</v>
      </c>
      <c r="W194" s="48" t="n">
        <v>0.114312079247944</v>
      </c>
      <c r="X194" s="48" t="n">
        <v>0.026224989550937</v>
      </c>
      <c r="Y194" s="48" t="n">
        <v>-1.73894736842105</v>
      </c>
      <c r="Z194" s="48" t="n">
        <v>0.0803391932055101</v>
      </c>
      <c r="AA194" s="48" t="n">
        <v>0.018431074967811</v>
      </c>
      <c r="AB194" s="27" t="n">
        <v>0.3977346125</v>
      </c>
      <c r="AC194" s="27" t="n">
        <v>0.200015176168739</v>
      </c>
      <c r="AD194" s="27" t="n">
        <v>0.200003794150143</v>
      </c>
      <c r="AE194" s="55" t="n">
        <v>0.607</v>
      </c>
      <c r="AF194" s="55" t="n">
        <v>0.008</v>
      </c>
      <c r="AG194" s="29" t="n">
        <v>21.4148</v>
      </c>
      <c r="AH194" s="27" t="n">
        <v>2.708527</v>
      </c>
      <c r="AI194" s="27" t="n">
        <f aca="false">VLOOKUP(B194,proft,2,0)</f>
        <v>25.3107296103726</v>
      </c>
      <c r="AJ194" s="27" t="n">
        <f aca="false">VLOOKUP(B194,proft,3,0)</f>
        <v>1.51115158394306</v>
      </c>
      <c r="AK194" s="27" t="s">
        <v>163</v>
      </c>
      <c r="BA194" s="30" t="n">
        <v>25.106</v>
      </c>
      <c r="BB194" s="30" t="n">
        <v>1.911</v>
      </c>
      <c r="BC194" s="30" t="n">
        <v>0.01911</v>
      </c>
      <c r="BD194" s="31" t="n">
        <v>25.106</v>
      </c>
      <c r="BE194" s="31" t="n">
        <v>1.911</v>
      </c>
      <c r="BF194" s="31" t="n">
        <v>0.01911</v>
      </c>
      <c r="BG194" s="14" t="n">
        <f aca="false">10^6/((BA194+273.15)^2)</f>
        <v>11.2414315865928</v>
      </c>
      <c r="BH194" s="14" t="n">
        <f aca="false">BG194*(2*($BE194/($BD194+273.15)))</f>
        <v>0.144053268078287</v>
      </c>
      <c r="BI194" s="14" t="n">
        <f aca="false">BG194*(2*($BF194/($BD194+273.15)))</f>
        <v>0.00144053268078287</v>
      </c>
      <c r="BK194" s="14" t="n">
        <f aca="false">10^6/((AG194+273.15)^2)</f>
        <v>11.5249301978319</v>
      </c>
      <c r="BL194" s="14" t="n">
        <f aca="false">BK194*(2*($AH194/($AG194+273.15)))</f>
        <v>0.211943753048179</v>
      </c>
      <c r="BM194" s="14" t="n">
        <f aca="false">10^6/((AI194+273.15)^2)</f>
        <v>11.2260147204022</v>
      </c>
      <c r="BN194" s="14" t="n">
        <f aca="false">BM194*(2*($AJ194/($AI194+273.15)))</f>
        <v>0.113678003456266</v>
      </c>
    </row>
    <row r="195" s="14" customFormat="true" ht="16" hidden="false" customHeight="false" outlineLevel="0" collapsed="false">
      <c r="A195" s="22" t="s">
        <v>629</v>
      </c>
      <c r="B195" s="36" t="s">
        <v>630</v>
      </c>
      <c r="C195" s="14" t="s">
        <v>597</v>
      </c>
      <c r="D195" s="36" t="s">
        <v>630</v>
      </c>
      <c r="E195" s="34" t="s">
        <v>631</v>
      </c>
      <c r="F195" s="22" t="n">
        <v>70.1</v>
      </c>
      <c r="G195" s="22" t="n">
        <v>-17.7</v>
      </c>
      <c r="H195" s="22" t="s">
        <v>571</v>
      </c>
      <c r="I195" s="22" t="s">
        <v>632</v>
      </c>
      <c r="J195" s="22" t="n">
        <v>1610</v>
      </c>
      <c r="K195" s="35" t="s">
        <v>633</v>
      </c>
      <c r="L195" s="22" t="s">
        <v>80</v>
      </c>
      <c r="M195" s="22" t="s">
        <v>81</v>
      </c>
      <c r="N195" s="22" t="s">
        <v>82</v>
      </c>
      <c r="O195" s="22" t="s">
        <v>71</v>
      </c>
      <c r="P195" s="22" t="s">
        <v>71</v>
      </c>
      <c r="Q195" s="22" t="n">
        <v>5</v>
      </c>
      <c r="R195" s="35" t="s">
        <v>486</v>
      </c>
      <c r="S195" s="25" t="n">
        <v>34.36548</v>
      </c>
      <c r="T195" s="22" t="n">
        <v>36.967623655914</v>
      </c>
      <c r="U195" s="36" t="n">
        <v>21</v>
      </c>
      <c r="V195" s="48" t="n">
        <v>0.391428571428571</v>
      </c>
      <c r="W195" s="48" t="n">
        <v>0.0623125761211745</v>
      </c>
      <c r="X195" s="48" t="n">
        <v>0.0135977188963324</v>
      </c>
      <c r="Y195" s="48" t="n">
        <v>2.78571428571429</v>
      </c>
      <c r="Z195" s="48" t="n">
        <v>0.0695393002964099</v>
      </c>
      <c r="AA195" s="48" t="n">
        <v>0.0151747193991697</v>
      </c>
      <c r="AB195" s="27" t="n">
        <v>0.276767029</v>
      </c>
      <c r="AC195" s="27" t="n">
        <v>0.20314708560148</v>
      </c>
      <c r="AD195" s="27" t="n">
        <v>0.200316933480017</v>
      </c>
      <c r="AE195" s="55" t="n">
        <v>0.669</v>
      </c>
      <c r="AF195" s="55" t="n">
        <v>0.005</v>
      </c>
      <c r="AG195" s="29" t="n">
        <v>4.1341</v>
      </c>
      <c r="AH195" s="27" t="n">
        <v>0.5727</v>
      </c>
      <c r="AI195" s="27" t="n">
        <f aca="false">VLOOKUP(B195,proft,2,0)</f>
        <v>3.9750525637083</v>
      </c>
      <c r="AJ195" s="27" t="n">
        <f aca="false">VLOOKUP(B195,proft,3,0)</f>
        <v>1.50977923647612</v>
      </c>
      <c r="AK195" s="27" t="s">
        <v>84</v>
      </c>
      <c r="BA195" s="30" t="n">
        <v>7.1598</v>
      </c>
      <c r="BB195" s="30" t="n">
        <v>2.159</v>
      </c>
      <c r="BC195" s="30" t="n">
        <v>0.02159</v>
      </c>
      <c r="BD195" s="31" t="n">
        <v>7.1598</v>
      </c>
      <c r="BE195" s="31" t="n">
        <v>2.159</v>
      </c>
      <c r="BF195" s="31" t="n">
        <v>0.02159</v>
      </c>
      <c r="BG195" s="14" t="n">
        <f aca="false">10^6/((BA195+273.15)^2)</f>
        <v>12.7269235969297</v>
      </c>
      <c r="BH195" s="14" t="n">
        <f aca="false">BG195*(2*($BE195/($BD195+273.15)))</f>
        <v>0.196050427389775</v>
      </c>
      <c r="BI195" s="14" t="n">
        <f aca="false">BG195*(2*($BF195/($BD195+273.15)))</f>
        <v>0.00196050427389775</v>
      </c>
      <c r="BK195" s="14" t="n">
        <f aca="false">10^6/((AG195+273.15)^2)</f>
        <v>13.0061891581236</v>
      </c>
      <c r="BL195" s="14" t="n">
        <f aca="false">BK195*(2*($AH195/($AG195+273.15)))</f>
        <v>0.0537257241281226</v>
      </c>
      <c r="BM195" s="14" t="n">
        <f aca="false">10^6/((AI195+273.15)^2)</f>
        <v>13.0211224499894</v>
      </c>
      <c r="BN195" s="14" t="n">
        <f aca="false">BM195*(2*($AJ195/($AI195+273.15)))</f>
        <v>0.141878333472486</v>
      </c>
    </row>
    <row r="196" s="14" customFormat="true" ht="16" hidden="false" customHeight="false" outlineLevel="0" collapsed="false">
      <c r="A196" s="22" t="s">
        <v>629</v>
      </c>
      <c r="B196" s="36" t="s">
        <v>634</v>
      </c>
      <c r="C196" s="14" t="s">
        <v>597</v>
      </c>
      <c r="D196" s="36" t="s">
        <v>634</v>
      </c>
      <c r="E196" s="34" t="s">
        <v>635</v>
      </c>
      <c r="F196" s="22" t="n">
        <v>23.3</v>
      </c>
      <c r="G196" s="22" t="n">
        <v>66.7</v>
      </c>
      <c r="H196" s="22" t="s">
        <v>571</v>
      </c>
      <c r="I196" s="22" t="s">
        <v>632</v>
      </c>
      <c r="J196" s="22" t="n">
        <v>151</v>
      </c>
      <c r="K196" s="35" t="s">
        <v>633</v>
      </c>
      <c r="L196" s="22" t="s">
        <v>80</v>
      </c>
      <c r="M196" s="22" t="s">
        <v>81</v>
      </c>
      <c r="N196" s="22" t="s">
        <v>82</v>
      </c>
      <c r="O196" s="22" t="s">
        <v>92</v>
      </c>
      <c r="P196" s="22" t="s">
        <v>92</v>
      </c>
      <c r="Q196" s="22" t="n">
        <v>4</v>
      </c>
      <c r="R196" s="35" t="s">
        <v>486</v>
      </c>
      <c r="S196" s="25" t="n">
        <v>36.494375</v>
      </c>
      <c r="T196" s="22" t="n">
        <v>54.183</v>
      </c>
      <c r="U196" s="36" t="n">
        <v>23</v>
      </c>
      <c r="V196" s="48" t="n">
        <v>0.545652173913044</v>
      </c>
      <c r="W196" s="48" t="n">
        <v>0.0549235904736192</v>
      </c>
      <c r="X196" s="48" t="n">
        <v>0.0114523602855174</v>
      </c>
      <c r="Y196" s="48" t="n">
        <v>3.60652173913043</v>
      </c>
      <c r="Z196" s="48" t="n">
        <v>0.0601217473625714</v>
      </c>
      <c r="AA196" s="48" t="n">
        <v>0.0125362509233941</v>
      </c>
      <c r="AB196" s="27" t="n">
        <v>-0.0253498623</v>
      </c>
      <c r="AC196" s="27" t="n">
        <v>0.270995563213217</v>
      </c>
      <c r="AD196" s="27" t="n">
        <v>0.208191881513485</v>
      </c>
      <c r="AE196" s="55" t="n">
        <v>0.671</v>
      </c>
      <c r="AF196" s="55" t="n">
        <v>0.008</v>
      </c>
      <c r="AG196" s="29" t="n">
        <v>-0.2621</v>
      </c>
      <c r="AH196" s="27" t="n">
        <v>0.56735</v>
      </c>
      <c r="AI196" s="27" t="n">
        <f aca="false">VLOOKUP(B196,proft,2,0)</f>
        <v>-0.96181000182233</v>
      </c>
      <c r="AJ196" s="27" t="n">
        <f aca="false">VLOOKUP(B196,proft,3,0)</f>
        <v>1.88631297624063</v>
      </c>
      <c r="AK196" s="27" t="s">
        <v>84</v>
      </c>
      <c r="BA196" s="30" t="n">
        <v>2.3212</v>
      </c>
      <c r="BB196" s="30" t="n">
        <v>2.128</v>
      </c>
      <c r="BC196" s="30" t="n">
        <v>0.02128</v>
      </c>
      <c r="BD196" s="31" t="n">
        <v>2.3212</v>
      </c>
      <c r="BE196" s="31" t="n">
        <v>2.128</v>
      </c>
      <c r="BF196" s="31" t="n">
        <v>0.02128</v>
      </c>
      <c r="BG196" s="14" t="n">
        <f aca="false">10^6/((BA196+273.15)^2)</f>
        <v>13.1779421964857</v>
      </c>
      <c r="BH196" s="14" t="n">
        <f aca="false">BG196*(2*($BE196/($BD196+273.15)))</f>
        <v>0.203597769887535</v>
      </c>
      <c r="BI196" s="14" t="n">
        <f aca="false">BG196*(2*($BF196/($BD196+273.15)))</f>
        <v>0.00203597769887535</v>
      </c>
      <c r="BK196" s="14" t="n">
        <f aca="false">10^6/((AG196+273.15)^2)</f>
        <v>13.428621765103</v>
      </c>
      <c r="BL196" s="14" t="n">
        <f aca="false">BK196*(2*($AH196/($AG196+273.15)))</f>
        <v>0.0558377894984071</v>
      </c>
      <c r="BM196" s="14" t="n">
        <f aca="false">10^6/((AI196+273.15)^2)</f>
        <v>13.4977520107427</v>
      </c>
      <c r="BN196" s="14" t="n">
        <f aca="false">BM196*(2*($AJ196/($AI196+273.15)))</f>
        <v>0.187083684770543</v>
      </c>
    </row>
    <row r="197" s="14" customFormat="true" ht="16" hidden="false" customHeight="false" outlineLevel="0" collapsed="false">
      <c r="A197" s="22" t="s">
        <v>629</v>
      </c>
      <c r="B197" s="36" t="s">
        <v>636</v>
      </c>
      <c r="C197" s="14" t="s">
        <v>597</v>
      </c>
      <c r="D197" s="36" t="s">
        <v>636</v>
      </c>
      <c r="E197" s="34" t="s">
        <v>637</v>
      </c>
      <c r="F197" s="22" t="n">
        <v>-11.2</v>
      </c>
      <c r="G197" s="22" t="n">
        <v>58.8</v>
      </c>
      <c r="H197" s="22" t="s">
        <v>571</v>
      </c>
      <c r="I197" s="22" t="s">
        <v>632</v>
      </c>
      <c r="J197" s="22" t="n">
        <v>2871</v>
      </c>
      <c r="K197" s="35" t="s">
        <v>633</v>
      </c>
      <c r="L197" s="22" t="s">
        <v>80</v>
      </c>
      <c r="M197" s="22" t="s">
        <v>81</v>
      </c>
      <c r="N197" s="22" t="s">
        <v>82</v>
      </c>
      <c r="O197" s="22" t="s">
        <v>92</v>
      </c>
      <c r="P197" s="22" t="s">
        <v>92</v>
      </c>
      <c r="Q197" s="22" t="n">
        <v>4</v>
      </c>
      <c r="R197" s="35" t="s">
        <v>486</v>
      </c>
      <c r="S197" s="25" t="n">
        <v>35.12916</v>
      </c>
      <c r="T197" s="22" t="n">
        <v>8.04057142857143</v>
      </c>
      <c r="U197" s="36" t="n">
        <v>28</v>
      </c>
      <c r="V197" s="48" t="n">
        <v>0.772857142857143</v>
      </c>
      <c r="W197" s="48" t="n">
        <v>0.0349451573349444</v>
      </c>
      <c r="X197" s="48" t="n">
        <v>0.0066040139881634</v>
      </c>
      <c r="Y197" s="48" t="n">
        <v>3.65964285714286</v>
      </c>
      <c r="Z197" s="48" t="n">
        <v>0.0511701694680235</v>
      </c>
      <c r="AA197" s="48" t="n">
        <v>0.00967025306838718</v>
      </c>
      <c r="AB197" s="27" t="n">
        <v>0.0813640354</v>
      </c>
      <c r="AC197" s="27" t="n">
        <v>0.22663629383335</v>
      </c>
      <c r="AD197" s="27" t="n">
        <v>0.202821105825433</v>
      </c>
      <c r="AE197" s="55" t="n">
        <v>0.676</v>
      </c>
      <c r="AF197" s="55" t="n">
        <v>0.005</v>
      </c>
      <c r="AG197" s="29" t="n">
        <v>0.6231</v>
      </c>
      <c r="AH197" s="27" t="n">
        <v>0.775154</v>
      </c>
      <c r="AI197" s="27" t="n">
        <f aca="false">VLOOKUP(B197,proft,2,0)</f>
        <v>-0.410875271574782</v>
      </c>
      <c r="AJ197" s="27" t="n">
        <f aca="false">VLOOKUP(B197,proft,3,0)</f>
        <v>1.66121550108701</v>
      </c>
      <c r="AK197" s="27" t="s">
        <v>84</v>
      </c>
      <c r="BA197" s="30" t="n">
        <v>2.5666</v>
      </c>
      <c r="BB197" s="30" t="n">
        <v>2.158</v>
      </c>
      <c r="BC197" s="30" t="n">
        <v>0.02181</v>
      </c>
      <c r="BD197" s="31" t="n">
        <v>2.5666</v>
      </c>
      <c r="BE197" s="31" t="n">
        <v>2.158</v>
      </c>
      <c r="BF197" s="31" t="n">
        <v>0.02181</v>
      </c>
      <c r="BG197" s="14" t="n">
        <f aca="false">10^6/((BA197+273.15)^2)</f>
        <v>13.1544947299748</v>
      </c>
      <c r="BH197" s="14" t="n">
        <f aca="false">BG197*(2*($BE197/($BD197+273.15)))</f>
        <v>0.205917232602504</v>
      </c>
      <c r="BI197" s="14" t="n">
        <f aca="false">BG197*(2*($BF197/($BD197+273.15)))</f>
        <v>0.00208111901902716</v>
      </c>
      <c r="BK197" s="14" t="n">
        <f aca="false">10^6/((AG197+273.15)^2)</f>
        <v>13.3419237028228</v>
      </c>
      <c r="BL197" s="14" t="n">
        <f aca="false">BK197*(2*($AH197/($AG197+273.15)))</f>
        <v>0.0755519481346989</v>
      </c>
      <c r="BM197" s="14" t="n">
        <f aca="false">10^6/((AI197+273.15)^2)</f>
        <v>13.4432760010901</v>
      </c>
      <c r="BN197" s="14" t="n">
        <f aca="false">BM197*(2*($AJ197/($AI197+273.15)))</f>
        <v>0.163762192172749</v>
      </c>
    </row>
    <row r="198" s="14" customFormat="true" ht="16" hidden="false" customHeight="false" outlineLevel="0" collapsed="false">
      <c r="A198" s="22" t="s">
        <v>139</v>
      </c>
      <c r="B198" s="36" t="s">
        <v>638</v>
      </c>
      <c r="C198" s="14" t="s">
        <v>597</v>
      </c>
      <c r="D198" s="36" t="s">
        <v>638</v>
      </c>
      <c r="E198" s="34" t="s">
        <v>611</v>
      </c>
      <c r="F198" s="22" t="n">
        <v>14.7</v>
      </c>
      <c r="G198" s="22" t="n">
        <v>-59.7</v>
      </c>
      <c r="H198" s="22" t="s">
        <v>78</v>
      </c>
      <c r="I198" s="22" t="s">
        <v>612</v>
      </c>
      <c r="J198" s="22" t="n">
        <v>2720</v>
      </c>
      <c r="K198" s="35" t="s">
        <v>139</v>
      </c>
      <c r="L198" s="22" t="s">
        <v>144</v>
      </c>
      <c r="M198" s="22" t="s">
        <v>145</v>
      </c>
      <c r="N198" s="22" t="s">
        <v>146</v>
      </c>
      <c r="O198" s="22" t="s">
        <v>71</v>
      </c>
      <c r="P198" s="22" t="s">
        <v>71</v>
      </c>
      <c r="Q198" s="22" t="n">
        <v>5</v>
      </c>
      <c r="R198" s="35" t="s">
        <v>62</v>
      </c>
      <c r="S198" s="25" t="n">
        <v>36.853</v>
      </c>
      <c r="T198" s="22" t="n">
        <v>28.2040202020202</v>
      </c>
      <c r="U198" s="36" t="n">
        <v>17</v>
      </c>
      <c r="V198" s="48" t="n">
        <v>1.22647058823529</v>
      </c>
      <c r="W198" s="48" t="n">
        <v>0.154795880778146</v>
      </c>
      <c r="X198" s="48" t="n">
        <v>0.0375435156975774</v>
      </c>
      <c r="Y198" s="48" t="n">
        <v>-0.904705882352941</v>
      </c>
      <c r="Z198" s="48" t="n">
        <v>0.0944800009961646</v>
      </c>
      <c r="AA198" s="48" t="n">
        <v>0.0229147660950381</v>
      </c>
      <c r="AB198" s="27" t="n">
        <v>1.12099265</v>
      </c>
      <c r="AC198" s="27" t="n">
        <v>0.200155228618702</v>
      </c>
      <c r="AD198" s="27" t="n">
        <v>0.200077629363461</v>
      </c>
      <c r="AE198" s="55" t="n">
        <v>0.59</v>
      </c>
      <c r="AF198" s="55" t="n">
        <v>0.005</v>
      </c>
      <c r="AG198" s="29" t="n">
        <v>24.5893</v>
      </c>
      <c r="AH198" s="27" t="n">
        <v>0.985775</v>
      </c>
      <c r="AI198" s="27" t="n">
        <f aca="false">VLOOKUP(B198,proft,2,0)</f>
        <v>24.5072783206551</v>
      </c>
      <c r="AJ198" s="27" t="n">
        <f aca="false">VLOOKUP(B198,proft,3,0)</f>
        <v>0.133075165123459</v>
      </c>
      <c r="AK198" s="27" t="s">
        <v>63</v>
      </c>
      <c r="BA198" s="30" t="n">
        <v>24.1165</v>
      </c>
      <c r="BB198" s="30" t="n">
        <v>2.218</v>
      </c>
      <c r="BC198" s="30" t="n">
        <v>0.02218</v>
      </c>
      <c r="BD198" s="31" t="n">
        <v>24.1165</v>
      </c>
      <c r="BE198" s="31" t="n">
        <v>2.218</v>
      </c>
      <c r="BF198" s="31" t="n">
        <v>0.02218</v>
      </c>
      <c r="BG198" s="14" t="n">
        <f aca="false">10^6/((BA198+273.15)^2)</f>
        <v>11.3163940164274</v>
      </c>
      <c r="BH198" s="14" t="n">
        <f aca="false">BG198*(2*($BE198/($BD198+273.15)))</f>
        <v>0.168870437324326</v>
      </c>
      <c r="BI198" s="14" t="n">
        <f aca="false">BG198*(2*($BF198/($BD198+273.15)))</f>
        <v>0.00168870437324326</v>
      </c>
      <c r="BK198" s="14" t="n">
        <f aca="false">10^6/((AG198+273.15)^2)</f>
        <v>11.2804824456648</v>
      </c>
      <c r="BL198" s="14" t="n">
        <f aca="false">BK198*(2*($AH198/($AG198+273.15)))</f>
        <v>0.074696337251248</v>
      </c>
      <c r="BM198" s="14" t="n">
        <f aca="false">10^6/((AI198+273.15)^2)</f>
        <v>11.2867001440741</v>
      </c>
      <c r="BN198" s="14" t="n">
        <f aca="false">BM198*(2*($AJ198/($AI198+273.15)))</f>
        <v>0.0100920057715075</v>
      </c>
    </row>
    <row r="199" s="14" customFormat="true" ht="16" hidden="false" customHeight="false" outlineLevel="0" collapsed="false">
      <c r="A199" s="22" t="s">
        <v>139</v>
      </c>
      <c r="B199" s="36" t="s">
        <v>639</v>
      </c>
      <c r="C199" s="14" t="s">
        <v>597</v>
      </c>
      <c r="D199" s="36" t="s">
        <v>639</v>
      </c>
      <c r="E199" s="34" t="s">
        <v>616</v>
      </c>
      <c r="F199" s="22" t="n">
        <v>-13.5</v>
      </c>
      <c r="G199" s="22" t="n">
        <v>-162.1</v>
      </c>
      <c r="H199" s="22" t="s">
        <v>56</v>
      </c>
      <c r="I199" s="22" t="s">
        <v>617</v>
      </c>
      <c r="J199" s="22" t="n">
        <v>3154</v>
      </c>
      <c r="K199" s="35" t="s">
        <v>139</v>
      </c>
      <c r="L199" s="22" t="s">
        <v>144</v>
      </c>
      <c r="M199" s="22" t="s">
        <v>145</v>
      </c>
      <c r="N199" s="22" t="s">
        <v>640</v>
      </c>
      <c r="O199" s="22" t="s">
        <v>71</v>
      </c>
      <c r="P199" s="22" t="s">
        <v>71</v>
      </c>
      <c r="Q199" s="22" t="n">
        <v>5</v>
      </c>
      <c r="R199" s="35" t="s">
        <v>62</v>
      </c>
      <c r="S199" s="25" t="n">
        <v>36.1966666666667</v>
      </c>
      <c r="T199" s="22" t="n">
        <v>1.82885929648241</v>
      </c>
      <c r="U199" s="36" t="n">
        <v>21</v>
      </c>
      <c r="V199" s="48" t="n">
        <v>1.49904761904762</v>
      </c>
      <c r="W199" s="48" t="n">
        <v>0.141134856144921</v>
      </c>
      <c r="X199" s="48" t="n">
        <v>0.030798150546705</v>
      </c>
      <c r="Y199" s="48" t="n">
        <v>-0.235714285714286</v>
      </c>
      <c r="Z199" s="48" t="n">
        <v>0.254550023150096</v>
      </c>
      <c r="AA199" s="48" t="n">
        <v>0.0555473690113369</v>
      </c>
      <c r="AB199" s="27" t="n">
        <v>0.625122725</v>
      </c>
      <c r="AC199" s="27" t="n">
        <v>0.207514959900994</v>
      </c>
      <c r="AD199" s="27" t="n">
        <v>0.203792122741179</v>
      </c>
      <c r="AE199" s="55" t="n">
        <v>0.601</v>
      </c>
      <c r="AF199" s="55" t="n">
        <v>0.005</v>
      </c>
      <c r="AG199" s="29" t="n">
        <v>23.539</v>
      </c>
      <c r="AH199" s="27" t="n">
        <v>1.232275</v>
      </c>
      <c r="AI199" s="27" t="n">
        <f aca="false">VLOOKUP(B199,proft,2,0)</f>
        <v>17.6633575556842</v>
      </c>
      <c r="AJ199" s="27" t="n">
        <f aca="false">VLOOKUP(B199,proft,3,0)</f>
        <v>0.0874722806473873</v>
      </c>
      <c r="AK199" s="27" t="s">
        <v>63</v>
      </c>
      <c r="BA199" s="30" t="n">
        <v>19.5759</v>
      </c>
      <c r="BB199" s="30" t="n">
        <v>2.234</v>
      </c>
      <c r="BC199" s="30" t="n">
        <v>0.02234</v>
      </c>
      <c r="BD199" s="31" t="n">
        <v>19.5759</v>
      </c>
      <c r="BE199" s="31" t="n">
        <v>2.234</v>
      </c>
      <c r="BF199" s="31" t="n">
        <v>0.02234</v>
      </c>
      <c r="BG199" s="14" t="n">
        <f aca="false">10^6/((BA199+273.15)^2)</f>
        <v>11.670183910025</v>
      </c>
      <c r="BH199" s="14" t="n">
        <f aca="false">BG199*(2*($BE199/($BD199+273.15)))</f>
        <v>0.17812698401471</v>
      </c>
      <c r="BI199" s="14" t="n">
        <f aca="false">BG199*(2*($BF199/($BD199+273.15)))</f>
        <v>0.0017812698401471</v>
      </c>
      <c r="BK199" s="14" t="n">
        <f aca="false">10^6/((AG199+273.15)^2)</f>
        <v>11.3604912218402</v>
      </c>
      <c r="BL199" s="14" t="n">
        <f aca="false">BK199*(2*($AH199/($AG199+273.15)))</f>
        <v>0.0943698574628191</v>
      </c>
      <c r="BM199" s="14" t="n">
        <f aca="false">10^6/((AI199+273.15)^2)</f>
        <v>11.824187257034</v>
      </c>
      <c r="BN199" s="14" t="n">
        <f aca="false">BM199*(2*($AJ199/($AI199+273.15)))</f>
        <v>0.00711307509990487</v>
      </c>
    </row>
    <row r="200" s="14" customFormat="true" ht="16" hidden="false" customHeight="false" outlineLevel="0" collapsed="false">
      <c r="A200" s="22" t="s">
        <v>139</v>
      </c>
      <c r="B200" s="36" t="s">
        <v>641</v>
      </c>
      <c r="C200" s="14" t="s">
        <v>597</v>
      </c>
      <c r="D200" s="36" t="s">
        <v>641</v>
      </c>
      <c r="E200" s="34" t="s">
        <v>345</v>
      </c>
      <c r="F200" s="22" t="n">
        <v>-11.2</v>
      </c>
      <c r="G200" s="22" t="n">
        <v>58.8</v>
      </c>
      <c r="H200" s="22" t="s">
        <v>125</v>
      </c>
      <c r="I200" s="22" t="s">
        <v>346</v>
      </c>
      <c r="J200" s="22" t="n">
        <v>2871</v>
      </c>
      <c r="K200" s="35" t="s">
        <v>139</v>
      </c>
      <c r="L200" s="22" t="s">
        <v>144</v>
      </c>
      <c r="M200" s="22" t="s">
        <v>145</v>
      </c>
      <c r="N200" s="22" t="s">
        <v>146</v>
      </c>
      <c r="O200" s="22" t="s">
        <v>71</v>
      </c>
      <c r="P200" s="22" t="s">
        <v>71</v>
      </c>
      <c r="Q200" s="22" t="n">
        <v>5</v>
      </c>
      <c r="R200" s="35" t="s">
        <v>62</v>
      </c>
      <c r="S200" s="25" t="n">
        <v>35.197</v>
      </c>
      <c r="T200" s="22" t="n">
        <v>7.05296756756757</v>
      </c>
      <c r="U200" s="36" t="n">
        <v>21</v>
      </c>
      <c r="V200" s="48" t="n">
        <v>0.993809523809524</v>
      </c>
      <c r="W200" s="48" t="n">
        <v>0.0615204186003469</v>
      </c>
      <c r="X200" s="48" t="n">
        <v>0.0134248559534028</v>
      </c>
      <c r="Y200" s="48" t="n">
        <v>-0.795238095238095</v>
      </c>
      <c r="Z200" s="48" t="n">
        <v>0.146205986458115</v>
      </c>
      <c r="AA200" s="48" t="n">
        <v>0.0319047619047619</v>
      </c>
      <c r="AB200" s="27" t="n">
        <v>0.224312055</v>
      </c>
      <c r="AC200" s="27" t="n">
        <v>0.200171203355368</v>
      </c>
      <c r="AD200" s="27" t="n">
        <v>0.200085619988964</v>
      </c>
      <c r="AE200" s="55" t="n">
        <v>0.605</v>
      </c>
      <c r="AF200" s="55" t="n">
        <v>0.005</v>
      </c>
      <c r="AG200" s="29" t="n">
        <v>18.9503</v>
      </c>
      <c r="AH200" s="27" t="n">
        <v>1.433712</v>
      </c>
      <c r="AI200" s="27" t="n">
        <f aca="false">VLOOKUP(B200,proft,2,0)</f>
        <v>19.6479684655999</v>
      </c>
      <c r="AJ200" s="27" t="n">
        <f aca="false">VLOOKUP(B200,proft,3,0)</f>
        <v>1.82212185580648</v>
      </c>
      <c r="AK200" s="27" t="s">
        <v>63</v>
      </c>
      <c r="BA200" s="30" t="n">
        <v>20.2284</v>
      </c>
      <c r="BB200" s="30" t="n">
        <v>2.214</v>
      </c>
      <c r="BC200" s="30" t="n">
        <v>0.02214</v>
      </c>
      <c r="BD200" s="31" t="n">
        <v>20.2284</v>
      </c>
      <c r="BE200" s="31" t="n">
        <v>2.214</v>
      </c>
      <c r="BF200" s="31" t="n">
        <v>0.02214</v>
      </c>
      <c r="BG200" s="14" t="n">
        <f aca="false">10^6/((BA200+273.15)^2)</f>
        <v>11.6183305560893</v>
      </c>
      <c r="BH200" s="14" t="n">
        <f aca="false">BG200*(2*($BE200/($BD200+273.15)))</f>
        <v>0.175357039585612</v>
      </c>
      <c r="BI200" s="14" t="n">
        <f aca="false">BG200*(2*($BF200/($BD200+273.15)))</f>
        <v>0.00175357039585612</v>
      </c>
      <c r="BK200" s="14" t="n">
        <f aca="false">10^6/((AG200+273.15)^2)</f>
        <v>11.7202262091765</v>
      </c>
      <c r="BL200" s="14" t="n">
        <f aca="false">BK200*(2*($AH200/($AG200+273.15)))</f>
        <v>0.115052459438151</v>
      </c>
      <c r="BM200" s="14" t="n">
        <f aca="false">10^6/((AI200+273.15)^2)</f>
        <v>11.6644396847836</v>
      </c>
      <c r="BN200" s="14" t="n">
        <f aca="false">BM200*(2*($AJ200/($AI200+273.15)))</f>
        <v>0.145178811156114</v>
      </c>
    </row>
    <row r="201" s="14" customFormat="true" ht="16" hidden="false" customHeight="false" outlineLevel="0" collapsed="false">
      <c r="A201" s="22" t="s">
        <v>67</v>
      </c>
      <c r="B201" s="36" t="s">
        <v>642</v>
      </c>
      <c r="C201" s="14" t="s">
        <v>597</v>
      </c>
      <c r="D201" s="36" t="s">
        <v>642</v>
      </c>
      <c r="E201" s="34" t="s">
        <v>616</v>
      </c>
      <c r="F201" s="22" t="n">
        <v>-13.5</v>
      </c>
      <c r="G201" s="22" t="n">
        <v>-162.1</v>
      </c>
      <c r="H201" s="22" t="s">
        <v>56</v>
      </c>
      <c r="I201" s="22" t="s">
        <v>617</v>
      </c>
      <c r="J201" s="22" t="n">
        <v>3154</v>
      </c>
      <c r="K201" s="35" t="s">
        <v>67</v>
      </c>
      <c r="L201" s="22" t="s">
        <v>68</v>
      </c>
      <c r="M201" s="22" t="s">
        <v>69</v>
      </c>
      <c r="N201" s="22" t="s">
        <v>643</v>
      </c>
      <c r="O201" s="22" t="s">
        <v>71</v>
      </c>
      <c r="P201" s="22" t="s">
        <v>71</v>
      </c>
      <c r="Q201" s="22" t="n">
        <v>5</v>
      </c>
      <c r="R201" s="35" t="s">
        <v>62</v>
      </c>
      <c r="S201" s="25" t="n">
        <v>36.104125</v>
      </c>
      <c r="T201" s="22" t="n">
        <v>1.82885929648241</v>
      </c>
      <c r="U201" s="36" t="n">
        <v>15</v>
      </c>
      <c r="V201" s="48" t="n">
        <v>2.47733333333333</v>
      </c>
      <c r="W201" s="48" t="n">
        <v>0.226036238139775</v>
      </c>
      <c r="X201" s="48" t="n">
        <v>0.0583623057303148</v>
      </c>
      <c r="Y201" s="48" t="n">
        <v>-1.37066666666667</v>
      </c>
      <c r="Z201" s="48" t="n">
        <v>0.154848620394551</v>
      </c>
      <c r="AA201" s="48" t="n">
        <v>0.0399817418647526</v>
      </c>
      <c r="AB201" s="27" t="n">
        <v>0.618676365</v>
      </c>
      <c r="AC201" s="27" t="n">
        <v>0.20626573635826</v>
      </c>
      <c r="AD201" s="27" t="n">
        <v>0.201584693116451</v>
      </c>
      <c r="AE201" s="55" t="n">
        <v>0.601</v>
      </c>
      <c r="AF201" s="55" t="n">
        <v>0.005</v>
      </c>
      <c r="AG201" s="29" t="n">
        <v>27.0732</v>
      </c>
      <c r="AH201" s="27" t="n">
        <v>1.115197</v>
      </c>
      <c r="AI201" s="27" t="n">
        <f aca="false">VLOOKUP(B201,proft,2,0)</f>
        <v>24.4314417906526</v>
      </c>
      <c r="AJ201" s="27" t="n">
        <f aca="false">VLOOKUP(B201,proft,3,0)</f>
        <v>0.0878806115768825</v>
      </c>
      <c r="AK201" s="27" t="s">
        <v>72</v>
      </c>
      <c r="BA201" s="30" t="n">
        <v>25.1857</v>
      </c>
      <c r="BB201" s="30" t="n">
        <v>2.098</v>
      </c>
      <c r="BC201" s="30" t="n">
        <v>0.02098</v>
      </c>
      <c r="BD201" s="31" t="n">
        <v>25.1857</v>
      </c>
      <c r="BE201" s="31" t="n">
        <v>2.098</v>
      </c>
      <c r="BF201" s="31" t="n">
        <v>0.02098</v>
      </c>
      <c r="BG201" s="14" t="n">
        <f aca="false">10^6/((BA201+273.15)^2)</f>
        <v>11.2354261207866</v>
      </c>
      <c r="BH201" s="14" t="n">
        <f aca="false">BG201*(2*($BE201/($BD201+273.15)))</f>
        <v>0.158022817928999</v>
      </c>
      <c r="BI201" s="14" t="n">
        <f aca="false">BG201*(2*($BF201/($BD201+273.15)))</f>
        <v>0.00158022817928999</v>
      </c>
      <c r="BK201" s="14" t="n">
        <f aca="false">10^6/((AG201+273.15)^2)</f>
        <v>11.0945962106912</v>
      </c>
      <c r="BL201" s="14" t="n">
        <f aca="false">BK201*(2*($AH201/($AG201+273.15)))</f>
        <v>0.0824230799643345</v>
      </c>
      <c r="BM201" s="14" t="n">
        <f aca="false">10^6/((AI201+273.15)^2)</f>
        <v>11.2924535488202</v>
      </c>
      <c r="BN201" s="14" t="n">
        <f aca="false">BM201*(2*($AJ201/($AI201+273.15)))</f>
        <v>0.00666968825812733</v>
      </c>
    </row>
    <row r="202" s="14" customFormat="true" ht="16" hidden="false" customHeight="false" outlineLevel="0" collapsed="false">
      <c r="A202" s="22" t="s">
        <v>67</v>
      </c>
      <c r="B202" s="36" t="s">
        <v>644</v>
      </c>
      <c r="C202" s="14" t="s">
        <v>597</v>
      </c>
      <c r="D202" s="36" t="s">
        <v>644</v>
      </c>
      <c r="E202" s="34" t="s">
        <v>345</v>
      </c>
      <c r="F202" s="22" t="n">
        <v>-11.2</v>
      </c>
      <c r="G202" s="22" t="n">
        <v>58.8</v>
      </c>
      <c r="H202" s="22" t="s">
        <v>125</v>
      </c>
      <c r="I202" s="22" t="s">
        <v>346</v>
      </c>
      <c r="J202" s="22" t="n">
        <v>2871</v>
      </c>
      <c r="K202" s="35" t="s">
        <v>67</v>
      </c>
      <c r="L202" s="22" t="s">
        <v>68</v>
      </c>
      <c r="M202" s="22" t="s">
        <v>69</v>
      </c>
      <c r="N202" s="22" t="s">
        <v>70</v>
      </c>
      <c r="O202" s="22" t="s">
        <v>71</v>
      </c>
      <c r="P202" s="22" t="s">
        <v>71</v>
      </c>
      <c r="Q202" s="22" t="n">
        <v>5</v>
      </c>
      <c r="R202" s="35" t="s">
        <v>62</v>
      </c>
      <c r="S202" s="25" t="n">
        <v>35.1836363636364</v>
      </c>
      <c r="T202" s="22" t="n">
        <v>7.05296756756757</v>
      </c>
      <c r="U202" s="36" t="n">
        <v>25</v>
      </c>
      <c r="V202" s="48" t="n">
        <v>2.346</v>
      </c>
      <c r="W202" s="48" t="n">
        <v>0.152370163308525</v>
      </c>
      <c r="X202" s="48" t="n">
        <v>0.0304740326617051</v>
      </c>
      <c r="Y202" s="48" t="n">
        <v>-1.5464</v>
      </c>
      <c r="Z202" s="48" t="n">
        <v>0.102423955531246</v>
      </c>
      <c r="AA202" s="48" t="n">
        <v>0.0204847911062492</v>
      </c>
      <c r="AB202" s="27" t="n">
        <v>0.27877157</v>
      </c>
      <c r="AC202" s="27" t="n">
        <v>0.232499021638854</v>
      </c>
      <c r="AD202" s="27" t="n">
        <v>0.211388895216868</v>
      </c>
      <c r="AE202" s="55" t="n">
        <v>0.599</v>
      </c>
      <c r="AF202" s="55" t="n">
        <v>0.006</v>
      </c>
      <c r="AG202" s="29" t="n">
        <v>22.7538</v>
      </c>
      <c r="AH202" s="27" t="n">
        <v>1.865783</v>
      </c>
      <c r="AI202" s="27" t="n">
        <f aca="false">VLOOKUP(B202,proft,2,0)</f>
        <v>24.0749436330153</v>
      </c>
      <c r="AJ202" s="27" t="n">
        <f aca="false">VLOOKUP(B202,proft,3,0)</f>
        <v>2.92383351456558</v>
      </c>
      <c r="AK202" s="27" t="s">
        <v>72</v>
      </c>
      <c r="BA202" s="30" t="n">
        <v>24.3669</v>
      </c>
      <c r="BB202" s="30" t="n">
        <v>2.097</v>
      </c>
      <c r="BC202" s="30" t="n">
        <v>0.02097</v>
      </c>
      <c r="BD202" s="31" t="n">
        <v>24.3669</v>
      </c>
      <c r="BE202" s="31" t="n">
        <v>2.097</v>
      </c>
      <c r="BF202" s="31" t="n">
        <v>0.02097</v>
      </c>
      <c r="BG202" s="14" t="n">
        <f aca="false">10^6/((BA202+273.15)^2)</f>
        <v>11.2973535341843</v>
      </c>
      <c r="BH202" s="14" t="n">
        <f aca="false">BG202*(2*($BE202/($BD202+273.15)))</f>
        <v>0.159255157345243</v>
      </c>
      <c r="BI202" s="14" t="n">
        <f aca="false">BG202*(2*($BF202/($BD202+273.15)))</f>
        <v>0.00159255157345243</v>
      </c>
      <c r="BK202" s="14" t="n">
        <f aca="false">10^6/((AG202+273.15)^2)</f>
        <v>11.4208628220002</v>
      </c>
      <c r="BL202" s="14" t="n">
        <f aca="false">BK202*(2*($AH202/($AG202+273.15)))</f>
        <v>0.144025535992576</v>
      </c>
      <c r="BM202" s="14" t="n">
        <f aca="false">10^6/((AI202+273.15)^2)</f>
        <v>11.3195586303531</v>
      </c>
      <c r="BN202" s="14" t="n">
        <f aca="false">BM202*(2*($AJ202/($AI202+273.15)))</f>
        <v>0.222703414383559</v>
      </c>
    </row>
    <row r="203" s="14" customFormat="true" ht="16" hidden="false" customHeight="false" outlineLevel="0" collapsed="false">
      <c r="A203" s="22" t="s">
        <v>645</v>
      </c>
      <c r="B203" s="36" t="s">
        <v>646</v>
      </c>
      <c r="C203" s="14" t="s">
        <v>597</v>
      </c>
      <c r="D203" s="36" t="s">
        <v>646</v>
      </c>
      <c r="E203" s="34" t="s">
        <v>257</v>
      </c>
      <c r="F203" s="22" t="n">
        <v>-1</v>
      </c>
      <c r="G203" s="22" t="n">
        <v>157.8</v>
      </c>
      <c r="H203" s="22" t="s">
        <v>56</v>
      </c>
      <c r="I203" s="22" t="s">
        <v>57</v>
      </c>
      <c r="J203" s="22" t="n">
        <v>2016</v>
      </c>
      <c r="K203" s="35" t="s">
        <v>645</v>
      </c>
      <c r="L203" s="22" t="s">
        <v>68</v>
      </c>
      <c r="M203" s="22" t="s">
        <v>647</v>
      </c>
      <c r="N203" s="22" t="s">
        <v>643</v>
      </c>
      <c r="O203" s="22" t="s">
        <v>71</v>
      </c>
      <c r="P203" s="22" t="s">
        <v>71</v>
      </c>
      <c r="Q203" s="22" t="n">
        <v>5</v>
      </c>
      <c r="R203" s="35" t="s">
        <v>62</v>
      </c>
      <c r="S203" s="25" t="n">
        <v>35.26325</v>
      </c>
      <c r="T203" s="22" t="n">
        <v>4.33191554054054</v>
      </c>
      <c r="U203" s="36" t="n">
        <v>16</v>
      </c>
      <c r="V203" s="48" t="n">
        <v>2.221875</v>
      </c>
      <c r="W203" s="48" t="n">
        <v>0.105780826870153</v>
      </c>
      <c r="X203" s="48" t="n">
        <v>0.0264452067175383</v>
      </c>
      <c r="Y203" s="48" t="n">
        <v>-2.054375</v>
      </c>
      <c r="Z203" s="48" t="n">
        <v>0.0895893408838351</v>
      </c>
      <c r="AA203" s="48" t="n">
        <v>0.0223973352209588</v>
      </c>
      <c r="AB203" s="27" t="n">
        <v>0.2871825325</v>
      </c>
      <c r="AC203" s="27" t="n">
        <v>0.215592090438319</v>
      </c>
      <c r="AD203" s="27" t="n">
        <v>0.204009772719081</v>
      </c>
      <c r="AE203" s="55" t="n">
        <v>0.592</v>
      </c>
      <c r="AF203" s="55" t="n">
        <v>0.005</v>
      </c>
      <c r="AG203" s="29" t="n">
        <v>26.9071</v>
      </c>
      <c r="AH203" s="27" t="n">
        <v>2.018456</v>
      </c>
      <c r="AI203" s="27" t="n">
        <f aca="false">VLOOKUP(B203,proft,2,0)</f>
        <v>26.1557590940924</v>
      </c>
      <c r="AJ203" s="27" t="n">
        <f aca="false">VLOOKUP(B203,proft,3,0)</f>
        <v>0.438103512537209</v>
      </c>
      <c r="AK203" s="27" t="s">
        <v>63</v>
      </c>
      <c r="BA203" s="30" t="n">
        <v>25.2971</v>
      </c>
      <c r="BB203" s="30" t="n">
        <v>2.261</v>
      </c>
      <c r="BC203" s="30" t="n">
        <v>0.02261</v>
      </c>
      <c r="BD203" s="31" t="n">
        <v>25.2971</v>
      </c>
      <c r="BE203" s="31" t="n">
        <v>2.261</v>
      </c>
      <c r="BF203" s="31" t="n">
        <v>0.02261</v>
      </c>
      <c r="BG203" s="14" t="n">
        <f aca="false">10^6/((BA203+273.15)^2)</f>
        <v>11.2270400927409</v>
      </c>
      <c r="BH203" s="14" t="n">
        <f aca="false">BG203*(2*($BE203/($BD203+273.15)))</f>
        <v>0.170109460937547</v>
      </c>
      <c r="BI203" s="14" t="n">
        <f aca="false">BG203*(2*($BF203/($BD203+273.15)))</f>
        <v>0.00170109460937547</v>
      </c>
      <c r="BK203" s="14" t="n">
        <f aca="false">10^6/((AG203+273.15)^2)</f>
        <v>11.1068826887344</v>
      </c>
      <c r="BL203" s="14" t="n">
        <f aca="false">BK203*(2*($AH203/($AG203+273.15)))</f>
        <v>0.149429918534652</v>
      </c>
      <c r="BM203" s="14" t="n">
        <f aca="false">10^6/((AI203+273.15)^2)</f>
        <v>11.1627154233547</v>
      </c>
      <c r="BN203" s="14" t="n">
        <f aca="false">BM203*(2*($AJ203/($AI203+273.15)))</f>
        <v>0.0326784546426826</v>
      </c>
    </row>
    <row r="204" s="14" customFormat="true" ht="16" hidden="false" customHeight="false" outlineLevel="0" collapsed="false">
      <c r="A204" s="22" t="s">
        <v>645</v>
      </c>
      <c r="B204" s="36" t="s">
        <v>648</v>
      </c>
      <c r="C204" s="14" t="s">
        <v>597</v>
      </c>
      <c r="D204" s="36" t="s">
        <v>648</v>
      </c>
      <c r="E204" s="34" t="s">
        <v>611</v>
      </c>
      <c r="F204" s="22" t="n">
        <v>14.7</v>
      </c>
      <c r="G204" s="22" t="n">
        <v>-59.7</v>
      </c>
      <c r="H204" s="22" t="s">
        <v>78</v>
      </c>
      <c r="I204" s="22" t="s">
        <v>612</v>
      </c>
      <c r="J204" s="22" t="n">
        <v>2720</v>
      </c>
      <c r="K204" s="35" t="s">
        <v>645</v>
      </c>
      <c r="L204" s="22" t="s">
        <v>68</v>
      </c>
      <c r="M204" s="22" t="s">
        <v>647</v>
      </c>
      <c r="N204" s="22" t="s">
        <v>70</v>
      </c>
      <c r="O204" s="22" t="s">
        <v>71</v>
      </c>
      <c r="P204" s="22" t="s">
        <v>71</v>
      </c>
      <c r="Q204" s="22" t="n">
        <v>5</v>
      </c>
      <c r="R204" s="35" t="s">
        <v>62</v>
      </c>
      <c r="S204" s="25" t="n">
        <v>36.433</v>
      </c>
      <c r="T204" s="22" t="n">
        <v>28.2040202020202</v>
      </c>
      <c r="U204" s="36" t="n">
        <v>19</v>
      </c>
      <c r="V204" s="48" t="n">
        <v>1.38421052631579</v>
      </c>
      <c r="W204" s="48" t="n">
        <v>0.238916903022175</v>
      </c>
      <c r="X204" s="48" t="n">
        <v>0.054811296640914</v>
      </c>
      <c r="Y204" s="48" t="n">
        <v>-1.85578947368421</v>
      </c>
      <c r="Z204" s="48" t="n">
        <v>0.163037684446595</v>
      </c>
      <c r="AA204" s="48" t="n">
        <v>0.0374034100258727</v>
      </c>
      <c r="AB204" s="27" t="n">
        <v>0.987370336666667</v>
      </c>
      <c r="AC204" s="27" t="n">
        <v>0.241091553176325</v>
      </c>
      <c r="AD204" s="27" t="n">
        <v>0.214573326249228</v>
      </c>
      <c r="AE204" s="55" t="n">
        <v>0.591</v>
      </c>
      <c r="AF204" s="55" t="n">
        <v>0.008</v>
      </c>
      <c r="AG204" s="29" t="n">
        <v>26.2173</v>
      </c>
      <c r="AH204" s="27" t="n">
        <v>0.587287</v>
      </c>
      <c r="AI204" s="27" t="n">
        <f aca="false">VLOOKUP(B204,proft,2,0)</f>
        <v>27.3177283170896</v>
      </c>
      <c r="AJ204" s="27" t="n">
        <f aca="false">VLOOKUP(B204,proft,3,0)</f>
        <v>1.10440902355466</v>
      </c>
      <c r="AK204" s="27" t="s">
        <v>63</v>
      </c>
      <c r="BA204" s="30" t="n">
        <v>27.2881</v>
      </c>
      <c r="BB204" s="30" t="n">
        <v>2.241</v>
      </c>
      <c r="BC204" s="30" t="n">
        <v>0.02292</v>
      </c>
      <c r="BD204" s="31" t="n">
        <v>27.2881</v>
      </c>
      <c r="BE204" s="31" t="n">
        <v>2.241</v>
      </c>
      <c r="BF204" s="31" t="n">
        <v>0.02292</v>
      </c>
      <c r="BG204" s="14" t="n">
        <f aca="false">10^6/((BA204+273.15)^2)</f>
        <v>11.078730206881</v>
      </c>
      <c r="BH204" s="14" t="n">
        <f aca="false">BG204*(2*($BE204/($BD204+273.15)))</f>
        <v>0.165274872884767</v>
      </c>
      <c r="BI204" s="14" t="n">
        <f aca="false">BG204*(2*($BF204/($BD204+273.15)))</f>
        <v>0.00169036148439039</v>
      </c>
      <c r="BK204" s="14" t="n">
        <f aca="false">10^6/((AG204+273.15)^2)</f>
        <v>11.1581264584944</v>
      </c>
      <c r="BL204" s="14" t="n">
        <f aca="false">BK204*(2*($AH204/($AG204+273.15)))</f>
        <v>0.0437791476452491</v>
      </c>
      <c r="BM204" s="14" t="n">
        <f aca="false">10^6/((AI204+273.15)^2)</f>
        <v>11.0765454268401</v>
      </c>
      <c r="BN204" s="14" t="n">
        <f aca="false">BM204*(2*($AJ204/($AI204+273.15)))</f>
        <v>0.0814266263317677</v>
      </c>
    </row>
    <row r="205" s="14" customFormat="true" ht="16" hidden="false" customHeight="false" outlineLevel="0" collapsed="false">
      <c r="A205" s="22" t="s">
        <v>645</v>
      </c>
      <c r="B205" s="36" t="s">
        <v>649</v>
      </c>
      <c r="C205" s="14" t="s">
        <v>597</v>
      </c>
      <c r="D205" s="36" t="s">
        <v>649</v>
      </c>
      <c r="E205" s="34" t="s">
        <v>616</v>
      </c>
      <c r="F205" s="22" t="n">
        <v>-13.5</v>
      </c>
      <c r="G205" s="22" t="n">
        <v>-162.1</v>
      </c>
      <c r="H205" s="22" t="s">
        <v>56</v>
      </c>
      <c r="I205" s="22" t="s">
        <v>617</v>
      </c>
      <c r="J205" s="22" t="n">
        <v>3154</v>
      </c>
      <c r="K205" s="35" t="s">
        <v>645</v>
      </c>
      <c r="L205" s="22" t="s">
        <v>68</v>
      </c>
      <c r="M205" s="22" t="s">
        <v>647</v>
      </c>
      <c r="N205" s="22" t="s">
        <v>643</v>
      </c>
      <c r="O205" s="22" t="s">
        <v>71</v>
      </c>
      <c r="P205" s="22" t="s">
        <v>71</v>
      </c>
      <c r="Q205" s="22" t="n">
        <v>5</v>
      </c>
      <c r="R205" s="35" t="s">
        <v>62</v>
      </c>
      <c r="S205" s="25" t="n">
        <v>36.104125</v>
      </c>
      <c r="T205" s="22" t="n">
        <v>1.82885929648241</v>
      </c>
      <c r="U205" s="36" t="n">
        <v>22</v>
      </c>
      <c r="V205" s="48" t="n">
        <v>1.85318181818182</v>
      </c>
      <c r="W205" s="48" t="n">
        <v>0.203712831576506</v>
      </c>
      <c r="X205" s="48" t="n">
        <v>0.0434317216229409</v>
      </c>
      <c r="Y205" s="48" t="n">
        <v>-1.40136363636364</v>
      </c>
      <c r="Z205" s="48" t="n">
        <v>0.156700972572589</v>
      </c>
      <c r="AA205" s="48" t="n">
        <v>0.0334087596060969</v>
      </c>
      <c r="AB205" s="27" t="n">
        <v>0.618676365</v>
      </c>
      <c r="AC205" s="27" t="n">
        <v>0.20626573635826</v>
      </c>
      <c r="AD205" s="27" t="n">
        <v>0.201584693116451</v>
      </c>
      <c r="AE205" s="55" t="n">
        <v>0.603</v>
      </c>
      <c r="AF205" s="55" t="n">
        <v>0.006</v>
      </c>
      <c r="AG205" s="29" t="n">
        <v>27.0732</v>
      </c>
      <c r="AH205" s="27" t="n">
        <v>1.115197</v>
      </c>
      <c r="AI205" s="27" t="n">
        <f aca="false">VLOOKUP(B205,proft,2,0)</f>
        <v>24.7169691539829</v>
      </c>
      <c r="AJ205" s="27" t="n">
        <f aca="false">VLOOKUP(B205,proft,3,0)</f>
        <v>0.171305862703316</v>
      </c>
      <c r="AK205" s="27" t="s">
        <v>63</v>
      </c>
      <c r="BA205" s="30" t="n">
        <v>24.0901</v>
      </c>
      <c r="BB205" s="30" t="n">
        <v>2.234</v>
      </c>
      <c r="BC205" s="30" t="n">
        <v>0.02234</v>
      </c>
      <c r="BD205" s="31" t="n">
        <v>24.0901</v>
      </c>
      <c r="BE205" s="31" t="n">
        <v>2.234</v>
      </c>
      <c r="BF205" s="31" t="n">
        <v>0.02234</v>
      </c>
      <c r="BG205" s="14" t="n">
        <f aca="false">10^6/((BA205+273.15)^2)</f>
        <v>11.3184042840138</v>
      </c>
      <c r="BH205" s="14" t="n">
        <f aca="false">BG205*(2*($BE205/($BD205+273.15)))</f>
        <v>0.170133943370944</v>
      </c>
      <c r="BI205" s="14" t="n">
        <f aca="false">BG205*(2*($BF205/($BD205+273.15)))</f>
        <v>0.00170133943370944</v>
      </c>
      <c r="BK205" s="14" t="n">
        <f aca="false">10^6/((AG205+273.15)^2)</f>
        <v>11.0945962106912</v>
      </c>
      <c r="BL205" s="14" t="n">
        <f aca="false">BK205*(2*($AH205/($AG205+273.15)))</f>
        <v>0.0824230799643345</v>
      </c>
      <c r="BM205" s="14" t="n">
        <f aca="false">10^6/((AI205+273.15)^2)</f>
        <v>11.2708146330978</v>
      </c>
      <c r="BN205" s="14" t="n">
        <f aca="false">BM205*(2*($AJ205/($AI205+273.15)))</f>
        <v>0.0129638853853168</v>
      </c>
    </row>
    <row r="206" s="14" customFormat="true" ht="16" hidden="false" customHeight="false" outlineLevel="0" collapsed="false">
      <c r="A206" s="22" t="s">
        <v>645</v>
      </c>
      <c r="B206" s="36" t="s">
        <v>650</v>
      </c>
      <c r="C206" s="14" t="s">
        <v>597</v>
      </c>
      <c r="D206" s="36" t="s">
        <v>650</v>
      </c>
      <c r="E206" s="34" t="s">
        <v>345</v>
      </c>
      <c r="F206" s="22" t="n">
        <v>-11.2</v>
      </c>
      <c r="G206" s="22" t="n">
        <v>58.8</v>
      </c>
      <c r="H206" s="22" t="s">
        <v>125</v>
      </c>
      <c r="I206" s="22" t="s">
        <v>346</v>
      </c>
      <c r="J206" s="22" t="n">
        <v>2871</v>
      </c>
      <c r="K206" s="35" t="s">
        <v>645</v>
      </c>
      <c r="L206" s="22" t="s">
        <v>68</v>
      </c>
      <c r="M206" s="22" t="s">
        <v>647</v>
      </c>
      <c r="N206" s="22" t="s">
        <v>70</v>
      </c>
      <c r="O206" s="22" t="s">
        <v>71</v>
      </c>
      <c r="P206" s="22" t="s">
        <v>71</v>
      </c>
      <c r="Q206" s="22" t="n">
        <v>5</v>
      </c>
      <c r="R206" s="35" t="s">
        <v>62</v>
      </c>
      <c r="S206" s="25" t="n">
        <v>35.1836363636364</v>
      </c>
      <c r="T206" s="22" t="n">
        <v>7.05296756756757</v>
      </c>
      <c r="U206" s="36" t="n">
        <v>23</v>
      </c>
      <c r="V206" s="48" t="n">
        <v>1.66782608695652</v>
      </c>
      <c r="W206" s="48" t="n">
        <v>0.132663501925296</v>
      </c>
      <c r="X206" s="48" t="n">
        <v>0.0276622523707127</v>
      </c>
      <c r="Y206" s="48" t="n">
        <v>-1.5104347826087</v>
      </c>
      <c r="Z206" s="48" t="n">
        <v>0.0752256158541252</v>
      </c>
      <c r="AA206" s="48" t="n">
        <v>0.0156856252119055</v>
      </c>
      <c r="AB206" s="27" t="n">
        <v>0.27877157</v>
      </c>
      <c r="AC206" s="27" t="n">
        <v>0.232499021638854</v>
      </c>
      <c r="AD206" s="27" t="n">
        <v>0.211388895216868</v>
      </c>
      <c r="AE206" s="55" t="n">
        <v>0.593</v>
      </c>
      <c r="AF206" s="55" t="n">
        <v>0.005</v>
      </c>
      <c r="AG206" s="29" t="n">
        <v>22.7538</v>
      </c>
      <c r="AH206" s="27" t="n">
        <v>1.865783</v>
      </c>
      <c r="AI206" s="27" t="n">
        <f aca="false">VLOOKUP(B206,proft,2,0)</f>
        <v>23.1184790499104</v>
      </c>
      <c r="AJ206" s="27" t="n">
        <f aca="false">VLOOKUP(B206,proft,3,0)</f>
        <v>1.24111399164718</v>
      </c>
      <c r="AK206" s="27" t="s">
        <v>63</v>
      </c>
      <c r="BA206" s="30" t="n">
        <v>23.2102</v>
      </c>
      <c r="BB206" s="30" t="n">
        <v>2.24</v>
      </c>
      <c r="BC206" s="30" t="n">
        <v>0.0224</v>
      </c>
      <c r="BD206" s="31" t="n">
        <v>23.2102</v>
      </c>
      <c r="BE206" s="31" t="n">
        <v>2.24</v>
      </c>
      <c r="BF206" s="31" t="n">
        <v>0.0224</v>
      </c>
      <c r="BG206" s="14" t="n">
        <f aca="false">10^6/((BA206+273.15)^2)</f>
        <v>11.3857132429782</v>
      </c>
      <c r="BH206" s="14" t="n">
        <f aca="false">BG206*(2*($BE206/($BD206+273.15)))</f>
        <v>0.172114863360674</v>
      </c>
      <c r="BI206" s="14" t="n">
        <f aca="false">BG206*(2*($BF206/($BD206+273.15)))</f>
        <v>0.00172114863360674</v>
      </c>
      <c r="BK206" s="14" t="n">
        <f aca="false">10^6/((AG206+273.15)^2)</f>
        <v>11.4208628220002</v>
      </c>
      <c r="BL206" s="14" t="n">
        <f aca="false">BK206*(2*($AH206/($AG206+273.15)))</f>
        <v>0.144025535992576</v>
      </c>
      <c r="BM206" s="14" t="n">
        <f aca="false">10^6/((AI206+273.15)^2)</f>
        <v>11.3927640780298</v>
      </c>
      <c r="BN206" s="14" t="n">
        <f aca="false">BM206*(2*($AJ206/($AI206+273.15)))</f>
        <v>0.0954520639260862</v>
      </c>
    </row>
    <row r="207" s="14" customFormat="true" ht="16" hidden="false" customHeight="false" outlineLevel="0" collapsed="false">
      <c r="A207" s="22" t="s">
        <v>93</v>
      </c>
      <c r="B207" s="36" t="s">
        <v>651</v>
      </c>
      <c r="C207" s="14" t="s">
        <v>597</v>
      </c>
      <c r="D207" s="36" t="s">
        <v>651</v>
      </c>
      <c r="E207" s="34" t="s">
        <v>600</v>
      </c>
      <c r="F207" s="22" t="n">
        <v>48.9</v>
      </c>
      <c r="G207" s="22" t="n">
        <v>-11.8</v>
      </c>
      <c r="H207" s="22" t="s">
        <v>78</v>
      </c>
      <c r="I207" s="22" t="s">
        <v>79</v>
      </c>
      <c r="J207" s="22" t="n">
        <v>1484</v>
      </c>
      <c r="K207" s="35" t="s">
        <v>93</v>
      </c>
      <c r="L207" s="22" t="s">
        <v>96</v>
      </c>
      <c r="M207" s="22" t="s">
        <v>97</v>
      </c>
      <c r="N207" s="22" t="s">
        <v>98</v>
      </c>
      <c r="O207" s="22" t="s">
        <v>92</v>
      </c>
      <c r="P207" s="22" t="s">
        <v>92</v>
      </c>
      <c r="Q207" s="22" t="n">
        <v>4</v>
      </c>
      <c r="R207" s="35" t="s">
        <v>62</v>
      </c>
      <c r="S207" s="25" t="n">
        <v>35.5779459459459</v>
      </c>
      <c r="T207" s="22" t="n">
        <v>51.05021</v>
      </c>
      <c r="U207" s="36" t="n">
        <v>16</v>
      </c>
      <c r="V207" s="48" t="n">
        <v>0.96</v>
      </c>
      <c r="W207" s="48" t="n">
        <v>0.0488535225614967</v>
      </c>
      <c r="X207" s="48" t="n">
        <v>0.0122133806403742</v>
      </c>
      <c r="Y207" s="48" t="n">
        <v>1.34625</v>
      </c>
      <c r="Z207" s="48" t="n">
        <v>0.108374351209131</v>
      </c>
      <c r="AA207" s="48" t="n">
        <v>0.0270935878022827</v>
      </c>
      <c r="AB207" s="27" t="n">
        <v>0.557161420714286</v>
      </c>
      <c r="AC207" s="27" t="n">
        <v>0.201582568351876</v>
      </c>
      <c r="AD207" s="27" t="n">
        <v>0.200113455652277</v>
      </c>
      <c r="AE207" s="55" t="n">
        <v>0.631</v>
      </c>
      <c r="AF207" s="55" t="n">
        <v>0.008</v>
      </c>
      <c r="AG207" s="29" t="n">
        <v>12.1201</v>
      </c>
      <c r="AH207" s="27" t="n">
        <v>0.737977</v>
      </c>
      <c r="AI207" s="27" t="n">
        <f aca="false">VLOOKUP(B207,proft,2,0)</f>
        <v>10.4750035872288</v>
      </c>
      <c r="AJ207" s="27" t="n">
        <f aca="false">VLOOKUP(B207,proft,3,0)</f>
        <v>1.32566957395503</v>
      </c>
      <c r="AK207" s="27" t="s">
        <v>63</v>
      </c>
      <c r="BA207" s="30" t="n">
        <v>13.1806</v>
      </c>
      <c r="BB207" s="30" t="n">
        <v>2.225</v>
      </c>
      <c r="BC207" s="30" t="n">
        <v>0.02225</v>
      </c>
      <c r="BD207" s="31" t="n">
        <v>13.1806</v>
      </c>
      <c r="BE207" s="31" t="n">
        <v>2.225</v>
      </c>
      <c r="BF207" s="31" t="n">
        <v>0.02225</v>
      </c>
      <c r="BG207" s="14" t="n">
        <f aca="false">10^6/((BA207+273.15)^2)</f>
        <v>12.1973215602069</v>
      </c>
      <c r="BH207" s="14" t="n">
        <f aca="false">BG207*(2*($BE207/($BD207+273.15)))</f>
        <v>0.189564373989091</v>
      </c>
      <c r="BI207" s="14" t="n">
        <f aca="false">BG207*(2*($BF207/($BD207+273.15)))</f>
        <v>0.00189564373989091</v>
      </c>
      <c r="BK207" s="14" t="n">
        <f aca="false">10^6/((AG207+273.15)^2)</f>
        <v>12.2881779318964</v>
      </c>
      <c r="BL207" s="14" t="n">
        <f aca="false">BK207*(2*($AH207/($AG207+273.15)))</f>
        <v>0.0635775896993558</v>
      </c>
      <c r="BM207" s="14" t="n">
        <f aca="false">10^6/((AI207+273.15)^2)</f>
        <v>12.4311403922691</v>
      </c>
      <c r="BN207" s="14" t="n">
        <f aca="false">BM207*(2*($AJ207/($AI207+273.15)))</f>
        <v>0.116206853268677</v>
      </c>
    </row>
    <row r="208" s="14" customFormat="true" ht="16" hidden="false" customHeight="false" outlineLevel="0" collapsed="false">
      <c r="A208" s="22" t="s">
        <v>93</v>
      </c>
      <c r="B208" s="36" t="s">
        <v>652</v>
      </c>
      <c r="C208" s="14" t="s">
        <v>597</v>
      </c>
      <c r="D208" s="36" t="s">
        <v>652</v>
      </c>
      <c r="E208" s="34" t="s">
        <v>602</v>
      </c>
      <c r="F208" s="22" t="n">
        <v>63.8</v>
      </c>
      <c r="G208" s="22" t="n">
        <v>5.2</v>
      </c>
      <c r="H208" s="22" t="s">
        <v>78</v>
      </c>
      <c r="I208" s="22" t="s">
        <v>79</v>
      </c>
      <c r="J208" s="22" t="n">
        <v>922</v>
      </c>
      <c r="K208" s="35" t="s">
        <v>93</v>
      </c>
      <c r="L208" s="22" t="s">
        <v>96</v>
      </c>
      <c r="M208" s="22" t="s">
        <v>97</v>
      </c>
      <c r="N208" s="22" t="s">
        <v>98</v>
      </c>
      <c r="O208" s="22" t="s">
        <v>92</v>
      </c>
      <c r="P208" s="22" t="s">
        <v>92</v>
      </c>
      <c r="Q208" s="22" t="n">
        <v>4</v>
      </c>
      <c r="R208" s="35" t="s">
        <v>62</v>
      </c>
      <c r="S208" s="25" t="n">
        <v>34.9859189189189</v>
      </c>
      <c r="T208" s="22" t="n">
        <v>20</v>
      </c>
      <c r="U208" s="36" t="n">
        <v>18</v>
      </c>
      <c r="V208" s="48" t="n">
        <v>0.918333333333334</v>
      </c>
      <c r="W208" s="48" t="n">
        <v>0.0500881575765347</v>
      </c>
      <c r="X208" s="48" t="n">
        <v>0.011805891959836</v>
      </c>
      <c r="Y208" s="48" t="n">
        <v>1.95388888888889</v>
      </c>
      <c r="Z208" s="48" t="n">
        <v>0.0512363484129462</v>
      </c>
      <c r="AA208" s="48" t="n">
        <v>0.0120765231353436</v>
      </c>
      <c r="AB208" s="27" t="n">
        <v>0.365352982857143</v>
      </c>
      <c r="AC208" s="27" t="n">
        <v>0.225103096553153</v>
      </c>
      <c r="AD208" s="27" t="n">
        <v>0.201896614999894</v>
      </c>
      <c r="AE208" s="55" t="n">
        <v>0.642</v>
      </c>
      <c r="AF208" s="55" t="n">
        <v>0.006</v>
      </c>
      <c r="AG208" s="29" t="n">
        <v>7.3791</v>
      </c>
      <c r="AH208" s="27" t="n">
        <v>1.709729</v>
      </c>
      <c r="AI208" s="27" t="n">
        <f aca="false">VLOOKUP(B208,proft,2,0)</f>
        <v>8.06945496393276</v>
      </c>
      <c r="AJ208" s="27" t="n">
        <f aca="false">VLOOKUP(B208,proft,3,0)</f>
        <v>0.95578142655597</v>
      </c>
      <c r="AK208" s="27" t="s">
        <v>63</v>
      </c>
      <c r="BA208" s="30" t="n">
        <v>10.0447</v>
      </c>
      <c r="BB208" s="30" t="n">
        <v>2.207</v>
      </c>
      <c r="BC208" s="30" t="n">
        <v>0.02207</v>
      </c>
      <c r="BD208" s="31" t="n">
        <v>10.0447</v>
      </c>
      <c r="BE208" s="31" t="n">
        <v>2.207</v>
      </c>
      <c r="BF208" s="31" t="n">
        <v>0.02207</v>
      </c>
      <c r="BG208" s="14" t="n">
        <f aca="false">10^6/((BA208+273.15)^2)</f>
        <v>12.4689463839074</v>
      </c>
      <c r="BH208" s="14" t="n">
        <f aca="false">BG208*(2*($BE208/($BD208+273.15)))</f>
        <v>0.194346607964653</v>
      </c>
      <c r="BI208" s="14" t="n">
        <f aca="false">BG208*(2*($BF208/($BD208+273.15)))</f>
        <v>0.00194346607964653</v>
      </c>
      <c r="BK208" s="14" t="n">
        <f aca="false">10^6/((AG208+273.15)^2)</f>
        <v>12.70703315829</v>
      </c>
      <c r="BL208" s="14" t="n">
        <f aca="false">BK208*(2*($AH208/($AG208+273.15)))</f>
        <v>0.154890049514934</v>
      </c>
      <c r="BM208" s="14" t="n">
        <f aca="false">10^6/((AI208+273.15)^2)</f>
        <v>12.6447217086938</v>
      </c>
      <c r="BN208" s="14" t="n">
        <f aca="false">BM208*(2*($AJ208/($AI208+273.15)))</f>
        <v>0.0859513091275185</v>
      </c>
    </row>
    <row r="209" s="14" customFormat="true" ht="16" hidden="false" customHeight="false" outlineLevel="0" collapsed="false">
      <c r="A209" s="22" t="s">
        <v>93</v>
      </c>
      <c r="B209" s="36" t="s">
        <v>653</v>
      </c>
      <c r="C209" s="14" t="s">
        <v>597</v>
      </c>
      <c r="D209" s="36" t="s">
        <v>653</v>
      </c>
      <c r="E209" s="34" t="s">
        <v>604</v>
      </c>
      <c r="F209" s="22" t="n">
        <v>34.8</v>
      </c>
      <c r="G209" s="22" t="n">
        <v>-27.7</v>
      </c>
      <c r="H209" s="22" t="s">
        <v>78</v>
      </c>
      <c r="I209" s="22" t="s">
        <v>605</v>
      </c>
      <c r="J209" s="22" t="n">
        <v>2060</v>
      </c>
      <c r="K209" s="35" t="s">
        <v>93</v>
      </c>
      <c r="L209" s="22" t="s">
        <v>96</v>
      </c>
      <c r="M209" s="22" t="s">
        <v>97</v>
      </c>
      <c r="N209" s="22" t="s">
        <v>98</v>
      </c>
      <c r="O209" s="22" t="s">
        <v>92</v>
      </c>
      <c r="P209" s="22" t="s">
        <v>92</v>
      </c>
      <c r="Q209" s="22" t="n">
        <v>4</v>
      </c>
      <c r="R209" s="35" t="s">
        <v>62</v>
      </c>
      <c r="S209" s="25" t="n">
        <v>36.2449189189189</v>
      </c>
      <c r="T209" s="22" t="n">
        <v>45.4435183946488</v>
      </c>
      <c r="U209" s="36" t="n">
        <v>17</v>
      </c>
      <c r="V209" s="48" t="n">
        <v>0.804117647058823</v>
      </c>
      <c r="W209" s="48" t="n">
        <v>0.131056229512823</v>
      </c>
      <c r="X209" s="48" t="n">
        <v>0.0317858045397976</v>
      </c>
      <c r="Y209" s="48" t="n">
        <v>1.74352941176471</v>
      </c>
      <c r="Z209" s="48" t="n">
        <v>0.142299911123944</v>
      </c>
      <c r="AA209" s="48" t="n">
        <v>0.0345127978870604</v>
      </c>
      <c r="AB209" s="27" t="n">
        <v>0.892584843571429</v>
      </c>
      <c r="AC209" s="27" t="n">
        <v>0.253380674913162</v>
      </c>
      <c r="AD209" s="27" t="n">
        <v>0.204276032860904</v>
      </c>
      <c r="AE209" s="55" t="n">
        <v>0.645</v>
      </c>
      <c r="AF209" s="55" t="n">
        <v>0.006</v>
      </c>
      <c r="AG209" s="29" t="n">
        <v>17.0456</v>
      </c>
      <c r="AH209" s="27" t="n">
        <v>2.75897</v>
      </c>
      <c r="AI209" s="27" t="n">
        <f aca="false">VLOOKUP(B209,proft,2,0)</f>
        <v>9.28960932670199</v>
      </c>
      <c r="AJ209" s="27" t="n">
        <f aca="false">VLOOKUP(B209,proft,3,0)</f>
        <v>0.565655902775573</v>
      </c>
      <c r="AK209" s="27" t="s">
        <v>63</v>
      </c>
      <c r="BA209" s="30" t="n">
        <v>12.9665</v>
      </c>
      <c r="BB209" s="30" t="n">
        <v>2.232</v>
      </c>
      <c r="BC209" s="30" t="n">
        <v>0.02232</v>
      </c>
      <c r="BD209" s="31" t="n">
        <v>12.9665</v>
      </c>
      <c r="BE209" s="31" t="n">
        <v>2.232</v>
      </c>
      <c r="BF209" s="31" t="n">
        <v>0.02232</v>
      </c>
      <c r="BG209" s="14" t="n">
        <f aca="false">10^6/((BA209+273.15)^2)</f>
        <v>12.2155828182211</v>
      </c>
      <c r="BH209" s="14" t="n">
        <f aca="false">BG209*(2*($BE209/($BD209+273.15)))</f>
        <v>0.190587965743112</v>
      </c>
      <c r="BI209" s="14" t="n">
        <f aca="false">BG209*(2*($BF209/($BD209+273.15)))</f>
        <v>0.00190587965743112</v>
      </c>
      <c r="BK209" s="14" t="n">
        <f aca="false">10^6/((AG209+273.15)^2)</f>
        <v>11.8745826163782</v>
      </c>
      <c r="BL209" s="14" t="n">
        <f aca="false">BK209*(2*($AH209/($AG209+273.15)))</f>
        <v>0.225789896201796</v>
      </c>
      <c r="BM209" s="14" t="n">
        <f aca="false">10^6/((AI209+273.15)^2)</f>
        <v>12.5357059343672</v>
      </c>
      <c r="BN209" s="14" t="n">
        <f aca="false">BM209*(2*($AJ209/($AI209+273.15)))</f>
        <v>0.0502117679183689</v>
      </c>
    </row>
    <row r="210" s="14" customFormat="true" ht="16" hidden="false" customHeight="false" outlineLevel="0" collapsed="false">
      <c r="A210" s="22" t="s">
        <v>93</v>
      </c>
      <c r="B210" s="36" t="s">
        <v>654</v>
      </c>
      <c r="C210" s="14" t="s">
        <v>597</v>
      </c>
      <c r="D210" s="36" t="s">
        <v>654</v>
      </c>
      <c r="E210" s="34" t="s">
        <v>607</v>
      </c>
      <c r="F210" s="22" t="n">
        <v>-45.1</v>
      </c>
      <c r="G210" s="22" t="n">
        <v>174.6</v>
      </c>
      <c r="H210" s="22" t="s">
        <v>56</v>
      </c>
      <c r="I210" s="22" t="s">
        <v>608</v>
      </c>
      <c r="J210" s="22" t="n">
        <v>992</v>
      </c>
      <c r="K210" s="35" t="s">
        <v>93</v>
      </c>
      <c r="L210" s="22" t="s">
        <v>96</v>
      </c>
      <c r="M210" s="22" t="s">
        <v>97</v>
      </c>
      <c r="N210" s="22" t="s">
        <v>98</v>
      </c>
      <c r="O210" s="22" t="s">
        <v>92</v>
      </c>
      <c r="P210" s="22" t="s">
        <v>92</v>
      </c>
      <c r="Q210" s="22" t="n">
        <v>4</v>
      </c>
      <c r="R210" s="35" t="s">
        <v>62</v>
      </c>
      <c r="S210" s="25" t="n">
        <v>34.3336756756757</v>
      </c>
      <c r="T210" s="22" t="n">
        <v>33.51871</v>
      </c>
      <c r="U210" s="36" t="n">
        <v>19</v>
      </c>
      <c r="V210" s="48" t="n">
        <v>1.24210526315789</v>
      </c>
      <c r="W210" s="48" t="n">
        <v>0.0582693885108374</v>
      </c>
      <c r="X210" s="48" t="n">
        <v>0.0133679145274026</v>
      </c>
      <c r="Y210" s="48" t="n">
        <v>1.89578947368421</v>
      </c>
      <c r="Z210" s="48" t="n">
        <v>0.0970289641449445</v>
      </c>
      <c r="AA210" s="48" t="n">
        <v>0.0222599710160129</v>
      </c>
      <c r="AB210" s="27" t="n">
        <v>0.0330344775357143</v>
      </c>
      <c r="AC210" s="27" t="n">
        <v>0.218011017012226</v>
      </c>
      <c r="AD210" s="27" t="n">
        <v>0.201339940601303</v>
      </c>
      <c r="AE210" s="55" t="n">
        <v>0.652</v>
      </c>
      <c r="AF210" s="55" t="n">
        <v>0.007</v>
      </c>
      <c r="AG210" s="29" t="n">
        <v>8.5087</v>
      </c>
      <c r="AH210" s="27" t="n">
        <v>1.408134</v>
      </c>
      <c r="AI210" s="27" t="n">
        <f aca="false">VLOOKUP(B210,proft,2,0)</f>
        <v>6.13284074273525</v>
      </c>
      <c r="AJ210" s="27" t="n">
        <f aca="false">VLOOKUP(B210,proft,3,0)</f>
        <v>0.341492282808371</v>
      </c>
      <c r="AK210" s="27" t="s">
        <v>63</v>
      </c>
      <c r="BA210" s="30" t="n">
        <v>8.9867</v>
      </c>
      <c r="BB210" s="30" t="n">
        <v>2.201</v>
      </c>
      <c r="BC210" s="30" t="n">
        <v>0.02201</v>
      </c>
      <c r="BD210" s="31" t="n">
        <v>8.9867</v>
      </c>
      <c r="BE210" s="31" t="n">
        <v>2.201</v>
      </c>
      <c r="BF210" s="31" t="n">
        <v>0.02201</v>
      </c>
      <c r="BG210" s="14" t="n">
        <f aca="false">10^6/((BA210+273.15)^2)</f>
        <v>12.5626377062445</v>
      </c>
      <c r="BH210" s="14" t="n">
        <f aca="false">BG210*(2*($BE210/($BD210+273.15)))</f>
        <v>0.19600686895001</v>
      </c>
      <c r="BI210" s="14" t="n">
        <f aca="false">BG210*(2*($BF210/($BD210+273.15)))</f>
        <v>0.0019600686895001</v>
      </c>
      <c r="BK210" s="14" t="n">
        <f aca="false">10^6/((AG210+273.15)^2)</f>
        <v>12.6053137271475</v>
      </c>
      <c r="BL210" s="14" t="n">
        <f aca="false">BK210*(2*($AH210/($AG210+273.15)))</f>
        <v>0.126038860790475</v>
      </c>
      <c r="BM210" s="14" t="n">
        <f aca="false">10^6/((AI210+273.15)^2)</f>
        <v>12.8206927813998</v>
      </c>
      <c r="BN210" s="14" t="n">
        <f aca="false">BM210*(2*($AJ210/($AI210+273.15)))</f>
        <v>0.0313529297644035</v>
      </c>
    </row>
    <row r="211" s="14" customFormat="true" ht="16" hidden="false" customHeight="false" outlineLevel="0" collapsed="false">
      <c r="A211" s="22" t="s">
        <v>130</v>
      </c>
      <c r="B211" s="36" t="s">
        <v>655</v>
      </c>
      <c r="C211" s="14" t="s">
        <v>597</v>
      </c>
      <c r="D211" s="36" t="s">
        <v>655</v>
      </c>
      <c r="E211" s="34" t="s">
        <v>413</v>
      </c>
      <c r="F211" s="22" t="n">
        <v>70</v>
      </c>
      <c r="G211" s="22" t="n">
        <v>-13.6</v>
      </c>
      <c r="H211" s="22" t="s">
        <v>125</v>
      </c>
      <c r="I211" s="22" t="s">
        <v>121</v>
      </c>
      <c r="J211" s="22" t="n">
        <v>1423</v>
      </c>
      <c r="K211" s="35" t="s">
        <v>130</v>
      </c>
      <c r="L211" s="22" t="s">
        <v>80</v>
      </c>
      <c r="M211" s="22" t="s">
        <v>134</v>
      </c>
      <c r="N211" s="22" t="s">
        <v>135</v>
      </c>
      <c r="O211" s="22" t="s">
        <v>71</v>
      </c>
      <c r="P211" s="22" t="s">
        <v>71</v>
      </c>
      <c r="Q211" s="22" t="n">
        <v>5</v>
      </c>
      <c r="R211" s="35" t="s">
        <v>62</v>
      </c>
      <c r="S211" s="25" t="n">
        <v>34.7867058823529</v>
      </c>
      <c r="T211" s="22" t="n">
        <v>62.2654680851064</v>
      </c>
      <c r="U211" s="36" t="n">
        <v>20</v>
      </c>
      <c r="V211" s="48" t="n">
        <v>1.4185</v>
      </c>
      <c r="W211" s="48" t="n">
        <v>0.171503414113631</v>
      </c>
      <c r="X211" s="48" t="n">
        <v>0.0383493292331376</v>
      </c>
      <c r="Y211" s="48" t="n">
        <v>-1.122</v>
      </c>
      <c r="Z211" s="48" t="n">
        <v>0.0840175420279661</v>
      </c>
      <c r="AA211" s="48" t="n">
        <v>0.0187868935276978</v>
      </c>
      <c r="AB211" s="27" t="n">
        <v>0.673166573333334</v>
      </c>
      <c r="AC211" s="27" t="n">
        <v>0.202643223233973</v>
      </c>
      <c r="AD211" s="27" t="n">
        <v>0.200442957772136</v>
      </c>
      <c r="AE211" s="55" t="n">
        <v>0.601</v>
      </c>
      <c r="AF211" s="55" t="n">
        <v>0.007</v>
      </c>
      <c r="AG211" s="29" t="n">
        <v>23.8745</v>
      </c>
      <c r="AH211" s="27" t="n">
        <v>1.550499</v>
      </c>
      <c r="AI211" s="27" t="n">
        <f aca="false">VLOOKUP(B211,proft,2,0)</f>
        <v>19.5340386648663</v>
      </c>
      <c r="AJ211" s="27" t="n">
        <f aca="false">VLOOKUP(B211,proft,3,0)</f>
        <v>0.111205698344084</v>
      </c>
      <c r="AK211" s="27" t="s">
        <v>63</v>
      </c>
      <c r="BA211" s="30" t="n">
        <v>23.1785</v>
      </c>
      <c r="BB211" s="30" t="n">
        <v>2.238</v>
      </c>
      <c r="BC211" s="30" t="n">
        <v>0.02238</v>
      </c>
      <c r="BD211" s="31" t="n">
        <v>23.1785</v>
      </c>
      <c r="BE211" s="31" t="n">
        <v>2.238</v>
      </c>
      <c r="BF211" s="31" t="n">
        <v>0.02238</v>
      </c>
      <c r="BG211" s="14" t="n">
        <f aca="false">10^6/((BA211+273.15)^2)</f>
        <v>11.3881493665036</v>
      </c>
      <c r="BH211" s="14" t="n">
        <f aca="false">BG211*(2*($BE211/($BD211+273.15)))</f>
        <v>0.172016382374527</v>
      </c>
      <c r="BI211" s="14" t="n">
        <f aca="false">BG211*(2*($BF211/($BD211+273.15)))</f>
        <v>0.00172016382374527</v>
      </c>
      <c r="BK211" s="14" t="n">
        <f aca="false">10^6/((AG211+273.15)^2)</f>
        <v>11.3348415382484</v>
      </c>
      <c r="BL211" s="14" t="n">
        <f aca="false">BK211*(2*($AH211/($AG211+273.15)))</f>
        <v>0.118338120055501</v>
      </c>
      <c r="BM211" s="14" t="n">
        <f aca="false">10^6/((AI211+273.15)^2)</f>
        <v>11.6735224208512</v>
      </c>
      <c r="BN211" s="14" t="n">
        <f aca="false">BM211*(2*($AJ211/($AI211+273.15)))</f>
        <v>0.00887074142387736</v>
      </c>
    </row>
    <row r="212" s="14" customFormat="true" ht="16" hidden="false" customHeight="false" outlineLevel="0" collapsed="false">
      <c r="A212" s="22" t="s">
        <v>130</v>
      </c>
      <c r="B212" s="36" t="s">
        <v>656</v>
      </c>
      <c r="C212" s="14" t="s">
        <v>597</v>
      </c>
      <c r="D212" s="36" t="s">
        <v>656</v>
      </c>
      <c r="E212" s="34" t="s">
        <v>345</v>
      </c>
      <c r="F212" s="22" t="n">
        <v>70.5</v>
      </c>
      <c r="G212" s="22" t="n">
        <v>-2.8</v>
      </c>
      <c r="H212" s="22" t="s">
        <v>125</v>
      </c>
      <c r="I212" s="22" t="s">
        <v>346</v>
      </c>
      <c r="J212" s="22" t="n">
        <v>2995</v>
      </c>
      <c r="K212" s="35" t="s">
        <v>130</v>
      </c>
      <c r="L212" s="22" t="s">
        <v>80</v>
      </c>
      <c r="M212" s="22" t="s">
        <v>134</v>
      </c>
      <c r="N212" s="22" t="s">
        <v>583</v>
      </c>
      <c r="O212" s="22" t="s">
        <v>71</v>
      </c>
      <c r="P212" s="22" t="s">
        <v>71</v>
      </c>
      <c r="Q212" s="22" t="n">
        <v>5</v>
      </c>
      <c r="R212" s="35" t="s">
        <v>62</v>
      </c>
      <c r="S212" s="25" t="n">
        <v>35.0827777777778</v>
      </c>
      <c r="T212" s="22" t="n">
        <v>7.05296756756757</v>
      </c>
      <c r="U212" s="36" t="n">
        <v>20</v>
      </c>
      <c r="V212" s="48" t="n">
        <v>1.7225</v>
      </c>
      <c r="W212" s="48" t="n">
        <v>0.0847830047517594</v>
      </c>
      <c r="X212" s="48" t="n">
        <v>0.0189580561961622</v>
      </c>
      <c r="Y212" s="48" t="n">
        <v>-0.6385</v>
      </c>
      <c r="Z212" s="48" t="n">
        <v>0.14590101186475</v>
      </c>
      <c r="AA212" s="48" t="n">
        <v>0.0326244580515584</v>
      </c>
      <c r="AB212" s="27" t="n">
        <v>0.310979933333333</v>
      </c>
      <c r="AC212" s="27" t="n">
        <v>0.225166451419619</v>
      </c>
      <c r="AD212" s="27" t="n">
        <v>0.204409691080154</v>
      </c>
      <c r="AE212" s="55" t="n">
        <v>0.604</v>
      </c>
      <c r="AF212" s="55" t="n">
        <v>0.005</v>
      </c>
      <c r="AG212" s="29" t="n">
        <v>23.7359</v>
      </c>
      <c r="AH212" s="27" t="n">
        <v>2.720152</v>
      </c>
      <c r="AI212" s="27" t="n">
        <f aca="false">VLOOKUP(B212,proft,2,0)</f>
        <v>18.9105153498174</v>
      </c>
      <c r="AJ212" s="27" t="n">
        <f aca="false">VLOOKUP(B212,proft,3,0)</f>
        <v>1.7282785106513</v>
      </c>
      <c r="AK212" s="27" t="s">
        <v>63</v>
      </c>
      <c r="BA212" s="30" t="n">
        <v>19.9253</v>
      </c>
      <c r="BB212" s="30" t="n">
        <v>2.252</v>
      </c>
      <c r="BC212" s="30" t="n">
        <v>0.02252</v>
      </c>
      <c r="BD212" s="31" t="n">
        <v>19.9253</v>
      </c>
      <c r="BE212" s="31" t="n">
        <v>2.252</v>
      </c>
      <c r="BF212" s="31" t="n">
        <v>0.02252</v>
      </c>
      <c r="BG212" s="14" t="n">
        <f aca="false">10^6/((BA212+273.15)^2)</f>
        <v>11.6423744586402</v>
      </c>
      <c r="BH212" s="14" t="n">
        <f aca="false">BG212*(2*($BE212/($BD212+273.15)))</f>
        <v>0.17892075709456</v>
      </c>
      <c r="BI212" s="14" t="n">
        <f aca="false">BG212*(2*($BF212/($BD212+273.15)))</f>
        <v>0.00178920757094561</v>
      </c>
      <c r="BK212" s="14" t="n">
        <f aca="false">10^6/((AG212+273.15)^2)</f>
        <v>11.3454272598799</v>
      </c>
      <c r="BL212" s="14" t="n">
        <f aca="false">BK212*(2*($AH212/($AG212+273.15)))</f>
        <v>0.20789998212658</v>
      </c>
      <c r="BM212" s="14" t="n">
        <f aca="false">10^6/((AI212+273.15)^2)</f>
        <v>11.7234194984716</v>
      </c>
      <c r="BN212" s="14" t="n">
        <f aca="false">BM212*(2*($AJ212/($AI212+273.15)))</f>
        <v>0.138747505572884</v>
      </c>
    </row>
    <row r="213" s="14" customFormat="true" ht="16" hidden="false" customHeight="false" outlineLevel="0" collapsed="false">
      <c r="A213" s="22" t="s">
        <v>85</v>
      </c>
      <c r="B213" s="36" t="s">
        <v>657</v>
      </c>
      <c r="C213" s="14" t="s">
        <v>597</v>
      </c>
      <c r="D213" s="36" t="s">
        <v>87</v>
      </c>
      <c r="E213" s="34" t="s">
        <v>88</v>
      </c>
      <c r="F213" s="22" t="n">
        <v>52.9</v>
      </c>
      <c r="G213" s="22" t="n">
        <v>-16.9</v>
      </c>
      <c r="H213" s="22" t="s">
        <v>78</v>
      </c>
      <c r="I213" s="22" t="s">
        <v>79</v>
      </c>
      <c r="J213" s="22" t="n">
        <v>3569</v>
      </c>
      <c r="K213" s="35" t="s">
        <v>85</v>
      </c>
      <c r="L213" s="22" t="s">
        <v>89</v>
      </c>
      <c r="M213" s="22" t="s">
        <v>90</v>
      </c>
      <c r="N213" s="22" t="s">
        <v>91</v>
      </c>
      <c r="O213" s="22" t="s">
        <v>92</v>
      </c>
      <c r="P213" s="22" t="s">
        <v>92</v>
      </c>
      <c r="Q213" s="22" t="n">
        <v>4</v>
      </c>
      <c r="R213" s="35" t="s">
        <v>62</v>
      </c>
      <c r="S213" s="25" t="n">
        <v>35.4877894736842</v>
      </c>
      <c r="T213" s="22" t="n">
        <v>23.1977172131148</v>
      </c>
      <c r="U213" s="36" t="n">
        <v>16</v>
      </c>
      <c r="V213" s="48" t="n">
        <v>2.034375</v>
      </c>
      <c r="W213" s="48" t="n">
        <v>0.0754514192488562</v>
      </c>
      <c r="X213" s="48" t="n">
        <v>0.0188628548122141</v>
      </c>
      <c r="Y213" s="48" t="n">
        <v>1.053125</v>
      </c>
      <c r="Z213" s="48" t="n">
        <v>0.0974144924194205</v>
      </c>
      <c r="AA213" s="48" t="n">
        <v>0.0243536231048551</v>
      </c>
      <c r="AB213" s="27" t="n">
        <v>0.510507192857143</v>
      </c>
      <c r="AC213" s="27" t="n">
        <v>0.200099119392179</v>
      </c>
      <c r="AD213" s="27" t="n">
        <v>0.200014162920503</v>
      </c>
      <c r="AE213" s="55" t="n">
        <v>0.626</v>
      </c>
      <c r="AF213" s="55" t="n">
        <v>0.005</v>
      </c>
      <c r="AG213" s="29" t="n">
        <v>11.7682</v>
      </c>
      <c r="AH213" s="27" t="n">
        <v>0.478945</v>
      </c>
      <c r="AI213" s="27" t="n">
        <f aca="false">VLOOKUP(B213,proft,2,0)</f>
        <v>12.3726761940295</v>
      </c>
      <c r="AJ213" s="27" t="n">
        <f aca="false">VLOOKUP(B213,proft,3,0)</f>
        <v>1.84519444957041</v>
      </c>
      <c r="AK213" s="27" t="s">
        <v>63</v>
      </c>
      <c r="BA213" s="30" t="n">
        <v>14.0966</v>
      </c>
      <c r="BB213" s="30" t="n">
        <v>2.234</v>
      </c>
      <c r="BC213" s="30" t="n">
        <v>0.02277</v>
      </c>
      <c r="BD213" s="31" t="n">
        <v>14.0966</v>
      </c>
      <c r="BE213" s="31" t="n">
        <v>2.234</v>
      </c>
      <c r="BF213" s="31" t="n">
        <v>0.02277</v>
      </c>
      <c r="BG213" s="14" t="n">
        <f aca="false">10^6/((BA213+273.15)^2)</f>
        <v>12.1196535761355</v>
      </c>
      <c r="BH213" s="14" t="n">
        <f aca="false">BG213*(2*($BE213/($BD213+273.15)))</f>
        <v>0.188516111864068</v>
      </c>
      <c r="BI213" s="14" t="n">
        <f aca="false">BG213*(2*($BF213/($BD213+273.15)))</f>
        <v>0.00192144667284908</v>
      </c>
      <c r="BK213" s="14" t="n">
        <f aca="false">10^6/((AG213+273.15)^2)</f>
        <v>12.3185507210778</v>
      </c>
      <c r="BL213" s="14" t="n">
        <f aca="false">BK213*(2*($AH213/($AG213+273.15)))</f>
        <v>0.0414147518488225</v>
      </c>
      <c r="BM213" s="14" t="n">
        <f aca="false">10^6/((AI213+273.15)^2)</f>
        <v>12.2664470594312</v>
      </c>
      <c r="BN213" s="14" t="n">
        <f aca="false">BM213*(2*($AJ213/($AI213+273.15)))</f>
        <v>0.158544185223528</v>
      </c>
    </row>
    <row r="214" s="14" customFormat="true" ht="16" hidden="false" customHeight="false" outlineLevel="0" collapsed="false">
      <c r="A214" s="22" t="s">
        <v>85</v>
      </c>
      <c r="B214" s="36" t="s">
        <v>658</v>
      </c>
      <c r="C214" s="14" t="s">
        <v>597</v>
      </c>
      <c r="D214" s="36" t="s">
        <v>658</v>
      </c>
      <c r="E214" s="34" t="s">
        <v>600</v>
      </c>
      <c r="F214" s="22" t="n">
        <v>48.9</v>
      </c>
      <c r="G214" s="22" t="n">
        <v>-11.8</v>
      </c>
      <c r="H214" s="22" t="s">
        <v>78</v>
      </c>
      <c r="I214" s="22" t="s">
        <v>79</v>
      </c>
      <c r="J214" s="22" t="n">
        <v>1484</v>
      </c>
      <c r="K214" s="35" t="s">
        <v>85</v>
      </c>
      <c r="L214" s="22" t="s">
        <v>89</v>
      </c>
      <c r="M214" s="22" t="s">
        <v>90</v>
      </c>
      <c r="N214" s="22" t="s">
        <v>91</v>
      </c>
      <c r="O214" s="22" t="s">
        <v>92</v>
      </c>
      <c r="P214" s="22" t="s">
        <v>92</v>
      </c>
      <c r="Q214" s="22" t="n">
        <v>4</v>
      </c>
      <c r="R214" s="35" t="s">
        <v>62</v>
      </c>
      <c r="S214" s="25" t="n">
        <v>35.5883684210526</v>
      </c>
      <c r="T214" s="22" t="n">
        <v>51.05021</v>
      </c>
      <c r="U214" s="36" t="n">
        <v>16</v>
      </c>
      <c r="V214" s="48" t="n">
        <v>2.07625</v>
      </c>
      <c r="W214" s="48" t="n">
        <v>0.175228422352083</v>
      </c>
      <c r="X214" s="48" t="n">
        <v>0.0438071055880208</v>
      </c>
      <c r="Y214" s="48" t="n">
        <v>1.178125</v>
      </c>
      <c r="Z214" s="48" t="n">
        <v>0.120897684014211</v>
      </c>
      <c r="AA214" s="48" t="n">
        <v>0.0302244210035527</v>
      </c>
      <c r="AB214" s="27" t="n">
        <v>0.573686845714286</v>
      </c>
      <c r="AC214" s="27" t="n">
        <v>0.200027108087206</v>
      </c>
      <c r="AD214" s="27" t="n">
        <v>0.200003872808836</v>
      </c>
      <c r="AE214" s="55" t="n">
        <v>0.627</v>
      </c>
      <c r="AF214" s="55" t="n">
        <v>0.007</v>
      </c>
      <c r="AG214" s="29" t="n">
        <v>12.5415</v>
      </c>
      <c r="AH214" s="27" t="n">
        <v>1.082262</v>
      </c>
      <c r="AI214" s="27" t="n">
        <f aca="false">VLOOKUP(B214,proft,2,0)</f>
        <v>12.1141701458533</v>
      </c>
      <c r="AJ214" s="27" t="n">
        <f aca="false">VLOOKUP(B214,proft,3,0)</f>
        <v>2.32952144843824</v>
      </c>
      <c r="AK214" s="27" t="s">
        <v>63</v>
      </c>
      <c r="BA214" s="30" t="n">
        <v>13.8907</v>
      </c>
      <c r="BB214" s="30" t="n">
        <v>2.228</v>
      </c>
      <c r="BC214" s="30" t="n">
        <v>0.02228</v>
      </c>
      <c r="BD214" s="31" t="n">
        <v>13.8907</v>
      </c>
      <c r="BE214" s="31" t="n">
        <v>2.228</v>
      </c>
      <c r="BF214" s="31" t="n">
        <v>0.02228</v>
      </c>
      <c r="BG214" s="14" t="n">
        <f aca="false">10^6/((BA214+273.15)^2)</f>
        <v>12.137047149134</v>
      </c>
      <c r="BH214" s="14" t="n">
        <f aca="false">BG214*(2*($BE214/($BD214+273.15)))</f>
        <v>0.188414681599302</v>
      </c>
      <c r="BI214" s="14" t="n">
        <f aca="false">BG214*(2*($BF214/($BD214+273.15)))</f>
        <v>0.00188414681599302</v>
      </c>
      <c r="BK214" s="14" t="n">
        <f aca="false">10^6/((AG214+273.15)^2)</f>
        <v>12.2519541087572</v>
      </c>
      <c r="BL214" s="14" t="n">
        <f aca="false">BK214*(2*($AH214/($AG214+273.15)))</f>
        <v>0.0928261733908901</v>
      </c>
      <c r="BM214" s="14" t="n">
        <f aca="false">10^6/((AI214+273.15)^2)</f>
        <v>12.2886888117603</v>
      </c>
      <c r="BN214" s="14" t="n">
        <f aca="false">BM214*(2*($AJ214/($AI214+273.15)))</f>
        <v>0.200703538376671</v>
      </c>
    </row>
    <row r="215" s="14" customFormat="true" ht="16" hidden="false" customHeight="false" outlineLevel="0" collapsed="false">
      <c r="A215" s="22" t="s">
        <v>85</v>
      </c>
      <c r="B215" s="36" t="s">
        <v>659</v>
      </c>
      <c r="C215" s="14" t="s">
        <v>597</v>
      </c>
      <c r="D215" s="36" t="s">
        <v>659</v>
      </c>
      <c r="E215" s="34" t="s">
        <v>616</v>
      </c>
      <c r="F215" s="22" t="n">
        <v>-13.5</v>
      </c>
      <c r="G215" s="22" t="n">
        <v>-162.1</v>
      </c>
      <c r="H215" s="22" t="s">
        <v>56</v>
      </c>
      <c r="I215" s="22" t="s">
        <v>617</v>
      </c>
      <c r="J215" s="22" t="n">
        <v>3154</v>
      </c>
      <c r="K215" s="35" t="s">
        <v>85</v>
      </c>
      <c r="L215" s="22" t="s">
        <v>89</v>
      </c>
      <c r="M215" s="22" t="s">
        <v>90</v>
      </c>
      <c r="N215" s="22" t="s">
        <v>660</v>
      </c>
      <c r="O215" s="22" t="s">
        <v>92</v>
      </c>
      <c r="P215" s="22" t="s">
        <v>92</v>
      </c>
      <c r="Q215" s="22" t="n">
        <v>4</v>
      </c>
      <c r="R215" s="35" t="s">
        <v>62</v>
      </c>
      <c r="S215" s="25" t="n">
        <v>36.0018666666667</v>
      </c>
      <c r="T215" s="22" t="n">
        <v>1.82885929648241</v>
      </c>
      <c r="U215" s="36" t="n">
        <v>16</v>
      </c>
      <c r="V215" s="48" t="n">
        <v>3.168125</v>
      </c>
      <c r="W215" s="48" t="n">
        <v>0.20285360074037</v>
      </c>
      <c r="X215" s="48" t="n">
        <v>0.0507134001850925</v>
      </c>
      <c r="Y215" s="48" t="n">
        <v>-1.26</v>
      </c>
      <c r="Z215" s="48" t="n">
        <v>0.237542978567387</v>
      </c>
      <c r="AA215" s="48" t="n">
        <v>0.0593857446418468</v>
      </c>
      <c r="AB215" s="27" t="n">
        <v>0.608462195</v>
      </c>
      <c r="AC215" s="27" t="n">
        <v>0.20440007494566</v>
      </c>
      <c r="AD215" s="27" t="n">
        <v>0.200740043604405</v>
      </c>
      <c r="AE215" s="55" t="n">
        <v>0.597</v>
      </c>
      <c r="AF215" s="55" t="n">
        <v>0.007</v>
      </c>
      <c r="AG215" s="29" t="n">
        <v>26.9178</v>
      </c>
      <c r="AH215" s="27" t="n">
        <v>1.902705</v>
      </c>
      <c r="AI215" s="27" t="n">
        <f aca="false">VLOOKUP(B215,proft,2,0)</f>
        <v>23.8828836615502</v>
      </c>
      <c r="AJ215" s="27" t="n">
        <f aca="false">VLOOKUP(B215,proft,3,0)</f>
        <v>0.257426042700144</v>
      </c>
      <c r="AK215" s="27" t="s">
        <v>63</v>
      </c>
      <c r="BA215" s="30" t="n">
        <v>23.4832</v>
      </c>
      <c r="BB215" s="30" t="n">
        <v>2.239</v>
      </c>
      <c r="BC215" s="30" t="n">
        <v>0.0232</v>
      </c>
      <c r="BD215" s="31" t="n">
        <v>23.4832</v>
      </c>
      <c r="BE215" s="31" t="n">
        <v>2.239</v>
      </c>
      <c r="BF215" s="31" t="n">
        <v>0.0232</v>
      </c>
      <c r="BG215" s="14" t="n">
        <f aca="false">10^6/((BA215+273.15)^2)</f>
        <v>11.3647656930285</v>
      </c>
      <c r="BH215" s="14" t="n">
        <f aca="false">BG215*(2*($BE215/($BD215+273.15)))</f>
        <v>0.171563468867887</v>
      </c>
      <c r="BI215" s="14" t="n">
        <f aca="false">BG215*(2*($BF215/($BD215+273.15)))</f>
        <v>0.00177770097263733</v>
      </c>
      <c r="BK215" s="14" t="n">
        <f aca="false">10^6/((AG215+273.15)^2)</f>
        <v>11.1060905909093</v>
      </c>
      <c r="BL215" s="14" t="n">
        <f aca="false">BK215*(2*($AH215/($AG215+273.15)))</f>
        <v>0.140845596213763</v>
      </c>
      <c r="BM215" s="14" t="n">
        <f aca="false">10^6/((AI215+273.15)^2)</f>
        <v>11.3342017024636</v>
      </c>
      <c r="BN215" s="14" t="n">
        <f aca="false">BM215*(2*($AJ215/($AI215+273.15)))</f>
        <v>0.0196457621490487</v>
      </c>
    </row>
    <row r="216" s="14" customFormat="true" ht="16" hidden="false" customHeight="false" outlineLevel="0" collapsed="false">
      <c r="A216" s="22" t="s">
        <v>85</v>
      </c>
      <c r="B216" s="36" t="s">
        <v>661</v>
      </c>
      <c r="C216" s="14" t="s">
        <v>597</v>
      </c>
      <c r="D216" s="36" t="s">
        <v>661</v>
      </c>
      <c r="E216" s="34" t="s">
        <v>345</v>
      </c>
      <c r="F216" s="22" t="n">
        <v>-11.2</v>
      </c>
      <c r="G216" s="22" t="n">
        <v>58.8</v>
      </c>
      <c r="H216" s="22" t="s">
        <v>125</v>
      </c>
      <c r="I216" s="22" t="s">
        <v>346</v>
      </c>
      <c r="J216" s="22" t="n">
        <v>2871</v>
      </c>
      <c r="K216" s="35" t="s">
        <v>85</v>
      </c>
      <c r="L216" s="22" t="s">
        <v>89</v>
      </c>
      <c r="M216" s="22" t="s">
        <v>90</v>
      </c>
      <c r="N216" s="22" t="s">
        <v>91</v>
      </c>
      <c r="O216" s="22" t="s">
        <v>92</v>
      </c>
      <c r="P216" s="22" t="s">
        <v>92</v>
      </c>
      <c r="Q216" s="22" t="n">
        <v>4</v>
      </c>
      <c r="R216" s="35" t="s">
        <v>62</v>
      </c>
      <c r="S216" s="25" t="n">
        <v>35.1511052631579</v>
      </c>
      <c r="T216" s="22" t="n">
        <v>7.05296756756757</v>
      </c>
      <c r="U216" s="36" t="n">
        <v>19</v>
      </c>
      <c r="V216" s="48" t="n">
        <v>2.37157894736842</v>
      </c>
      <c r="W216" s="48" t="n">
        <v>0.133718741223457</v>
      </c>
      <c r="X216" s="48" t="n">
        <v>0.0306771831500272</v>
      </c>
      <c r="Y216" s="48" t="n">
        <v>-1.36578947368421</v>
      </c>
      <c r="Z216" s="48" t="n">
        <v>0.137933792067615</v>
      </c>
      <c r="AA216" s="48" t="n">
        <v>0.0316441821327414</v>
      </c>
      <c r="AB216" s="27" t="n">
        <v>0.3011885</v>
      </c>
      <c r="AC216" s="27" t="n">
        <v>0.22268299037975</v>
      </c>
      <c r="AD216" s="27" t="n">
        <v>0.203395362429386</v>
      </c>
      <c r="AE216" s="55" t="n">
        <v>0.604</v>
      </c>
      <c r="AF216" s="55" t="n">
        <v>0.005</v>
      </c>
      <c r="AG216" s="29" t="n">
        <v>23.3534</v>
      </c>
      <c r="AH216" s="27" t="n">
        <v>3.125287</v>
      </c>
      <c r="AI216" s="27" t="n">
        <f aca="false">VLOOKUP(B216,proft,2,0)</f>
        <v>22.3074633241939</v>
      </c>
      <c r="AJ216" s="27" t="n">
        <f aca="false">VLOOKUP(B216,proft,3,0)</f>
        <v>2.51010025178249</v>
      </c>
      <c r="AK216" s="27" t="s">
        <v>63</v>
      </c>
      <c r="BA216" s="30" t="n">
        <v>22.6978</v>
      </c>
      <c r="BB216" s="30" t="n">
        <v>2.243</v>
      </c>
      <c r="BC216" s="30" t="n">
        <v>0.02267</v>
      </c>
      <c r="BD216" s="31" t="n">
        <v>22.6978</v>
      </c>
      <c r="BE216" s="31" t="n">
        <v>2.243</v>
      </c>
      <c r="BF216" s="31" t="n">
        <v>0.02267</v>
      </c>
      <c r="BG216" s="14" t="n">
        <f aca="false">10^6/((BA216+273.15)^2)</f>
        <v>11.4251868619211</v>
      </c>
      <c r="BH216" s="14" t="n">
        <f aca="false">BG216*(2*($BE216/($BD216+273.15)))</f>
        <v>0.173242418103424</v>
      </c>
      <c r="BI216" s="14" t="n">
        <f aca="false">BG216*(2*($BF216/($BD216+273.15)))</f>
        <v>0.00175096104253438</v>
      </c>
      <c r="BK216" s="14" t="n">
        <f aca="false">10^6/((AG216+273.15)^2)</f>
        <v>11.3747181554535</v>
      </c>
      <c r="BL216" s="14" t="n">
        <f aca="false">BK216*(2*($AH216/($AG216+273.15)))</f>
        <v>0.239789889626241</v>
      </c>
      <c r="BM216" s="14" t="n">
        <f aca="false">10^6/((AI216+273.15)^2)</f>
        <v>11.4553950367536</v>
      </c>
      <c r="BN216" s="14" t="n">
        <f aca="false">BM216*(2*($AJ216/($AI216+273.15)))</f>
        <v>0.194641825205629</v>
      </c>
    </row>
    <row r="217" s="14" customFormat="true" ht="16" hidden="false" customHeight="false" outlineLevel="0" collapsed="false">
      <c r="A217" s="22" t="s">
        <v>593</v>
      </c>
      <c r="B217" s="36" t="s">
        <v>662</v>
      </c>
      <c r="C217" s="14" t="s">
        <v>597</v>
      </c>
      <c r="D217" s="36" t="s">
        <v>662</v>
      </c>
      <c r="E217" s="34" t="s">
        <v>88</v>
      </c>
      <c r="F217" s="22" t="n">
        <v>52.9</v>
      </c>
      <c r="G217" s="22" t="n">
        <v>-16.9</v>
      </c>
      <c r="H217" s="22" t="s">
        <v>78</v>
      </c>
      <c r="I217" s="22" t="s">
        <v>79</v>
      </c>
      <c r="J217" s="22" t="n">
        <v>3569</v>
      </c>
      <c r="K217" s="35" t="s">
        <v>593</v>
      </c>
      <c r="L217" s="22" t="s">
        <v>58</v>
      </c>
      <c r="M217" s="22" t="s">
        <v>483</v>
      </c>
      <c r="N217" s="22" t="s">
        <v>484</v>
      </c>
      <c r="O217" s="22" t="s">
        <v>485</v>
      </c>
      <c r="P217" s="22" t="s">
        <v>61</v>
      </c>
      <c r="Q217" s="22" t="n">
        <v>3</v>
      </c>
      <c r="R217" s="35" t="s">
        <v>83</v>
      </c>
      <c r="S217" s="25" t="n">
        <v>35.3716</v>
      </c>
      <c r="T217" s="22" t="n">
        <v>23.1977172131148</v>
      </c>
      <c r="U217" s="36" t="n">
        <v>19</v>
      </c>
      <c r="V217" s="48" t="n">
        <v>1.17473684210526</v>
      </c>
      <c r="W217" s="48" t="n">
        <v>0.0838893729895795</v>
      </c>
      <c r="X217" s="48" t="n">
        <v>0.0192455420683457</v>
      </c>
      <c r="Y217" s="48" t="n">
        <v>2.07473684210526</v>
      </c>
      <c r="Z217" s="48" t="n">
        <v>0.0894655999099736</v>
      </c>
      <c r="AA217" s="48" t="n">
        <v>0.0205248162595166</v>
      </c>
      <c r="AB217" s="27" t="n">
        <v>0.398020626666667</v>
      </c>
      <c r="AC217" s="27" t="n">
        <v>0.20015064741338</v>
      </c>
      <c r="AD217" s="27" t="n">
        <v>0.20005022840943</v>
      </c>
      <c r="AE217" s="55" t="n">
        <v>0.643</v>
      </c>
      <c r="AF217" s="55" t="n">
        <v>0.006</v>
      </c>
      <c r="AG217" s="29" t="n">
        <v>9.6999</v>
      </c>
      <c r="AH217" s="27" t="n">
        <v>0.395162</v>
      </c>
      <c r="AI217" s="27" t="n">
        <f aca="false">VLOOKUP(B217,proft,2,0)</f>
        <v>7.24777839202585</v>
      </c>
      <c r="AJ217" s="27" t="n">
        <f aca="false">VLOOKUP(B217,proft,3,0)</f>
        <v>0.429369266465753</v>
      </c>
      <c r="AK217" s="27" t="s">
        <v>63</v>
      </c>
      <c r="BA217" s="30" t="n">
        <v>9.7147</v>
      </c>
      <c r="BB217" s="30" t="n">
        <v>2.241</v>
      </c>
      <c r="BC217" s="30" t="n">
        <v>0.02241</v>
      </c>
      <c r="BD217" s="31" t="n">
        <v>9.7147</v>
      </c>
      <c r="BE217" s="31" t="n">
        <v>2.241</v>
      </c>
      <c r="BF217" s="31" t="n">
        <v>0.02241</v>
      </c>
      <c r="BG217" s="14" t="n">
        <f aca="false">10^6/((BA217+273.15)^2)</f>
        <v>12.498056785557</v>
      </c>
      <c r="BH217" s="14" t="n">
        <f aca="false">BG217*(2*($BE217/($BD217+273.15)))</f>
        <v>0.198032099844436</v>
      </c>
      <c r="BI217" s="14" t="n">
        <f aca="false">BG217*(2*($BF217/($BD217+273.15)))</f>
        <v>0.00198032099844436</v>
      </c>
      <c r="BK217" s="14" t="n">
        <f aca="false">10^6/((AG217+273.15)^2)</f>
        <v>12.4993647307229</v>
      </c>
      <c r="BL217" s="14" t="n">
        <f aca="false">BK217*(2*($AH217/($AG217+273.15)))</f>
        <v>0.0349250536466298</v>
      </c>
      <c r="BM217" s="14" t="n">
        <f aca="false">10^6/((AI217+273.15)^2)</f>
        <v>12.7189383794953</v>
      </c>
      <c r="BN217" s="14" t="n">
        <f aca="false">BM217*(2*($AJ217/($AI217+273.15)))</f>
        <v>0.0389526712625504</v>
      </c>
    </row>
    <row r="218" s="14" customFormat="true" ht="16" hidden="false" customHeight="false" outlineLevel="0" collapsed="false">
      <c r="A218" s="22" t="s">
        <v>51</v>
      </c>
      <c r="B218" s="36" t="s">
        <v>663</v>
      </c>
      <c r="C218" s="14" t="s">
        <v>597</v>
      </c>
      <c r="D218" s="36" t="s">
        <v>663</v>
      </c>
      <c r="E218" s="34" t="s">
        <v>345</v>
      </c>
      <c r="F218" s="22" t="n">
        <v>-11.2</v>
      </c>
      <c r="G218" s="22" t="n">
        <v>58.8</v>
      </c>
      <c r="H218" s="22" t="s">
        <v>125</v>
      </c>
      <c r="I218" s="22" t="s">
        <v>346</v>
      </c>
      <c r="J218" s="22" t="n">
        <v>2871</v>
      </c>
      <c r="K218" s="35" t="s">
        <v>51</v>
      </c>
      <c r="L218" s="22" t="s">
        <v>58</v>
      </c>
      <c r="M218" s="22" t="s">
        <v>59</v>
      </c>
      <c r="N218" s="22" t="s">
        <v>60</v>
      </c>
      <c r="O218" s="22" t="s">
        <v>61</v>
      </c>
      <c r="P218" s="22" t="s">
        <v>61</v>
      </c>
      <c r="Q218" s="22" t="n">
        <v>3</v>
      </c>
      <c r="R218" s="35" t="s">
        <v>62</v>
      </c>
      <c r="S218" s="25" t="n">
        <v>35.1445294117647</v>
      </c>
      <c r="T218" s="22" t="n">
        <v>7.05296756756757</v>
      </c>
      <c r="U218" s="36" t="n">
        <v>20</v>
      </c>
      <c r="V218" s="48" t="n">
        <v>1.5225</v>
      </c>
      <c r="W218" s="48" t="n">
        <v>0.0978653747703822</v>
      </c>
      <c r="X218" s="48" t="n">
        <v>0.0218833630630068</v>
      </c>
      <c r="Y218" s="48" t="n">
        <v>0.404</v>
      </c>
      <c r="Z218" s="48" t="n">
        <v>0.253842056156351</v>
      </c>
      <c r="AA218" s="48" t="n">
        <v>0.056760809311392</v>
      </c>
      <c r="AB218" s="27" t="n">
        <v>0.327142948</v>
      </c>
      <c r="AC218" s="27" t="n">
        <v>0.226750062255269</v>
      </c>
      <c r="AD218" s="27" t="n">
        <v>0.205628592726191</v>
      </c>
      <c r="AE218" s="55" t="n">
        <v>0.626</v>
      </c>
      <c r="AF218" s="55" t="n">
        <v>0.006</v>
      </c>
      <c r="AG218" s="29" t="n">
        <v>24.077</v>
      </c>
      <c r="AH218" s="27" t="n">
        <v>2.374013</v>
      </c>
      <c r="AI218" s="27" t="n">
        <f aca="false">VLOOKUP(B218,proft,2,0)</f>
        <v>14.1057849969751</v>
      </c>
      <c r="AJ218" s="27" t="n">
        <f aca="false">VLOOKUP(B218,proft,3,0)</f>
        <v>0.246764593605986</v>
      </c>
      <c r="AK218" s="27" t="s">
        <v>63</v>
      </c>
      <c r="BA218" s="30" t="n">
        <v>15.9343</v>
      </c>
      <c r="BB218" s="30" t="n">
        <v>2.253</v>
      </c>
      <c r="BC218" s="30" t="n">
        <v>0.02357</v>
      </c>
      <c r="BD218" s="31" t="n">
        <v>15.9343</v>
      </c>
      <c r="BE218" s="31" t="n">
        <v>2.253</v>
      </c>
      <c r="BF218" s="31" t="n">
        <v>0.02357</v>
      </c>
      <c r="BG218" s="14" t="n">
        <f aca="false">10^6/((BA218+273.15)^2)</f>
        <v>11.9660548144311</v>
      </c>
      <c r="BH218" s="14" t="n">
        <f aca="false">BG218*(2*($BE218/($BD218+273.15)))</f>
        <v>0.186516676947957</v>
      </c>
      <c r="BI218" s="14" t="n">
        <f aca="false">BG218*(2*($BF218/($BD218+273.15)))</f>
        <v>0.00195126412590473</v>
      </c>
      <c r="BK218" s="14" t="n">
        <f aca="false">10^6/((AG218+273.15)^2)</f>
        <v>11.319402002011</v>
      </c>
      <c r="BL218" s="14" t="n">
        <f aca="false">BK218*(2*($AH218/($AG218+273.15)))</f>
        <v>0.180820770017529</v>
      </c>
      <c r="BM218" s="14" t="n">
        <f aca="false">10^6/((AI218+273.15)^2)</f>
        <v>12.11887853725</v>
      </c>
      <c r="BN218" s="14" t="n">
        <f aca="false">BM218*(2*($AJ218/($AI218+273.15)))</f>
        <v>0.020821235243261</v>
      </c>
    </row>
    <row r="219" s="14" customFormat="true" ht="16" hidden="false" customHeight="false" outlineLevel="0" collapsed="false">
      <c r="A219" s="22" t="s">
        <v>542</v>
      </c>
      <c r="B219" s="36" t="s">
        <v>664</v>
      </c>
      <c r="C219" s="14" t="s">
        <v>597</v>
      </c>
      <c r="D219" s="36" t="s">
        <v>664</v>
      </c>
      <c r="E219" s="34" t="s">
        <v>88</v>
      </c>
      <c r="F219" s="22" t="n">
        <v>52.9</v>
      </c>
      <c r="G219" s="22" t="n">
        <v>-16.9</v>
      </c>
      <c r="H219" s="22" t="s">
        <v>78</v>
      </c>
      <c r="I219" s="22" t="s">
        <v>79</v>
      </c>
      <c r="J219" s="22" t="n">
        <v>3569</v>
      </c>
      <c r="K219" s="35" t="s">
        <v>542</v>
      </c>
      <c r="L219" s="22" t="s">
        <v>58</v>
      </c>
      <c r="M219" s="22" t="s">
        <v>546</v>
      </c>
      <c r="N219" s="22" t="s">
        <v>547</v>
      </c>
      <c r="O219" s="22" t="s">
        <v>485</v>
      </c>
      <c r="P219" s="22" t="s">
        <v>61</v>
      </c>
      <c r="Q219" s="22" t="n">
        <v>3</v>
      </c>
      <c r="R219" s="35" t="s">
        <v>83</v>
      </c>
      <c r="S219" s="25" t="n">
        <v>35.4509230769231</v>
      </c>
      <c r="T219" s="22" t="n">
        <v>23.1977172131148</v>
      </c>
      <c r="U219" s="36" t="n">
        <v>16</v>
      </c>
      <c r="V219" s="48" t="n">
        <v>1.183125</v>
      </c>
      <c r="W219" s="48" t="n">
        <v>0.0937883254994992</v>
      </c>
      <c r="X219" s="48" t="n">
        <v>0.0234470813748748</v>
      </c>
      <c r="Y219" s="48" t="n">
        <v>1.578125</v>
      </c>
      <c r="Z219" s="48" t="n">
        <v>0.0682367203197809</v>
      </c>
      <c r="AA219" s="48" t="n">
        <v>0.0170591800799452</v>
      </c>
      <c r="AB219" s="27" t="n">
        <v>0.438371974</v>
      </c>
      <c r="AC219" s="27" t="n">
        <v>0.202982686502973</v>
      </c>
      <c r="AD219" s="27" t="n">
        <v>0.200600085254201</v>
      </c>
      <c r="AE219" s="55" t="n">
        <v>0.635</v>
      </c>
      <c r="AF219" s="55" t="n">
        <v>0.008</v>
      </c>
      <c r="AG219" s="29" t="n">
        <v>10.5258</v>
      </c>
      <c r="AH219" s="27" t="n">
        <v>0.241888</v>
      </c>
      <c r="AI219" s="27" t="n">
        <f aca="false">VLOOKUP(B219,proft,2,0)</f>
        <v>9.60145171957216</v>
      </c>
      <c r="AJ219" s="27" t="n">
        <f aca="false">VLOOKUP(B219,proft,3,0)</f>
        <v>1.71453346707504</v>
      </c>
      <c r="AK219" s="27" t="s">
        <v>63</v>
      </c>
      <c r="BA219" s="30" t="n">
        <v>11.7953</v>
      </c>
      <c r="BB219" s="30" t="n">
        <v>2.231</v>
      </c>
      <c r="BC219" s="30" t="n">
        <v>0.02159</v>
      </c>
      <c r="BD219" s="31" t="n">
        <v>11.7953</v>
      </c>
      <c r="BE219" s="31" t="n">
        <v>2.231</v>
      </c>
      <c r="BF219" s="31" t="n">
        <v>0.02159</v>
      </c>
      <c r="BG219" s="14" t="n">
        <f aca="false">10^6/((BA219+273.15)^2)</f>
        <v>12.316207696997</v>
      </c>
      <c r="BH219" s="14" t="n">
        <f aca="false">BG219*(2*($BE219/($BD219+273.15)))</f>
        <v>0.192861292128702</v>
      </c>
      <c r="BI219" s="14" t="n">
        <f aca="false">BG219*(2*($BF219/($BD219+273.15)))</f>
        <v>0.00186637171540057</v>
      </c>
      <c r="BK219" s="14" t="n">
        <f aca="false">10^6/((AG219+273.15)^2)</f>
        <v>12.4266888260614</v>
      </c>
      <c r="BL219" s="14" t="n">
        <f aca="false">BK219*(2*($AH219/($AG219+273.15)))</f>
        <v>0.0211922688277134</v>
      </c>
      <c r="BM219" s="14" t="n">
        <f aca="false">10^6/((AI219+273.15)^2)</f>
        <v>12.5080702930202</v>
      </c>
      <c r="BN219" s="14" t="n">
        <f aca="false">BM219*(2*($AJ219/($AI219+273.15)))</f>
        <v>0.151691565121862</v>
      </c>
    </row>
    <row r="220" s="14" customFormat="true" ht="16" hidden="false" customHeight="false" outlineLevel="0" collapsed="false">
      <c r="A220" s="22" t="s">
        <v>542</v>
      </c>
      <c r="B220" s="36" t="s">
        <v>665</v>
      </c>
      <c r="C220" s="14" t="s">
        <v>597</v>
      </c>
      <c r="D220" s="36" t="s">
        <v>665</v>
      </c>
      <c r="E220" s="34" t="s">
        <v>600</v>
      </c>
      <c r="F220" s="22" t="n">
        <v>48.9</v>
      </c>
      <c r="G220" s="22" t="n">
        <v>-11.8</v>
      </c>
      <c r="H220" s="22" t="s">
        <v>78</v>
      </c>
      <c r="I220" s="22" t="s">
        <v>79</v>
      </c>
      <c r="J220" s="22" t="n">
        <v>1484</v>
      </c>
      <c r="K220" s="35" t="s">
        <v>542</v>
      </c>
      <c r="L220" s="22" t="s">
        <v>58</v>
      </c>
      <c r="M220" s="22" t="s">
        <v>546</v>
      </c>
      <c r="N220" s="22" t="s">
        <v>547</v>
      </c>
      <c r="O220" s="22" t="s">
        <v>485</v>
      </c>
      <c r="P220" s="22" t="s">
        <v>61</v>
      </c>
      <c r="Q220" s="22" t="n">
        <v>3</v>
      </c>
      <c r="R220" s="35" t="s">
        <v>83</v>
      </c>
      <c r="S220" s="25" t="n">
        <v>35.5572307692308</v>
      </c>
      <c r="T220" s="22" t="n">
        <v>51.05021</v>
      </c>
      <c r="U220" s="36" t="n">
        <v>16</v>
      </c>
      <c r="V220" s="48" t="n">
        <v>1.051875</v>
      </c>
      <c r="W220" s="48" t="n">
        <v>0.146706907358403</v>
      </c>
      <c r="X220" s="48" t="n">
        <v>0.0366767268396007</v>
      </c>
      <c r="Y220" s="48" t="n">
        <v>1.48375</v>
      </c>
      <c r="Z220" s="48" t="n">
        <v>0.112716458425556</v>
      </c>
      <c r="AA220" s="48" t="n">
        <v>0.0281791146063889</v>
      </c>
      <c r="AB220" s="27" t="n">
        <v>0.525939848</v>
      </c>
      <c r="AC220" s="27" t="n">
        <v>0.200352224310124</v>
      </c>
      <c r="AD220" s="27" t="n">
        <v>0.200070494469332</v>
      </c>
      <c r="AE220" s="55" t="n">
        <v>0.634</v>
      </c>
      <c r="AF220" s="55" t="n">
        <v>0.006</v>
      </c>
      <c r="AG220" s="29" t="n">
        <v>11.0158</v>
      </c>
      <c r="AH220" s="27" t="n">
        <v>0.224276</v>
      </c>
      <c r="AI220" s="27" t="n">
        <f aca="false">VLOOKUP(B220,proft,2,0)</f>
        <v>10.9317728832511</v>
      </c>
      <c r="AJ220" s="27" t="n">
        <f aca="false">VLOOKUP(B220,proft,3,0)</f>
        <v>1.15593508854166</v>
      </c>
      <c r="AK220" s="27" t="s">
        <v>63</v>
      </c>
      <c r="BA220" s="30" t="n">
        <v>12.4929</v>
      </c>
      <c r="BB220" s="30" t="n">
        <v>2.242</v>
      </c>
      <c r="BC220" s="30" t="n">
        <v>0.02288</v>
      </c>
      <c r="BD220" s="31" t="n">
        <v>12.4929</v>
      </c>
      <c r="BE220" s="31" t="n">
        <v>2.242</v>
      </c>
      <c r="BF220" s="31" t="n">
        <v>0.02288</v>
      </c>
      <c r="BG220" s="14" t="n">
        <f aca="false">10^6/((BA220+273.15)^2)</f>
        <v>12.2561236198841</v>
      </c>
      <c r="BH220" s="14" t="n">
        <f aca="false">BG220*(2*($BE220/($BD220+273.15)))</f>
        <v>0.192395674149647</v>
      </c>
      <c r="BI220" s="14" t="n">
        <f aca="false">BG220*(2*($BF220/($BD220+273.15)))</f>
        <v>0.0019634313222765</v>
      </c>
      <c r="BK220" s="14" t="n">
        <f aca="false">10^6/((AG220+273.15)^2)</f>
        <v>12.3838699668725</v>
      </c>
      <c r="BL220" s="14" t="n">
        <f aca="false">BK220*(2*($AH220/($AG220+273.15)))</f>
        <v>0.0195477768309226</v>
      </c>
      <c r="BM220" s="14" t="n">
        <f aca="false">10^6/((AI220+273.15)^2)</f>
        <v>12.3911969753675</v>
      </c>
      <c r="BN220" s="14" t="n">
        <f aca="false">BM220*(2*($AJ220/($AI220+273.15)))</f>
        <v>0.100840115347669</v>
      </c>
    </row>
    <row r="221" s="14" customFormat="true" ht="16" hidden="false" customHeight="false" outlineLevel="0" collapsed="false">
      <c r="A221" s="22" t="s">
        <v>542</v>
      </c>
      <c r="B221" s="36" t="s">
        <v>666</v>
      </c>
      <c r="C221" s="14" t="s">
        <v>597</v>
      </c>
      <c r="D221" s="36" t="s">
        <v>666</v>
      </c>
      <c r="E221" s="34" t="s">
        <v>604</v>
      </c>
      <c r="F221" s="22" t="n">
        <v>34.8</v>
      </c>
      <c r="G221" s="22" t="n">
        <v>-27.7</v>
      </c>
      <c r="H221" s="22" t="s">
        <v>78</v>
      </c>
      <c r="I221" s="22" t="s">
        <v>605</v>
      </c>
      <c r="J221" s="22" t="n">
        <v>2060</v>
      </c>
      <c r="K221" s="35" t="s">
        <v>542</v>
      </c>
      <c r="L221" s="22" t="s">
        <v>58</v>
      </c>
      <c r="M221" s="22" t="s">
        <v>546</v>
      </c>
      <c r="N221" s="22" t="s">
        <v>547</v>
      </c>
      <c r="O221" s="22" t="s">
        <v>485</v>
      </c>
      <c r="P221" s="22" t="s">
        <v>61</v>
      </c>
      <c r="Q221" s="22" t="n">
        <v>3</v>
      </c>
      <c r="R221" s="35" t="s">
        <v>83</v>
      </c>
      <c r="S221" s="25" t="n">
        <v>35.8755384615385</v>
      </c>
      <c r="T221" s="22" t="n">
        <v>45.4435183946488</v>
      </c>
      <c r="U221" s="36" t="n">
        <v>17</v>
      </c>
      <c r="V221" s="48" t="n">
        <v>0.927647058823529</v>
      </c>
      <c r="W221" s="48" t="n">
        <v>0.143550052758816</v>
      </c>
      <c r="X221" s="48" t="n">
        <v>0.0348160017698579</v>
      </c>
      <c r="Y221" s="48" t="n">
        <v>1.64352941176471</v>
      </c>
      <c r="Z221" s="48" t="n">
        <v>0.157715771899586</v>
      </c>
      <c r="AA221" s="48" t="n">
        <v>0.0382516933157539</v>
      </c>
      <c r="AB221" s="27" t="n">
        <v>0.720574724</v>
      </c>
      <c r="AC221" s="27" t="n">
        <v>0.225305754531582</v>
      </c>
      <c r="AD221" s="27" t="n">
        <v>0.205310829244366</v>
      </c>
      <c r="AE221" s="55" t="n">
        <v>0.647</v>
      </c>
      <c r="AF221" s="55" t="n">
        <v>0.007</v>
      </c>
      <c r="AG221" s="29" t="n">
        <v>13.8158</v>
      </c>
      <c r="AH221" s="27" t="n">
        <v>1.118595</v>
      </c>
      <c r="AI221" s="27" t="n">
        <f aca="false">VLOOKUP(B221,proft,2,0)</f>
        <v>9.7455572129003</v>
      </c>
      <c r="AJ221" s="27" t="n">
        <f aca="false">VLOOKUP(B221,proft,3,0)</f>
        <v>0.36949924926022</v>
      </c>
      <c r="AK221" s="27" t="s">
        <v>63</v>
      </c>
      <c r="BA221" s="30" t="n">
        <v>12.6724</v>
      </c>
      <c r="BB221" s="30" t="n">
        <v>2.222</v>
      </c>
      <c r="BC221" s="30" t="n">
        <v>0.02222</v>
      </c>
      <c r="BD221" s="31" t="n">
        <v>12.6724</v>
      </c>
      <c r="BE221" s="31" t="n">
        <v>2.222</v>
      </c>
      <c r="BF221" s="31" t="n">
        <v>0.02222</v>
      </c>
      <c r="BG221" s="14" t="n">
        <f aca="false">10^6/((BA221+273.15)^2)</f>
        <v>12.2407344594524</v>
      </c>
      <c r="BH221" s="14" t="n">
        <f aca="false">BG221*(2*($BE221/($BD221+273.15)))</f>
        <v>0.190320366555618</v>
      </c>
      <c r="BI221" s="14" t="n">
        <f aca="false">BG221*(2*($BF221/($BD221+273.15)))</f>
        <v>0.00190320366555618</v>
      </c>
      <c r="BK221" s="14" t="n">
        <f aca="false">10^6/((AG221+273.15)^2)</f>
        <v>12.1433836775111</v>
      </c>
      <c r="BL221" s="14" t="n">
        <f aca="false">BK221*(2*($AH221/($AG221+273.15)))</f>
        <v>0.094670014787445</v>
      </c>
      <c r="BM221" s="14" t="n">
        <f aca="false">10^6/((AI221+273.15)^2)</f>
        <v>12.4953304495909</v>
      </c>
      <c r="BN221" s="14" t="n">
        <f aca="false">BM221*(2*($AJ221/($AI221+273.15)))</f>
        <v>0.03264112922712</v>
      </c>
    </row>
    <row r="222" s="14" customFormat="true" ht="16" hidden="false" customHeight="false" outlineLevel="0" collapsed="false">
      <c r="A222" s="22" t="s">
        <v>542</v>
      </c>
      <c r="B222" s="36" t="s">
        <v>667</v>
      </c>
      <c r="C222" s="14" t="s">
        <v>597</v>
      </c>
      <c r="D222" s="36" t="s">
        <v>667</v>
      </c>
      <c r="E222" s="34" t="s">
        <v>607</v>
      </c>
      <c r="F222" s="22" t="n">
        <v>-45.1</v>
      </c>
      <c r="G222" s="22" t="n">
        <v>174.6</v>
      </c>
      <c r="H222" s="22" t="s">
        <v>56</v>
      </c>
      <c r="I222" s="22" t="s">
        <v>608</v>
      </c>
      <c r="J222" s="22" t="n">
        <v>992</v>
      </c>
      <c r="K222" s="35" t="s">
        <v>542</v>
      </c>
      <c r="L222" s="22" t="s">
        <v>58</v>
      </c>
      <c r="M222" s="22" t="s">
        <v>546</v>
      </c>
      <c r="N222" s="22" t="s">
        <v>547</v>
      </c>
      <c r="O222" s="22" t="s">
        <v>485</v>
      </c>
      <c r="P222" s="22" t="s">
        <v>61</v>
      </c>
      <c r="Q222" s="22" t="n">
        <v>3</v>
      </c>
      <c r="R222" s="35" t="s">
        <v>83</v>
      </c>
      <c r="S222" s="25" t="n">
        <v>34.3725384615385</v>
      </c>
      <c r="T222" s="22" t="n">
        <v>33.51871</v>
      </c>
      <c r="U222" s="36" t="n">
        <v>17</v>
      </c>
      <c r="V222" s="48" t="n">
        <v>1.01470588235294</v>
      </c>
      <c r="W222" s="48" t="n">
        <v>0.110742812806228</v>
      </c>
      <c r="X222" s="48" t="n">
        <v>0.0268590773222401</v>
      </c>
      <c r="Y222" s="48" t="n">
        <v>2.17352941176471</v>
      </c>
      <c r="Z222" s="48" t="n">
        <v>0.123082349286493</v>
      </c>
      <c r="AA222" s="48" t="n">
        <v>0.0298518545151399</v>
      </c>
      <c r="AB222" s="27" t="n">
        <v>-0.0455163548</v>
      </c>
      <c r="AC222" s="27" t="n">
        <v>0.200634257179202</v>
      </c>
      <c r="AD222" s="27" t="n">
        <v>0.200127012246648</v>
      </c>
      <c r="AE222" s="55" t="n">
        <v>0.655</v>
      </c>
      <c r="AF222" s="55" t="n">
        <v>0.007</v>
      </c>
      <c r="AG222" s="29" t="n">
        <v>7.0839</v>
      </c>
      <c r="AH222" s="27" t="n">
        <v>0.364001</v>
      </c>
      <c r="AI222" s="27" t="n">
        <f aca="false">VLOOKUP(B222,proft,2,0)</f>
        <v>4.92225340481786</v>
      </c>
      <c r="AJ222" s="27" t="n">
        <f aca="false">VLOOKUP(B222,proft,3,0)</f>
        <v>1.1667512253892</v>
      </c>
      <c r="AK222" s="27" t="s">
        <v>63</v>
      </c>
      <c r="BA222" s="30" t="n">
        <v>7.6047</v>
      </c>
      <c r="BB222" s="30" t="n">
        <v>2.237</v>
      </c>
      <c r="BC222" s="30" t="n">
        <v>0.02237</v>
      </c>
      <c r="BD222" s="31" t="n">
        <v>7.6047</v>
      </c>
      <c r="BE222" s="31" t="n">
        <v>2.237</v>
      </c>
      <c r="BF222" s="31" t="n">
        <v>0.02237</v>
      </c>
      <c r="BG222" s="14" t="n">
        <f aca="false">10^6/((BA222+273.15)^2)</f>
        <v>12.6866199298619</v>
      </c>
      <c r="BH222" s="14" t="n">
        <f aca="false">BG222*(2*($BE222/($BD222+273.15)))</f>
        <v>0.202169144688236</v>
      </c>
      <c r="BI222" s="14" t="n">
        <f aca="false">BG222*(2*($BF222/($BD222+273.15)))</f>
        <v>0.00202169144688236</v>
      </c>
      <c r="BK222" s="14" t="n">
        <f aca="false">10^6/((AG222+273.15)^2)</f>
        <v>12.7338185822661</v>
      </c>
      <c r="BL222" s="14" t="n">
        <f aca="false">BK222*(2*($AH222/($AG222+273.15)))</f>
        <v>0.0330803853335622</v>
      </c>
      <c r="BM222" s="14" t="n">
        <f aca="false">10^6/((AI222+273.15)^2)</f>
        <v>12.9325655234309</v>
      </c>
      <c r="BN222" s="14" t="n">
        <f aca="false">BM222*(2*($AJ222/($AI222+273.15)))</f>
        <v>0.108526373898387</v>
      </c>
    </row>
    <row r="223" s="14" customFormat="true" ht="16" hidden="false" customHeight="false" outlineLevel="0" collapsed="false">
      <c r="A223" s="22" t="s">
        <v>229</v>
      </c>
      <c r="B223" s="36" t="s">
        <v>668</v>
      </c>
      <c r="C223" s="14" t="s">
        <v>597</v>
      </c>
      <c r="D223" s="36" t="s">
        <v>668</v>
      </c>
      <c r="E223" s="34" t="s">
        <v>616</v>
      </c>
      <c r="F223" s="22" t="n">
        <v>-13.5</v>
      </c>
      <c r="G223" s="22" t="n">
        <v>-162.1</v>
      </c>
      <c r="H223" s="22" t="s">
        <v>56</v>
      </c>
      <c r="I223" s="22" t="s">
        <v>617</v>
      </c>
      <c r="J223" s="22" t="n">
        <v>3154</v>
      </c>
      <c r="K223" s="35" t="s">
        <v>229</v>
      </c>
      <c r="L223" s="22" t="s">
        <v>58</v>
      </c>
      <c r="M223" s="22" t="s">
        <v>232</v>
      </c>
      <c r="N223" s="22" t="s">
        <v>233</v>
      </c>
      <c r="O223" s="22" t="s">
        <v>61</v>
      </c>
      <c r="P223" s="22" t="s">
        <v>61</v>
      </c>
      <c r="Q223" s="22" t="n">
        <v>3</v>
      </c>
      <c r="R223" s="35" t="s">
        <v>234</v>
      </c>
      <c r="S223" s="25" t="n">
        <v>35.87975</v>
      </c>
      <c r="T223" s="22" t="n">
        <v>1.82885929648241</v>
      </c>
      <c r="U223" s="36" t="n">
        <v>16</v>
      </c>
      <c r="V223" s="48" t="n">
        <v>2.275</v>
      </c>
      <c r="W223" s="48" t="n">
        <v>0.175004761839976</v>
      </c>
      <c r="X223" s="48" t="n">
        <v>0.043751190459994</v>
      </c>
      <c r="Y223" s="48" t="n">
        <v>0.103125</v>
      </c>
      <c r="Z223" s="48" t="n">
        <v>0.259402357994937</v>
      </c>
      <c r="AA223" s="48" t="n">
        <v>0.0648505894987342</v>
      </c>
      <c r="AB223" s="27" t="n">
        <v>0.524811952</v>
      </c>
      <c r="AC223" s="27" t="n">
        <v>0.257571975260139</v>
      </c>
      <c r="AD223" s="27" t="n">
        <v>0.212764340263781</v>
      </c>
      <c r="AE223" s="55" t="n">
        <v>0.611</v>
      </c>
      <c r="AF223" s="55" t="n">
        <v>0.005</v>
      </c>
      <c r="AG223" s="29" t="n">
        <v>21.4212</v>
      </c>
      <c r="AH223" s="27" t="n">
        <v>3.383406</v>
      </c>
      <c r="AI223" s="27" t="n">
        <f aca="false">VLOOKUP(B223,proft,2,0)</f>
        <v>15.5983926946025</v>
      </c>
      <c r="AJ223" s="27" t="n">
        <f aca="false">VLOOKUP(B223,proft,3,0)</f>
        <v>0.10680277940378</v>
      </c>
      <c r="AK223" s="27" t="s">
        <v>63</v>
      </c>
      <c r="BA223" s="30" t="n">
        <v>17.8301</v>
      </c>
      <c r="BB223" s="30" t="n">
        <v>2.205</v>
      </c>
      <c r="BC223" s="30" t="n">
        <v>0.02241</v>
      </c>
      <c r="BD223" s="31" t="n">
        <v>17.8301</v>
      </c>
      <c r="BE223" s="31" t="n">
        <v>2.205</v>
      </c>
      <c r="BF223" s="31" t="n">
        <v>0.02241</v>
      </c>
      <c r="BG223" s="14" t="n">
        <f aca="false">10^6/((BA223+273.15)^2)</f>
        <v>11.8106397396134</v>
      </c>
      <c r="BH223" s="14" t="n">
        <f aca="false">BG223*(2*($BE223/($BD223+273.15)))</f>
        <v>0.178998224454852</v>
      </c>
      <c r="BI223" s="14" t="n">
        <f aca="false">BG223*(2*($BF223/($BD223+273.15)))</f>
        <v>0.00181920644445952</v>
      </c>
      <c r="BK223" s="14" t="n">
        <f aca="false">10^6/((AG223+273.15)^2)</f>
        <v>11.5244294105723</v>
      </c>
      <c r="BL223" s="14" t="n">
        <f aca="false">BK223*(2*($AH223/($AG223+273.15)))</f>
        <v>0.264736156245464</v>
      </c>
      <c r="BM223" s="14" t="n">
        <f aca="false">10^6/((AI223+273.15)^2)</f>
        <v>11.9939117536081</v>
      </c>
      <c r="BN223" s="14" t="n">
        <f aca="false">BM223*(2*($AJ223/($AI223+273.15)))</f>
        <v>0.0088726596830886</v>
      </c>
    </row>
    <row r="224" s="14" customFormat="true" ht="16" hidden="false" customHeight="false" outlineLevel="0" collapsed="false">
      <c r="A224" s="22" t="s">
        <v>229</v>
      </c>
      <c r="B224" s="36" t="s">
        <v>669</v>
      </c>
      <c r="C224" s="14" t="s">
        <v>597</v>
      </c>
      <c r="D224" s="36" t="s">
        <v>669</v>
      </c>
      <c r="E224" s="34" t="s">
        <v>345</v>
      </c>
      <c r="F224" s="22" t="n">
        <v>-11.2</v>
      </c>
      <c r="G224" s="22" t="n">
        <v>58.8</v>
      </c>
      <c r="H224" s="22" t="s">
        <v>125</v>
      </c>
      <c r="I224" s="22" t="s">
        <v>346</v>
      </c>
      <c r="J224" s="22" t="n">
        <v>2871</v>
      </c>
      <c r="K224" s="35" t="s">
        <v>229</v>
      </c>
      <c r="L224" s="22" t="s">
        <v>58</v>
      </c>
      <c r="M224" s="22" t="s">
        <v>232</v>
      </c>
      <c r="N224" s="22" t="s">
        <v>233</v>
      </c>
      <c r="O224" s="22" t="s">
        <v>61</v>
      </c>
      <c r="P224" s="22" t="s">
        <v>61</v>
      </c>
      <c r="Q224" s="22" t="n">
        <v>3</v>
      </c>
      <c r="R224" s="35" t="s">
        <v>234</v>
      </c>
      <c r="S224" s="25" t="n">
        <v>35.12125</v>
      </c>
      <c r="T224" s="22" t="n">
        <v>7.05296756756757</v>
      </c>
      <c r="U224" s="36" t="n">
        <v>20</v>
      </c>
      <c r="V224" s="48" t="n">
        <v>1.6655</v>
      </c>
      <c r="W224" s="48" t="n">
        <v>0.0939470735658059</v>
      </c>
      <c r="X224" s="48" t="n">
        <v>0.0210072042780315</v>
      </c>
      <c r="Y224" s="48" t="n">
        <v>0.7085</v>
      </c>
      <c r="Z224" s="48" t="n">
        <v>0.21364690496237</v>
      </c>
      <c r="AA224" s="48" t="n">
        <v>0.0477729002678297</v>
      </c>
      <c r="AB224" s="27" t="n">
        <v>0.224151418</v>
      </c>
      <c r="AC224" s="27" t="n">
        <v>0.200855302866911</v>
      </c>
      <c r="AD224" s="27" t="n">
        <v>0.200171352940304</v>
      </c>
      <c r="AE224" s="55" t="n">
        <v>0.625</v>
      </c>
      <c r="AF224" s="55" t="n">
        <v>0.005</v>
      </c>
      <c r="AG224" s="29" t="n">
        <v>14.097</v>
      </c>
      <c r="AH224" s="27" t="n">
        <v>2.260405</v>
      </c>
      <c r="AI224" s="27" t="n">
        <f aca="false">VLOOKUP(B224,proft,2,0)</f>
        <v>12.6145122962017</v>
      </c>
      <c r="AJ224" s="27" t="n">
        <f aca="false">VLOOKUP(B224,proft,3,0)</f>
        <v>0.548131083938871</v>
      </c>
      <c r="AK224" s="27" t="s">
        <v>63</v>
      </c>
      <c r="BA224" s="30" t="n">
        <v>14.3175</v>
      </c>
      <c r="BB224" s="30" t="n">
        <v>2.216</v>
      </c>
      <c r="BC224" s="30" t="n">
        <v>0.02216</v>
      </c>
      <c r="BD224" s="31" t="n">
        <v>14.3175</v>
      </c>
      <c r="BE224" s="31" t="n">
        <v>2.216</v>
      </c>
      <c r="BF224" s="31" t="n">
        <v>0.02216</v>
      </c>
      <c r="BG224" s="14" t="n">
        <f aca="false">10^6/((BA224+273.15)^2)</f>
        <v>12.1010344081517</v>
      </c>
      <c r="BH224" s="14" t="n">
        <f aca="false">BG224*(2*($BE224/($BD224+273.15)))</f>
        <v>0.186566427498511</v>
      </c>
      <c r="BI224" s="14" t="n">
        <f aca="false">BG224*(2*($BF224/($BD224+273.15)))</f>
        <v>0.00186566427498511</v>
      </c>
      <c r="BK224" s="14" t="n">
        <f aca="false">10^6/((AG224+273.15)^2)</f>
        <v>12.1196198222021</v>
      </c>
      <c r="BL224" s="14" t="n">
        <f aca="false">BK224*(2*($AH224/($AG224+273.15)))</f>
        <v>0.19074350119726</v>
      </c>
      <c r="BM224" s="14" t="n">
        <f aca="false">10^6/((AI224+273.15)^2)</f>
        <v>12.2456942060269</v>
      </c>
      <c r="BN224" s="14" t="n">
        <f aca="false">BM224*(2*($AJ224/($AI224+273.15)))</f>
        <v>0.0469774611605801</v>
      </c>
    </row>
    <row r="225" s="14" customFormat="true" ht="16" hidden="false" customHeight="false" outlineLevel="0" collapsed="false">
      <c r="A225" s="22" t="s">
        <v>469</v>
      </c>
      <c r="B225" s="64" t="s">
        <v>670</v>
      </c>
      <c r="C225" s="14" t="s">
        <v>671</v>
      </c>
      <c r="D225" s="36" t="s">
        <v>670</v>
      </c>
      <c r="E225" s="34" t="s">
        <v>672</v>
      </c>
      <c r="F225" s="22" t="n">
        <v>73.04</v>
      </c>
      <c r="G225" s="22" t="n">
        <v>-11.93</v>
      </c>
      <c r="H225" s="22" t="s">
        <v>571</v>
      </c>
      <c r="I225" s="22" t="s">
        <v>632</v>
      </c>
      <c r="J225" s="22" t="n">
        <v>1839</v>
      </c>
      <c r="K225" s="35" t="s">
        <v>469</v>
      </c>
      <c r="L225" s="22" t="s">
        <v>166</v>
      </c>
      <c r="M225" s="22" t="s">
        <v>473</v>
      </c>
      <c r="N225" s="22" t="n">
        <v>1839</v>
      </c>
      <c r="O225" s="22" t="s">
        <v>172</v>
      </c>
      <c r="P225" s="22" t="s">
        <v>172</v>
      </c>
      <c r="Q225" s="22" t="n">
        <v>2</v>
      </c>
      <c r="R225" s="35" t="s">
        <v>62</v>
      </c>
      <c r="S225" s="25" t="n">
        <v>34.911</v>
      </c>
      <c r="T225" s="22" t="n">
        <v>88.8123861386139</v>
      </c>
      <c r="U225" s="36" t="n">
        <v>16</v>
      </c>
      <c r="V225" s="48" t="n">
        <v>1.2083125</v>
      </c>
      <c r="W225" s="48" t="n">
        <v>0.0505486152134754</v>
      </c>
      <c r="X225" s="48" t="n">
        <v>0.0126371538033689</v>
      </c>
      <c r="Y225" s="48" t="n">
        <v>4.0559375</v>
      </c>
      <c r="Z225" s="48" t="n">
        <v>0.20076934319429</v>
      </c>
      <c r="AA225" s="48" t="n">
        <v>0.0501923357985725</v>
      </c>
      <c r="AB225" s="27" t="n">
        <v>0.27975924656</v>
      </c>
      <c r="AC225" s="27" t="n">
        <v>0.2</v>
      </c>
      <c r="AD225" s="27" t="n">
        <v>0.2</v>
      </c>
      <c r="AE225" s="55" t="n">
        <v>0.6849</v>
      </c>
      <c r="AF225" s="55" t="n">
        <v>0.0043</v>
      </c>
      <c r="AG225" s="29" t="n">
        <v>-0.821130096912384</v>
      </c>
      <c r="AH225" s="27" t="n">
        <v>0.0805840800262311</v>
      </c>
      <c r="AI225" s="27" t="n">
        <f aca="false">VLOOKUP(B225,proft,2,0)</f>
        <v>-0.821130096912384</v>
      </c>
      <c r="AJ225" s="27" t="n">
        <f aca="false">VLOOKUP(B225,proft,3,0)</f>
        <v>0.0144956428557634</v>
      </c>
      <c r="AK225" s="27" t="s">
        <v>63</v>
      </c>
      <c r="AL225" s="14" t="n">
        <f aca="false">IF(AND(O225="Benthic, infaunal",M225="elegans"),(0.243-SQRT(((Y225)-(AB225))*0.0012+0.053337))/0.0006,IF(O225="Benthic",(0.245-SQRT(((Y225)-(AB225))*0.0044+0.045461))/0.0022,IF(O225="Benthic, infaunal",(0.245-(SQRT(0.045461+0.0044*((Y225-0.47)-(AB225)))))/0.0022,IF(O225="Benthic, epifaunal",(0.245-SQRT(((Y225)-(AB225))*0.0044+0.045461))/0.0022))))</f>
        <v>-1.88678489982037</v>
      </c>
      <c r="AM225" s="45" t="n">
        <f aca="false">Y225-AB225</f>
        <v>3.77617825344</v>
      </c>
      <c r="AN225" s="45" t="n">
        <f aca="false">SQRT((Z225^2)+(AC225^2))</f>
        <v>0.28338724242045</v>
      </c>
      <c r="AO225" s="46" t="n">
        <f aca="false">IF(NOT($M225="elegans"),(0.045461+0.0044*((AM225))),IF($M225="elegans",(0.053337+0.0012*((AM225)))))</f>
        <v>0.062076184315136</v>
      </c>
      <c r="AP225" s="46" t="n">
        <f aca="false">IF(NOT($M225="elegans"),(0.0044*((AN225))),IF($M225="elegans",(0.0012*((AN225)))))</f>
        <v>0.00124690386664998</v>
      </c>
      <c r="AQ225" s="46" t="n">
        <f aca="false">SQRT(AO225)</f>
        <v>0.249150926779605</v>
      </c>
      <c r="AR225" s="46" t="n">
        <f aca="false">AQ225*(0.5*(AP225/AO225))</f>
        <v>0.00250230629836864</v>
      </c>
      <c r="AS225" s="46" t="n">
        <f aca="false">IF(NOT($M225="elegans"),AR225/0.0022,IF($M225="elegans",AR225/0.0006))</f>
        <v>1.13741195380393</v>
      </c>
      <c r="AT225" s="45" t="n">
        <f aca="false">Y225-AB225</f>
        <v>3.77617825344</v>
      </c>
      <c r="AU225" s="45" t="n">
        <f aca="false">SQRT((AA225^2)+(AD225^2))</f>
        <v>0.206202013988508</v>
      </c>
      <c r="AV225" s="46" t="n">
        <f aca="false">IF(NOT($M225="elegans"),(0.045461+0.0044*((AT225))),IF($M225="elegans",(0.053337+0.0012*((AT225)))))</f>
        <v>0.062076184315136</v>
      </c>
      <c r="AW225" s="46" t="n">
        <f aca="false">IF(NOT($M225="elegans"),(0.0044*((AU225))),IF($M225="elegans",(0.0012*((AU225)))))</f>
        <v>0.000907288861549433</v>
      </c>
      <c r="AX225" s="46" t="n">
        <f aca="false">SQRT(AV225)</f>
        <v>0.249150926779605</v>
      </c>
      <c r="AY225" s="46" t="n">
        <f aca="false">AX225*(0.5*(AW225/AV225))</f>
        <v>0.00182076156263309</v>
      </c>
      <c r="AZ225" s="46" t="n">
        <f aca="false">IF(NOT($M225="elegans"),AY225/0.0022,IF($M225="elegans",AY225/0.0006))</f>
        <v>0.827618892105951</v>
      </c>
      <c r="BD225" s="31" t="n">
        <f aca="false">AL225</f>
        <v>-1.88678489982037</v>
      </c>
      <c r="BE225" s="31" t="n">
        <f aca="false">AS225</f>
        <v>1.13741195380393</v>
      </c>
      <c r="BF225" s="31" t="n">
        <f aca="false">AZ225</f>
        <v>0.827618892105951</v>
      </c>
      <c r="BG225" s="14" t="n">
        <f aca="false">10^6/((BD225+273.15)^2)</f>
        <v>13.5899603707848</v>
      </c>
      <c r="BH225" s="14" t="n">
        <f aca="false">BG225*(2*($BE225/($BD225+273.15)))</f>
        <v>0.113965938004117</v>
      </c>
      <c r="BI225" s="14" t="n">
        <f aca="false">BG225*(2*($BF225/($BD225+273.15)))</f>
        <v>0.0829254194430966</v>
      </c>
      <c r="BK225" s="14" t="n">
        <f aca="false">10^6/((AG225+273.15)^2)</f>
        <v>13.4838102497244</v>
      </c>
      <c r="BL225" s="14" t="n">
        <f aca="false">BK225*(2*($AH225/($AG225+273.15)))</f>
        <v>0.00797991373157742</v>
      </c>
      <c r="BM225" s="14" t="n">
        <f aca="false">10^6/((AI225+273.15)^2)</f>
        <v>13.4838102497244</v>
      </c>
      <c r="BN225" s="14" t="n">
        <f aca="false">BM225*(2*($AJ225/($AI225+273.15)))</f>
        <v>0.00143544456219014</v>
      </c>
    </row>
    <row r="226" s="14" customFormat="true" ht="16" hidden="false" customHeight="false" outlineLevel="0" collapsed="false">
      <c r="A226" s="22" t="s">
        <v>83</v>
      </c>
      <c r="B226" s="36" t="s">
        <v>673</v>
      </c>
      <c r="C226" s="14" t="s">
        <v>671</v>
      </c>
      <c r="D226" s="36" t="s">
        <v>673</v>
      </c>
      <c r="E226" s="34" t="s">
        <v>674</v>
      </c>
      <c r="F226" s="22" t="n">
        <v>43.67</v>
      </c>
      <c r="G226" s="22" t="n">
        <v>-2</v>
      </c>
      <c r="H226" s="22" t="s">
        <v>78</v>
      </c>
      <c r="I226" s="22" t="s">
        <v>605</v>
      </c>
      <c r="J226" s="22" t="n">
        <v>664</v>
      </c>
      <c r="K226" s="35" t="s">
        <v>675</v>
      </c>
      <c r="L226" s="22" t="s">
        <v>184</v>
      </c>
      <c r="M226" s="22" t="s">
        <v>676</v>
      </c>
      <c r="N226" s="22" t="n">
        <v>664</v>
      </c>
      <c r="O226" s="22" t="s">
        <v>178</v>
      </c>
      <c r="P226" s="22" t="s">
        <v>178</v>
      </c>
      <c r="Q226" s="22" t="n">
        <v>1</v>
      </c>
      <c r="R226" s="35" t="s">
        <v>83</v>
      </c>
      <c r="S226" s="25" t="n">
        <v>35.654</v>
      </c>
      <c r="T226" s="22" t="n">
        <v>44.7300066225166</v>
      </c>
      <c r="U226" s="36" t="n">
        <v>31</v>
      </c>
      <c r="V226" s="48" t="n">
        <v>0.254032258064516</v>
      </c>
      <c r="W226" s="48" t="n">
        <v>0.142914072988158</v>
      </c>
      <c r="X226" s="48" t="n">
        <v>0.0256681252429146</v>
      </c>
      <c r="Y226" s="48" t="n">
        <v>2.25606451612903</v>
      </c>
      <c r="Z226" s="48" t="n">
        <v>0.0950452297536532</v>
      </c>
      <c r="AA226" s="48" t="n">
        <v>0.0170706271961091</v>
      </c>
      <c r="AB226" s="27" t="n">
        <v>0.578226312</v>
      </c>
      <c r="AC226" s="27" t="n">
        <v>0.2</v>
      </c>
      <c r="AD226" s="27" t="n">
        <v>0.2</v>
      </c>
      <c r="AE226" s="55" t="n">
        <v>0.6486</v>
      </c>
      <c r="AF226" s="55" t="n">
        <v>0.0036</v>
      </c>
      <c r="AG226" s="29" t="n">
        <v>10.6085151290894</v>
      </c>
      <c r="AH226" s="27" t="n">
        <v>0.0371078779654844</v>
      </c>
      <c r="AI226" s="27" t="n">
        <f aca="false">VLOOKUP(B226,proft,2,0)</f>
        <v>6.89037468084481</v>
      </c>
      <c r="AJ226" s="27" t="n">
        <f aca="false">VLOOKUP(B226,proft,3,0)</f>
        <v>0.391643369606826</v>
      </c>
      <c r="AK226" s="27" t="s">
        <v>63</v>
      </c>
      <c r="AL226" s="14" t="n">
        <f aca="false">IF(AND(O226="Benthic, infaunal",M226="elegans"),(0.243-SQRT(((Y226)-(AB226))*0.0012+0.053337))/0.0006,IF(O226="Benthic",(0.245-SQRT(((Y226)-(AB226))*0.0044+0.045461))/0.0022,IF(O226="Benthic, infaunal",(0.245-(SQRT(0.045461+0.0044*((Y226-0.47)-(AB226)))))/0.0022,IF(O226="Benthic, epifaunal",(0.245-SQRT(((Y226)-(AB226))*0.0044+0.045461))/0.0022))))</f>
        <v>8.93901370839923</v>
      </c>
      <c r="AM226" s="45" t="n">
        <f aca="false">Y226-AB226</f>
        <v>1.67783820412903</v>
      </c>
      <c r="AN226" s="45" t="n">
        <f aca="false">SQRT((Z226^2)+(AC226^2))</f>
        <v>0.221435308157766</v>
      </c>
      <c r="AO226" s="46" t="n">
        <f aca="false">IF(NOT($M226="elegans"),(0.045461+0.0044*((AM226))),IF($M226="elegans",(0.053337+0.0012*((AM226)))))</f>
        <v>0.0528434880981677</v>
      </c>
      <c r="AP226" s="46" t="n">
        <f aca="false">IF(NOT($M226="elegans"),(0.0044*((AN226))),IF($M226="elegans",(0.0012*((AN226)))))</f>
        <v>0.00097431535589417</v>
      </c>
      <c r="AQ226" s="46" t="n">
        <f aca="false">SQRT(AO226)</f>
        <v>0.229877115211949</v>
      </c>
      <c r="AR226" s="46" t="n">
        <f aca="false">AQ226*(0.5*(AP226/AO226))</f>
        <v>0.00211920911526108</v>
      </c>
      <c r="AS226" s="46" t="n">
        <f aca="false">IF(NOT($M226="elegans"),AR226/0.0022,IF($M226="elegans",AR226/0.0006))</f>
        <v>0.96327687057322</v>
      </c>
      <c r="AT226" s="45" t="n">
        <f aca="false">Y226-AB226</f>
        <v>1.67783820412903</v>
      </c>
      <c r="AU226" s="45" t="n">
        <f aca="false">SQRT((AA226^2)+(AD226^2))</f>
        <v>0.200727193755277</v>
      </c>
      <c r="AV226" s="46" t="n">
        <f aca="false">IF(NOT($M226="elegans"),(0.045461+0.0044*((AT226))),IF($M226="elegans",(0.053337+0.0012*((AT226)))))</f>
        <v>0.0528434880981677</v>
      </c>
      <c r="AW226" s="46" t="n">
        <f aca="false">IF(NOT($M226="elegans"),(0.0044*((AU226))),IF($M226="elegans",(0.0012*((AU226)))))</f>
        <v>0.000883199652523219</v>
      </c>
      <c r="AX226" s="46" t="n">
        <f aca="false">SQRT(AV226)</f>
        <v>0.229877115211949</v>
      </c>
      <c r="AY226" s="46" t="n">
        <f aca="false">AX226*(0.5*(AW226/AV226))</f>
        <v>0.00192102561342154</v>
      </c>
      <c r="AZ226" s="46" t="n">
        <f aca="false">IF(NOT($M226="elegans"),AY226/0.0022,IF($M226="elegans",AY226/0.0006))</f>
        <v>0.873193460646156</v>
      </c>
      <c r="BD226" s="31" t="n">
        <f aca="false">AL226</f>
        <v>8.93901370839923</v>
      </c>
      <c r="BE226" s="31" t="n">
        <f aca="false">AS226</f>
        <v>0.96327687057322</v>
      </c>
      <c r="BF226" s="31" t="n">
        <f aca="false">AZ226</f>
        <v>0.873193460646156</v>
      </c>
      <c r="BG226" s="14" t="n">
        <f aca="false">10^6/((BD226+273.15)^2)</f>
        <v>12.5668854167963</v>
      </c>
      <c r="BH226" s="14" t="n">
        <f aca="false">BG226*(2*($BE226/($BD226+273.15)))</f>
        <v>0.0858267388580923</v>
      </c>
      <c r="BI226" s="14" t="n">
        <f aca="false">BG226*(2*($BF226/($BD226+273.15)))</f>
        <v>0.0778004220893156</v>
      </c>
      <c r="BK226" s="14" t="n">
        <f aca="false">10^6/((AG226+273.15)^2)</f>
        <v>12.4194451642598</v>
      </c>
      <c r="BL226" s="14" t="n">
        <f aca="false">BK226*(2*($AH226/($AG226+273.15)))</f>
        <v>0.00324824969812602</v>
      </c>
      <c r="BM226" s="14" t="n">
        <f aca="false">10^6/((AI226+273.15)^2)</f>
        <v>12.7514243850433</v>
      </c>
      <c r="BN226" s="14" t="n">
        <f aca="false">BM226*(2*($AJ226/($AI226+273.15)))</f>
        <v>0.0356663628888266</v>
      </c>
    </row>
    <row r="227" s="14" customFormat="true" ht="16" hidden="false" customHeight="false" outlineLevel="0" collapsed="false">
      <c r="A227" s="22" t="s">
        <v>100</v>
      </c>
      <c r="B227" s="36" t="s">
        <v>677</v>
      </c>
      <c r="C227" s="14" t="s">
        <v>671</v>
      </c>
      <c r="D227" s="36" t="s">
        <v>677</v>
      </c>
      <c r="E227" s="34" t="s">
        <v>678</v>
      </c>
      <c r="F227" s="22" t="n">
        <v>52.71</v>
      </c>
      <c r="G227" s="22" t="n">
        <v>-35.94</v>
      </c>
      <c r="H227" s="22" t="s">
        <v>78</v>
      </c>
      <c r="I227" s="22" t="s">
        <v>79</v>
      </c>
      <c r="J227" s="22" t="n">
        <v>1355</v>
      </c>
      <c r="K227" s="35" t="s">
        <v>100</v>
      </c>
      <c r="L227" s="22" t="s">
        <v>104</v>
      </c>
      <c r="M227" s="22" t="s">
        <v>105</v>
      </c>
      <c r="N227" s="22" t="s">
        <v>106</v>
      </c>
      <c r="O227" s="22" t="s">
        <v>71</v>
      </c>
      <c r="P227" s="22" t="s">
        <v>71</v>
      </c>
      <c r="Q227" s="22" t="n">
        <v>5</v>
      </c>
      <c r="R227" s="35" t="s">
        <v>83</v>
      </c>
      <c r="S227" s="25" t="n">
        <v>34.7103333333333</v>
      </c>
      <c r="T227" s="22" t="n">
        <v>22.3113535353535</v>
      </c>
      <c r="U227" s="36" t="n">
        <v>15</v>
      </c>
      <c r="V227" s="48" t="n">
        <v>-0.208133333333333</v>
      </c>
      <c r="W227" s="48" t="n">
        <v>0.0605202052053299</v>
      </c>
      <c r="X227" s="48" t="n">
        <v>0.0156262497912865</v>
      </c>
      <c r="Y227" s="48" t="n">
        <v>1.75986666666667</v>
      </c>
      <c r="Z227" s="48" t="n">
        <v>0.105752991627165</v>
      </c>
      <c r="AA227" s="48" t="n">
        <v>0.0273053050255748</v>
      </c>
      <c r="AB227" s="27" t="n">
        <v>0.197384332857143</v>
      </c>
      <c r="AC227" s="27" t="n">
        <v>0.201011705004528</v>
      </c>
      <c r="AD227" s="27" t="n">
        <v>0.200144842390572</v>
      </c>
      <c r="AE227" s="55" t="n">
        <v>0.6524</v>
      </c>
      <c r="AF227" s="55" t="n">
        <v>0.0042</v>
      </c>
      <c r="AG227" s="29" t="n">
        <v>7.6076994850522</v>
      </c>
      <c r="AH227" s="27" t="n">
        <v>0.799041033527809</v>
      </c>
      <c r="AI227" s="27" t="n">
        <f aca="false">VLOOKUP(B227,proft,2,0)</f>
        <v>7.9404835118551</v>
      </c>
      <c r="AJ227" s="27" t="n">
        <f aca="false">VLOOKUP(B227,proft,3,0)</f>
        <v>1.91257585151911</v>
      </c>
      <c r="AK227" s="27" t="s">
        <v>107</v>
      </c>
      <c r="BA227" s="30" t="n">
        <v>10.4775</v>
      </c>
      <c r="BB227" s="30" t="n">
        <v>2.413</v>
      </c>
      <c r="BC227" s="30" t="n">
        <v>0.02413</v>
      </c>
      <c r="BD227" s="31" t="n">
        <v>10.4775</v>
      </c>
      <c r="BE227" s="31" t="n">
        <v>2.413</v>
      </c>
      <c r="BF227" s="31" t="n">
        <v>0.02413</v>
      </c>
      <c r="BG227" s="14" t="n">
        <f aca="false">10^6/((BA227+273.15)^2)</f>
        <v>12.4309215621412</v>
      </c>
      <c r="BH227" s="14" t="n">
        <f aca="false">BG227*(2*($BE227/($BD227+273.15)))</f>
        <v>0.211515552825072</v>
      </c>
      <c r="BI227" s="14" t="n">
        <f aca="false">BG227*(2*($BF227/($BD227+273.15)))</f>
        <v>0.00211515552825073</v>
      </c>
      <c r="BK227" s="14" t="n">
        <f aca="false">10^6/((AG227+273.15)^2)</f>
        <v>12.6863488553828</v>
      </c>
      <c r="BL227" s="14" t="n">
        <f aca="false">BK227*(2*($AH227/($AG227+273.15)))</f>
        <v>0.0722111152762108</v>
      </c>
      <c r="BM227" s="14" t="n">
        <f aca="false">10^6/((AI227+273.15)^2)</f>
        <v>12.6563278095308</v>
      </c>
      <c r="BN227" s="14" t="n">
        <f aca="false">BM227*(2*($AJ227/($AI227+273.15)))</f>
        <v>0.172230568854512</v>
      </c>
    </row>
    <row r="228" s="14" customFormat="true" ht="16" hidden="false" customHeight="false" outlineLevel="0" collapsed="false">
      <c r="A228" s="22" t="s">
        <v>100</v>
      </c>
      <c r="B228" s="36" t="s">
        <v>679</v>
      </c>
      <c r="C228" s="14" t="s">
        <v>671</v>
      </c>
      <c r="D228" s="36" t="s">
        <v>679</v>
      </c>
      <c r="E228" s="34" t="s">
        <v>680</v>
      </c>
      <c r="F228" s="22" t="n">
        <v>-44.69</v>
      </c>
      <c r="G228" s="22" t="n">
        <v>80.4</v>
      </c>
      <c r="H228" s="22" t="s">
        <v>120</v>
      </c>
      <c r="I228" s="22" t="s">
        <v>150</v>
      </c>
      <c r="J228" s="22" t="n">
        <v>3445</v>
      </c>
      <c r="K228" s="35" t="s">
        <v>100</v>
      </c>
      <c r="L228" s="22" t="s">
        <v>104</v>
      </c>
      <c r="M228" s="22" t="s">
        <v>105</v>
      </c>
      <c r="N228" s="22" t="s">
        <v>151</v>
      </c>
      <c r="O228" s="22" t="s">
        <v>71</v>
      </c>
      <c r="P228" s="22" t="s">
        <v>71</v>
      </c>
      <c r="Q228" s="22" t="n">
        <v>5</v>
      </c>
      <c r="R228" s="35" t="s">
        <v>83</v>
      </c>
      <c r="S228" s="25" t="n">
        <v>34.763</v>
      </c>
      <c r="T228" s="22" t="n">
        <v>22.3113535353535</v>
      </c>
      <c r="U228" s="36" t="n">
        <v>8</v>
      </c>
      <c r="V228" s="48" t="n">
        <v>0.39125</v>
      </c>
      <c r="W228" s="48" t="n">
        <v>0.157296580654871</v>
      </c>
      <c r="X228" s="48" t="n">
        <v>0.055612739419258</v>
      </c>
      <c r="Y228" s="48" t="n">
        <v>1.913875</v>
      </c>
      <c r="Z228" s="48" t="n">
        <v>0.129747488277368</v>
      </c>
      <c r="AA228" s="48" t="n">
        <v>0.0458726644014244</v>
      </c>
      <c r="AB228" s="27" t="n">
        <v>-0.21267673</v>
      </c>
      <c r="AC228" s="27" t="n">
        <v>0.201020590939015</v>
      </c>
      <c r="AD228" s="27" t="n">
        <v>0.200340774666126</v>
      </c>
      <c r="AE228" s="55" t="n">
        <v>0.6599</v>
      </c>
      <c r="AF228" s="55" t="n">
        <v>0.0054</v>
      </c>
      <c r="AG228" s="29" t="n">
        <v>8.01495838165283</v>
      </c>
      <c r="AH228" s="27" t="n">
        <v>0.0657678365179799</v>
      </c>
      <c r="AI228" s="27" t="n">
        <f aca="false">VLOOKUP(B228,proft,2,0)</f>
        <v>5.83761488650836</v>
      </c>
      <c r="AJ228" s="27" t="n">
        <f aca="false">VLOOKUP(B228,proft,3,0)</f>
        <v>2.2169787330039</v>
      </c>
      <c r="AK228" s="27" t="s">
        <v>107</v>
      </c>
      <c r="BA228" s="30" t="n">
        <v>8.2861</v>
      </c>
      <c r="BB228" s="30" t="n">
        <v>2.42</v>
      </c>
      <c r="BC228" s="30" t="n">
        <v>0.02502</v>
      </c>
      <c r="BD228" s="31" t="n">
        <v>8.2861</v>
      </c>
      <c r="BE228" s="31" t="n">
        <v>2.42</v>
      </c>
      <c r="BF228" s="31" t="n">
        <v>0.02502</v>
      </c>
      <c r="BG228" s="14" t="n">
        <f aca="false">10^6/((BA228+273.15)^2)</f>
        <v>12.6252617900045</v>
      </c>
      <c r="BH228" s="14" t="n">
        <f aca="false">BG228*(2*($BE228/($BD228+273.15)))</f>
        <v>0.217123059421381</v>
      </c>
      <c r="BI228" s="14" t="n">
        <f aca="false">BG228*(2*($BF228/($BD228+273.15)))</f>
        <v>0.00224480121765411</v>
      </c>
      <c r="BK228" s="14" t="n">
        <f aca="false">10^6/((AG228+273.15)^2)</f>
        <v>12.6496238906908</v>
      </c>
      <c r="BL228" s="14" t="n">
        <f aca="false">BK228*(2*($AH228/($AG228+273.15)))</f>
        <v>0.00591779573703215</v>
      </c>
      <c r="BM228" s="14" t="n">
        <f aca="false">10^6/((AI228+273.15)^2)</f>
        <v>12.8478409589757</v>
      </c>
      <c r="BN228" s="14" t="n">
        <f aca="false">BM228*(2*($AJ228/($AI228+273.15)))</f>
        <v>0.204191072658565</v>
      </c>
    </row>
    <row r="229" s="14" customFormat="true" ht="16" hidden="false" customHeight="false" outlineLevel="0" collapsed="false">
      <c r="A229" s="22" t="s">
        <v>100</v>
      </c>
      <c r="B229" s="36" t="s">
        <v>681</v>
      </c>
      <c r="C229" s="14" t="s">
        <v>671</v>
      </c>
      <c r="D229" s="36" t="s">
        <v>681</v>
      </c>
      <c r="E229" s="34" t="s">
        <v>682</v>
      </c>
      <c r="F229" s="22" t="n">
        <v>60.59</v>
      </c>
      <c r="G229" s="22" t="n">
        <v>-22.08</v>
      </c>
      <c r="H229" s="22" t="s">
        <v>78</v>
      </c>
      <c r="I229" s="22" t="s">
        <v>79</v>
      </c>
      <c r="J229" s="22" t="n">
        <v>2397</v>
      </c>
      <c r="K229" s="35" t="s">
        <v>100</v>
      </c>
      <c r="L229" s="22" t="s">
        <v>104</v>
      </c>
      <c r="M229" s="22" t="s">
        <v>105</v>
      </c>
      <c r="N229" s="22" t="s">
        <v>106</v>
      </c>
      <c r="O229" s="22" t="s">
        <v>71</v>
      </c>
      <c r="P229" s="22" t="s">
        <v>71</v>
      </c>
      <c r="Q229" s="22" t="n">
        <v>5</v>
      </c>
      <c r="R229" s="35" t="s">
        <v>83</v>
      </c>
      <c r="S229" s="25" t="n">
        <v>35.1135714285714</v>
      </c>
      <c r="T229" s="22" t="n">
        <v>9.13293069306931</v>
      </c>
      <c r="U229" s="36" t="n">
        <v>8</v>
      </c>
      <c r="V229" s="48" t="n">
        <v>0.062</v>
      </c>
      <c r="W229" s="48" t="n">
        <v>0.546317542408128</v>
      </c>
      <c r="X229" s="48" t="n">
        <v>0.193152419458978</v>
      </c>
      <c r="Y229" s="48" t="n">
        <v>1.863375</v>
      </c>
      <c r="Z229" s="48" t="n">
        <v>0.505476843471306</v>
      </c>
      <c r="AA229" s="48" t="n">
        <v>0.178713051875666</v>
      </c>
      <c r="AB229" s="27" t="n">
        <v>0.376450867142857</v>
      </c>
      <c r="AC229" s="27" t="n">
        <v>0.200076914908457</v>
      </c>
      <c r="AD229" s="27" t="n">
        <v>0.200010989654956</v>
      </c>
      <c r="AE229" s="55" t="n">
        <v>0.648</v>
      </c>
      <c r="AF229" s="55" t="n">
        <v>0.0055</v>
      </c>
      <c r="AG229" s="29" t="n">
        <v>9.11820443471273</v>
      </c>
      <c r="AH229" s="27" t="n">
        <v>0.356859314383153</v>
      </c>
      <c r="AI229" s="27" t="n">
        <f aca="false">VLOOKUP(B229,proft,2,0)</f>
        <v>8.16259006717674</v>
      </c>
      <c r="AJ229" s="27" t="n">
        <f aca="false">VLOOKUP(B229,proft,3,0)</f>
        <v>1.65157292423609</v>
      </c>
      <c r="AK229" s="27" t="s">
        <v>107</v>
      </c>
      <c r="BA229" s="30" t="n">
        <v>10.7687</v>
      </c>
      <c r="BB229" s="30" t="n">
        <v>2.383</v>
      </c>
      <c r="BC229" s="30" t="n">
        <v>0.02354</v>
      </c>
      <c r="BD229" s="31" t="n">
        <v>10.7687</v>
      </c>
      <c r="BE229" s="31" t="n">
        <v>2.383</v>
      </c>
      <c r="BF229" s="31" t="n">
        <v>0.02354</v>
      </c>
      <c r="BG229" s="14" t="n">
        <f aca="false">10^6/((BA229+273.15)^2)</f>
        <v>12.4054351958015</v>
      </c>
      <c r="BH229" s="14" t="n">
        <f aca="false">BG229*(2*($BE229/($BD229+273.15)))</f>
        <v>0.208243782967412</v>
      </c>
      <c r="BI229" s="14" t="n">
        <f aca="false">BG229*(2*($BF229/($BD229+273.15)))</f>
        <v>0.00205709553128531</v>
      </c>
      <c r="BK229" s="14" t="n">
        <f aca="false">10^6/((AG229+273.15)^2)</f>
        <v>12.5509349518184</v>
      </c>
      <c r="BL229" s="14" t="n">
        <f aca="false">BK229*(2*($AH229/($AG229+273.15)))</f>
        <v>0.0317351934890663</v>
      </c>
      <c r="BM229" s="14" t="n">
        <f aca="false">10^6/((AI229+273.15)^2)</f>
        <v>12.6363504337758</v>
      </c>
      <c r="BN229" s="14" t="n">
        <f aca="false">BM229*(2*($AJ229/($AI229+273.15)))</f>
        <v>0.148374832655726</v>
      </c>
    </row>
    <row r="230" s="14" customFormat="true" ht="16" hidden="false" customHeight="false" outlineLevel="0" collapsed="false">
      <c r="A230" s="22" t="s">
        <v>100</v>
      </c>
      <c r="B230" s="36" t="s">
        <v>683</v>
      </c>
      <c r="C230" s="14" t="s">
        <v>671</v>
      </c>
      <c r="D230" s="36" t="s">
        <v>683</v>
      </c>
      <c r="E230" s="34" t="s">
        <v>684</v>
      </c>
      <c r="F230" s="22" t="n">
        <v>40.05</v>
      </c>
      <c r="G230" s="22" t="n">
        <v>-30</v>
      </c>
      <c r="H230" s="22" t="s">
        <v>78</v>
      </c>
      <c r="I230" s="22" t="s">
        <v>605</v>
      </c>
      <c r="J230" s="22" t="n">
        <v>2475</v>
      </c>
      <c r="K230" s="35" t="s">
        <v>100</v>
      </c>
      <c r="L230" s="22" t="s">
        <v>104</v>
      </c>
      <c r="M230" s="22" t="s">
        <v>105</v>
      </c>
      <c r="N230" s="22" t="s">
        <v>106</v>
      </c>
      <c r="O230" s="22" t="s">
        <v>71</v>
      </c>
      <c r="P230" s="22" t="s">
        <v>71</v>
      </c>
      <c r="Q230" s="22" t="n">
        <v>5</v>
      </c>
      <c r="R230" s="35" t="s">
        <v>83</v>
      </c>
      <c r="S230" s="25" t="n">
        <v>35.981619047619</v>
      </c>
      <c r="T230" s="22" t="n">
        <v>9.13293069306931</v>
      </c>
      <c r="U230" s="36" t="n">
        <v>6</v>
      </c>
      <c r="V230" s="48" t="n">
        <v>-0.361</v>
      </c>
      <c r="W230" s="48" t="n">
        <v>0.141235972754819</v>
      </c>
      <c r="X230" s="48" t="n">
        <v>0.0576593444291557</v>
      </c>
      <c r="Y230" s="48" t="n">
        <v>1.55616666666667</v>
      </c>
      <c r="Z230" s="48" t="n">
        <v>0.120049017766355</v>
      </c>
      <c r="AA230" s="48" t="n">
        <v>0.0490098062749804</v>
      </c>
      <c r="AB230" s="27" t="n">
        <v>0.836790792857143</v>
      </c>
      <c r="AC230" s="27" t="n">
        <v>0.202312407033715</v>
      </c>
      <c r="AD230" s="27" t="n">
        <v>0.20033197806205</v>
      </c>
      <c r="AE230" s="55" t="n">
        <v>0.6429</v>
      </c>
      <c r="AF230" s="55" t="n">
        <v>0.0063</v>
      </c>
      <c r="AG230" s="29" t="n">
        <v>16.7695804323469</v>
      </c>
      <c r="AH230" s="27" t="n">
        <v>1.09224134431821</v>
      </c>
      <c r="AI230" s="27" t="n">
        <f aca="false">VLOOKUP(B230,proft,2,0)</f>
        <v>9.95628599961163</v>
      </c>
      <c r="AJ230" s="27" t="n">
        <f aca="false">VLOOKUP(B230,proft,3,0)</f>
        <v>0.603551565479644</v>
      </c>
      <c r="AK230" s="27" t="s">
        <v>107</v>
      </c>
      <c r="BA230" s="30" t="n">
        <v>13.6712</v>
      </c>
      <c r="BB230" s="30" t="n">
        <v>2.398</v>
      </c>
      <c r="BC230" s="30" t="n">
        <v>0.02398</v>
      </c>
      <c r="BD230" s="31" t="n">
        <v>13.6712</v>
      </c>
      <c r="BE230" s="31" t="n">
        <v>2.398</v>
      </c>
      <c r="BF230" s="31" t="n">
        <v>0.02398</v>
      </c>
      <c r="BG230" s="14" t="n">
        <f aca="false">10^6/((BA230+273.15)^2)</f>
        <v>12.1556308608007</v>
      </c>
      <c r="BH230" s="14" t="n">
        <f aca="false">BG230*(2*($BE230/($BD230+273.15)))</f>
        <v>0.203256961509121</v>
      </c>
      <c r="BI230" s="14" t="n">
        <f aca="false">BG230*(2*($BF230/($BD230+273.15)))</f>
        <v>0.00203256961509121</v>
      </c>
      <c r="BK230" s="14" t="n">
        <f aca="false">10^6/((AG230+273.15)^2)</f>
        <v>11.8972039059915</v>
      </c>
      <c r="BL230" s="14" t="n">
        <f aca="false">BK230*(2*($AH230/($AG230+273.15)))</f>
        <v>0.0896429138627312</v>
      </c>
      <c r="BM230" s="14" t="n">
        <f aca="false">10^6/((AI230+273.15)^2)</f>
        <v>12.4767356957605</v>
      </c>
      <c r="BN230" s="14" t="n">
        <f aca="false">BM230*(2*($AJ230/($AI230+273.15)))</f>
        <v>0.0531980654167624</v>
      </c>
    </row>
    <row r="231" s="14" customFormat="true" ht="16" hidden="false" customHeight="false" outlineLevel="0" collapsed="false">
      <c r="A231" s="22" t="s">
        <v>154</v>
      </c>
      <c r="B231" s="36" t="s">
        <v>685</v>
      </c>
      <c r="C231" s="14" t="s">
        <v>671</v>
      </c>
      <c r="D231" s="36" t="s">
        <v>685</v>
      </c>
      <c r="E231" s="34" t="s">
        <v>686</v>
      </c>
      <c r="F231" s="22" t="n">
        <v>-20.08</v>
      </c>
      <c r="G231" s="22" t="n">
        <v>112.67</v>
      </c>
      <c r="H231" s="22" t="s">
        <v>120</v>
      </c>
      <c r="I231" s="22" t="s">
        <v>687</v>
      </c>
      <c r="J231" s="22" t="n">
        <v>980</v>
      </c>
      <c r="K231" s="35" t="s">
        <v>154</v>
      </c>
      <c r="L231" s="22" t="s">
        <v>160</v>
      </c>
      <c r="M231" s="22" t="s">
        <v>161</v>
      </c>
      <c r="N231" s="22" t="s">
        <v>162</v>
      </c>
      <c r="O231" s="22" t="s">
        <v>71</v>
      </c>
      <c r="P231" s="22" t="s">
        <v>71</v>
      </c>
      <c r="Q231" s="22" t="n">
        <v>5</v>
      </c>
      <c r="R231" s="35" t="s">
        <v>62</v>
      </c>
      <c r="S231" s="25" t="n">
        <v>35.5124545454546</v>
      </c>
      <c r="T231" s="22" t="n">
        <v>47.2254238410596</v>
      </c>
      <c r="U231" s="36" t="n">
        <v>7</v>
      </c>
      <c r="V231" s="48" t="n">
        <v>0.979</v>
      </c>
      <c r="W231" s="48" t="n">
        <v>0.0604924237680499</v>
      </c>
      <c r="X231" s="48" t="n">
        <v>0.0228639870705418</v>
      </c>
      <c r="Y231" s="48" t="n">
        <v>-1.73771428571429</v>
      </c>
      <c r="Z231" s="48" t="n">
        <v>0.120118988626159</v>
      </c>
      <c r="AA231" s="48" t="n">
        <v>0.0454007102344877</v>
      </c>
      <c r="AB231" s="27" t="n">
        <v>0.413807482</v>
      </c>
      <c r="AC231" s="27" t="n">
        <v>0.200003023971105</v>
      </c>
      <c r="AD231" s="27" t="n">
        <v>0.200000604797879</v>
      </c>
      <c r="AE231" s="55" t="n">
        <v>0.5917</v>
      </c>
      <c r="AF231" s="55" t="n">
        <v>0.0058</v>
      </c>
      <c r="AG231" s="29" t="n">
        <v>24.252854607322</v>
      </c>
      <c r="AH231" s="27" t="n">
        <v>0.793527778774114</v>
      </c>
      <c r="AI231" s="27" t="n">
        <f aca="false">VLOOKUP(B231,proft,2,0)</f>
        <v>24.586862875051</v>
      </c>
      <c r="AJ231" s="27" t="n">
        <f aca="false">VLOOKUP(B231,proft,3,0)</f>
        <v>2.00866356776775</v>
      </c>
      <c r="AK231" s="27" t="s">
        <v>163</v>
      </c>
      <c r="BA231" s="30" t="n">
        <v>25.158</v>
      </c>
      <c r="BB231" s="30" t="n">
        <v>1.884</v>
      </c>
      <c r="BC231" s="30" t="n">
        <v>0.01884</v>
      </c>
      <c r="BD231" s="31" t="n">
        <v>25.158</v>
      </c>
      <c r="BE231" s="31" t="n">
        <v>1.884</v>
      </c>
      <c r="BF231" s="31" t="n">
        <v>0.01884</v>
      </c>
      <c r="BG231" s="14" t="n">
        <f aca="false">10^6/((BA231+273.15)^2)</f>
        <v>11.2375127946477</v>
      </c>
      <c r="BH231" s="14" t="n">
        <f aca="false">BG231*(2*($BE231/($BD231+273.15)))</f>
        <v>0.141943723300189</v>
      </c>
      <c r="BI231" s="14" t="n">
        <f aca="false">BG231*(2*($BF231/($BD231+273.15)))</f>
        <v>0.00141943723300189</v>
      </c>
      <c r="BK231" s="14" t="n">
        <f aca="false">10^6/((AG231+273.15)^2)</f>
        <v>11.3060196120935</v>
      </c>
      <c r="BL231" s="14" t="n">
        <f aca="false">BK231*(2*($AH231/($AG231+273.15)))</f>
        <v>0.0603332516186298</v>
      </c>
      <c r="BM231" s="14" t="n">
        <f aca="false">10^6/((AI231+273.15)^2)</f>
        <v>11.280667119188</v>
      </c>
      <c r="BN231" s="14" t="n">
        <f aca="false">BM231*(2*($AJ231/($AI231+273.15)))</f>
        <v>0.152208664010393</v>
      </c>
    </row>
    <row r="232" s="14" customFormat="true" ht="16" hidden="false" customHeight="false" outlineLevel="0" collapsed="false">
      <c r="A232" s="22" t="s">
        <v>154</v>
      </c>
      <c r="B232" s="36" t="s">
        <v>688</v>
      </c>
      <c r="C232" s="14" t="s">
        <v>671</v>
      </c>
      <c r="D232" s="36" t="s">
        <v>688</v>
      </c>
      <c r="E232" s="34" t="s">
        <v>689</v>
      </c>
      <c r="F232" s="22" t="n">
        <v>28.84</v>
      </c>
      <c r="G232" s="22" t="n">
        <v>-86.67</v>
      </c>
      <c r="H232" s="22" t="s">
        <v>158</v>
      </c>
      <c r="I232" s="22" t="s">
        <v>159</v>
      </c>
      <c r="J232" s="22" t="n">
        <v>4076</v>
      </c>
      <c r="K232" s="35" t="s">
        <v>154</v>
      </c>
      <c r="L232" s="22" t="s">
        <v>160</v>
      </c>
      <c r="M232" s="22" t="s">
        <v>161</v>
      </c>
      <c r="N232" s="22" t="s">
        <v>162</v>
      </c>
      <c r="O232" s="22" t="s">
        <v>71</v>
      </c>
      <c r="P232" s="22" t="s">
        <v>71</v>
      </c>
      <c r="Q232" s="22" t="n">
        <v>5</v>
      </c>
      <c r="R232" s="35" t="s">
        <v>62</v>
      </c>
      <c r="S232" s="25" t="n">
        <v>36.0779090909091</v>
      </c>
      <c r="T232" s="22" t="n">
        <v>41.2096188605108</v>
      </c>
      <c r="U232" s="36" t="n">
        <v>8</v>
      </c>
      <c r="V232" s="48" t="n">
        <v>1.3005</v>
      </c>
      <c r="W232" s="48" t="n">
        <v>0.215716745492125</v>
      </c>
      <c r="X232" s="48" t="n">
        <v>0.0762673867764871</v>
      </c>
      <c r="Y232" s="48" t="n">
        <v>-1.399125</v>
      </c>
      <c r="Z232" s="48" t="n">
        <v>0.0877601235511566</v>
      </c>
      <c r="AA232" s="48" t="n">
        <v>0.031027889240396</v>
      </c>
      <c r="AB232" s="27" t="n">
        <v>0.806529498</v>
      </c>
      <c r="AC232" s="27" t="n">
        <v>0.207892158731533</v>
      </c>
      <c r="AD232" s="27" t="n">
        <v>0.201603149609353</v>
      </c>
      <c r="AE232" s="55" t="n">
        <v>0.5968</v>
      </c>
      <c r="AF232" s="55" t="n">
        <v>0.0053</v>
      </c>
      <c r="AG232" s="29" t="n">
        <v>25.0802152807062</v>
      </c>
      <c r="AH232" s="27" t="n">
        <v>0.361609354416863</v>
      </c>
      <c r="AI232" s="27" t="n">
        <f aca="false">VLOOKUP(B232,proft,2,0)</f>
        <v>25.7003605611701</v>
      </c>
      <c r="AJ232" s="27" t="n">
        <f aca="false">VLOOKUP(B232,proft,3,0)</f>
        <v>0.842872414014887</v>
      </c>
      <c r="AK232" s="27" t="s">
        <v>163</v>
      </c>
      <c r="BA232" s="30" t="n">
        <v>25.328</v>
      </c>
      <c r="BB232" s="30" t="n">
        <v>1.905</v>
      </c>
      <c r="BC232" s="30" t="n">
        <v>0.01905</v>
      </c>
      <c r="BD232" s="31" t="n">
        <v>25.328</v>
      </c>
      <c r="BE232" s="31" t="n">
        <v>1.905</v>
      </c>
      <c r="BF232" s="31" t="n">
        <v>0.01905</v>
      </c>
      <c r="BG232" s="14" t="n">
        <f aca="false">10^6/((BA232+273.15)^2)</f>
        <v>11.2247156495215</v>
      </c>
      <c r="BH232" s="14" t="n">
        <f aca="false">BG232*(2*($BE232/($BD232+273.15)))</f>
        <v>0.143280800007629</v>
      </c>
      <c r="BI232" s="14" t="n">
        <f aca="false">BG232*(2*($BF232/($BD232+273.15)))</f>
        <v>0.00143280800007629</v>
      </c>
      <c r="BK232" s="14" t="n">
        <f aca="false">10^6/((AG232+273.15)^2)</f>
        <v>11.2433755189877</v>
      </c>
      <c r="BL232" s="14" t="n">
        <f aca="false">BK232*(2*($AH232/($AG232+273.15)))</f>
        <v>0.02726557910345</v>
      </c>
      <c r="BM232" s="14" t="n">
        <f aca="false">10^6/((AI232+273.15)^2)</f>
        <v>11.1967616089599</v>
      </c>
      <c r="BN232" s="14" t="n">
        <f aca="false">BM232*(2*($AJ232/($AI232+273.15)))</f>
        <v>0.0631583075139809</v>
      </c>
    </row>
    <row r="233" s="14" customFormat="true" ht="16" hidden="false" customHeight="false" outlineLevel="0" collapsed="false">
      <c r="A233" s="22" t="s">
        <v>154</v>
      </c>
      <c r="B233" s="36" t="s">
        <v>690</v>
      </c>
      <c r="C233" s="14" t="s">
        <v>671</v>
      </c>
      <c r="D233" s="36" t="s">
        <v>690</v>
      </c>
      <c r="E233" s="34" t="s">
        <v>691</v>
      </c>
      <c r="F233" s="22" t="n">
        <v>37.86</v>
      </c>
      <c r="G233" s="22" t="n">
        <v>-30.3</v>
      </c>
      <c r="H233" s="22" t="s">
        <v>78</v>
      </c>
      <c r="I233" s="22" t="s">
        <v>605</v>
      </c>
      <c r="J233" s="22" t="n">
        <v>2036</v>
      </c>
      <c r="K233" s="35" t="s">
        <v>154</v>
      </c>
      <c r="L233" s="22" t="s">
        <v>160</v>
      </c>
      <c r="M233" s="22" t="s">
        <v>161</v>
      </c>
      <c r="N233" s="22" t="s">
        <v>162</v>
      </c>
      <c r="O233" s="22" t="s">
        <v>71</v>
      </c>
      <c r="P233" s="22" t="s">
        <v>71</v>
      </c>
      <c r="Q233" s="22" t="n">
        <v>5</v>
      </c>
      <c r="R233" s="35" t="s">
        <v>62</v>
      </c>
      <c r="S233" s="25" t="n">
        <v>36.1174545454545</v>
      </c>
      <c r="T233" s="22" t="n">
        <v>41.2096188605108</v>
      </c>
      <c r="U233" s="36" t="n">
        <v>8</v>
      </c>
      <c r="V233" s="48" t="n">
        <v>0.716625</v>
      </c>
      <c r="W233" s="48" t="n">
        <v>0.265282026476406</v>
      </c>
      <c r="X233" s="48" t="n">
        <v>0.093791359924188</v>
      </c>
      <c r="Y233" s="48" t="n">
        <v>-0.114375</v>
      </c>
      <c r="Z233" s="48" t="n">
        <v>0.0579061741095024</v>
      </c>
      <c r="AA233" s="48" t="n">
        <v>0.020472924192699</v>
      </c>
      <c r="AB233" s="27" t="n">
        <v>0.97601979</v>
      </c>
      <c r="AC233" s="27" t="n">
        <v>0.200470125265331</v>
      </c>
      <c r="AD233" s="27" t="n">
        <v>0.20009411341861</v>
      </c>
      <c r="AE233" s="55" t="n">
        <v>0.6196</v>
      </c>
      <c r="AF233" s="55" t="n">
        <v>0.0053</v>
      </c>
      <c r="AG233" s="29" t="n">
        <v>19.3521525643089</v>
      </c>
      <c r="AH233" s="27" t="n">
        <v>0.625649340360933</v>
      </c>
      <c r="AI233" s="27" t="n">
        <f aca="false">VLOOKUP(B233,proft,2,0)</f>
        <v>19.4985039441383</v>
      </c>
      <c r="AJ233" s="27" t="n">
        <f aca="false">VLOOKUP(B233,proft,3,0)</f>
        <v>0.733489746212406</v>
      </c>
      <c r="AK233" s="27" t="s">
        <v>163</v>
      </c>
      <c r="BA233" s="30" t="n">
        <v>21.11</v>
      </c>
      <c r="BB233" s="30" t="n">
        <v>1.913</v>
      </c>
      <c r="BC233" s="30" t="n">
        <v>0.01913</v>
      </c>
      <c r="BD233" s="31" t="n">
        <v>21.11</v>
      </c>
      <c r="BE233" s="31" t="n">
        <v>1.913</v>
      </c>
      <c r="BF233" s="31" t="n">
        <v>0.01913</v>
      </c>
      <c r="BG233" s="14" t="n">
        <f aca="false">10^6/((BA233+273.15)^2)</f>
        <v>11.5488180387586</v>
      </c>
      <c r="BH233" s="14" t="n">
        <f aca="false">BG233*(2*($BE233/($BD233+273.15)))</f>
        <v>0.150158967635052</v>
      </c>
      <c r="BI233" s="14" t="n">
        <f aca="false">BG233*(2*($BF233/($BD233+273.15)))</f>
        <v>0.00150158967635052</v>
      </c>
      <c r="BK233" s="14" t="n">
        <f aca="false">10^6/((AG233+273.15)^2)</f>
        <v>11.6880447866057</v>
      </c>
      <c r="BL233" s="14" t="n">
        <f aca="false">BK233*(2*($AH233/($AG233+273.15)))</f>
        <v>0.0500004355300679</v>
      </c>
      <c r="BM233" s="14" t="n">
        <f aca="false">10^6/((AI233+273.15)^2)</f>
        <v>11.676357498003</v>
      </c>
      <c r="BN233" s="14" t="n">
        <f aca="false">BM233*(2*($AJ233/($AI233+273.15)))</f>
        <v>0.0585308886426452</v>
      </c>
    </row>
    <row r="234" s="14" customFormat="true" ht="16" hidden="false" customHeight="false" outlineLevel="0" collapsed="false">
      <c r="A234" s="22" t="s">
        <v>74</v>
      </c>
      <c r="B234" s="36" t="s">
        <v>692</v>
      </c>
      <c r="C234" s="14" t="s">
        <v>671</v>
      </c>
      <c r="D234" s="36" t="s">
        <v>692</v>
      </c>
      <c r="E234" s="34" t="s">
        <v>693</v>
      </c>
      <c r="F234" s="22" t="n">
        <v>61.06</v>
      </c>
      <c r="G234" s="22" t="n">
        <v>-24.55</v>
      </c>
      <c r="H234" s="22" t="s">
        <v>78</v>
      </c>
      <c r="I234" s="22" t="s">
        <v>79</v>
      </c>
      <c r="J234" s="22" t="n">
        <v>1812</v>
      </c>
      <c r="K234" s="35" t="s">
        <v>74</v>
      </c>
      <c r="L234" s="22" t="s">
        <v>80</v>
      </c>
      <c r="M234" s="22" t="s">
        <v>81</v>
      </c>
      <c r="N234" s="22" t="s">
        <v>82</v>
      </c>
      <c r="O234" s="22" t="s">
        <v>71</v>
      </c>
      <c r="P234" s="22" t="s">
        <v>71</v>
      </c>
      <c r="Q234" s="22" t="n">
        <v>5</v>
      </c>
      <c r="R234" s="35" t="s">
        <v>83</v>
      </c>
      <c r="S234" s="25" t="n">
        <v>35.15472</v>
      </c>
      <c r="T234" s="22" t="n">
        <v>-2.59324181963288</v>
      </c>
      <c r="U234" s="36" t="n">
        <v>4</v>
      </c>
      <c r="V234" s="48" t="n">
        <v>0.4785</v>
      </c>
      <c r="W234" s="48" t="n">
        <v>0.0228691932520585</v>
      </c>
      <c r="X234" s="48" t="n">
        <v>0.0114345966260293</v>
      </c>
      <c r="Y234" s="48" t="n">
        <v>1.66325</v>
      </c>
      <c r="Z234" s="48" t="n">
        <v>0.0742175855171805</v>
      </c>
      <c r="AA234" s="48" t="n">
        <v>0.0371087927585903</v>
      </c>
      <c r="AB234" s="27" t="n">
        <v>0.349599529</v>
      </c>
      <c r="AC234" s="27" t="n">
        <v>0.200071727413499</v>
      </c>
      <c r="AD234" s="27" t="n">
        <v>0.200007173898893</v>
      </c>
      <c r="AE234" s="55" t="n">
        <v>0.647</v>
      </c>
      <c r="AF234" s="55" t="n">
        <v>0.0074</v>
      </c>
      <c r="AG234" s="29" t="n">
        <v>8.61396821975708</v>
      </c>
      <c r="AH234" s="27" t="n">
        <v>0.397827585232852</v>
      </c>
      <c r="AI234" s="27" t="n">
        <f aca="false">VLOOKUP(B234,proft,2,0)</f>
        <v>9.01542170113891</v>
      </c>
      <c r="AJ234" s="27" t="n">
        <f aca="false">VLOOKUP(B234,proft,3,0)</f>
        <v>1.58772731678765</v>
      </c>
      <c r="AK234" s="27" t="s">
        <v>84</v>
      </c>
      <c r="BA234" s="30" t="n">
        <v>12.377</v>
      </c>
      <c r="BB234" s="30" t="n">
        <v>2.129</v>
      </c>
      <c r="BC234" s="30" t="n">
        <v>0.02165</v>
      </c>
      <c r="BD234" s="31" t="n">
        <v>12.377</v>
      </c>
      <c r="BE234" s="31" t="n">
        <v>2.129</v>
      </c>
      <c r="BF234" s="31" t="n">
        <v>0.02165</v>
      </c>
      <c r="BG234" s="14" t="n">
        <f aca="false">10^6/((BA234+273.15)^2)</f>
        <v>12.2660755545616</v>
      </c>
      <c r="BH234" s="14" t="n">
        <f aca="false">BG234*(2*($BE234/($BD234+273.15)))</f>
        <v>0.182921228855146</v>
      </c>
      <c r="BI234" s="14" t="n">
        <f aca="false">BG234*(2*($BF234/($BD234+273.15)))</f>
        <v>0.00186014307407887</v>
      </c>
      <c r="BK234" s="14" t="n">
        <f aca="false">10^6/((AG234+273.15)^2)</f>
        <v>12.5958966887029</v>
      </c>
      <c r="BL234" s="14" t="n">
        <f aca="false">BK234*(2*($AH234/($AG234+273.15)))</f>
        <v>0.035568743549217</v>
      </c>
      <c r="BM234" s="14" t="n">
        <f aca="false">10^6/((AI234+273.15)^2)</f>
        <v>12.5600803272465</v>
      </c>
      <c r="BN234" s="14" t="n">
        <f aca="false">BM234*(2*($AJ234/($AI234+273.15)))</f>
        <v>0.141349585051129</v>
      </c>
    </row>
    <row r="235" s="14" customFormat="true" ht="16" hidden="false" customHeight="false" outlineLevel="0" collapsed="false">
      <c r="A235" s="22" t="s">
        <v>74</v>
      </c>
      <c r="B235" s="36" t="s">
        <v>694</v>
      </c>
      <c r="C235" s="14" t="s">
        <v>671</v>
      </c>
      <c r="D235" s="36" t="s">
        <v>694</v>
      </c>
      <c r="E235" s="34" t="s">
        <v>695</v>
      </c>
      <c r="F235" s="22" t="n">
        <v>-49.13</v>
      </c>
      <c r="G235" s="22" t="n">
        <v>71.36</v>
      </c>
      <c r="H235" s="22" t="s">
        <v>120</v>
      </c>
      <c r="I235" s="22" t="s">
        <v>150</v>
      </c>
      <c r="J235" s="22" t="n">
        <v>750</v>
      </c>
      <c r="K235" s="35" t="s">
        <v>74</v>
      </c>
      <c r="L235" s="22" t="s">
        <v>80</v>
      </c>
      <c r="M235" s="22" t="s">
        <v>81</v>
      </c>
      <c r="N235" s="22" t="s">
        <v>82</v>
      </c>
      <c r="O235" s="22" t="s">
        <v>71</v>
      </c>
      <c r="P235" s="22" t="s">
        <v>71</v>
      </c>
      <c r="Q235" s="22" t="n">
        <v>5</v>
      </c>
      <c r="R235" s="35" t="s">
        <v>83</v>
      </c>
      <c r="S235" s="25" t="n">
        <v>33.88864</v>
      </c>
      <c r="T235" s="22" t="n">
        <v>-13.9405185185185</v>
      </c>
      <c r="U235" s="36" t="n">
        <v>4</v>
      </c>
      <c r="V235" s="48" t="n">
        <v>1.42625</v>
      </c>
      <c r="W235" s="48" t="n">
        <v>0.0135</v>
      </c>
      <c r="X235" s="48" t="n">
        <v>0.00675000000000001</v>
      </c>
      <c r="Y235" s="48" t="n">
        <v>3.15525</v>
      </c>
      <c r="Z235" s="48" t="n">
        <v>0.0443649636537662</v>
      </c>
      <c r="AA235" s="48" t="n">
        <v>0.0221824818268831</v>
      </c>
      <c r="AB235" s="27" t="n">
        <v>-0.362939015</v>
      </c>
      <c r="AC235" s="27" t="n">
        <v>0.20260349389912</v>
      </c>
      <c r="AD235" s="27" t="n">
        <v>0.200261872492027</v>
      </c>
      <c r="AE235" s="55" t="n">
        <v>0.676</v>
      </c>
      <c r="AF235" s="55" t="n">
        <v>0.0075</v>
      </c>
      <c r="AG235" s="29" t="n">
        <v>2.84822259426117</v>
      </c>
      <c r="AH235" s="27" t="n">
        <v>0.355581094731922</v>
      </c>
      <c r="AI235" s="27" t="n">
        <f aca="false">VLOOKUP(B235,proft,2,0)</f>
        <v>3.40001797676086</v>
      </c>
      <c r="AJ235" s="27" t="n">
        <f aca="false">VLOOKUP(B235,proft,3,0)</f>
        <v>0.0806265398859978</v>
      </c>
      <c r="AK235" s="27" t="s">
        <v>84</v>
      </c>
      <c r="BA235" s="30" t="n">
        <v>2.8127</v>
      </c>
      <c r="BB235" s="30" t="n">
        <v>2.136</v>
      </c>
      <c r="BC235" s="30" t="n">
        <v>0.02025</v>
      </c>
      <c r="BD235" s="31" t="n">
        <v>2.8127</v>
      </c>
      <c r="BE235" s="31" t="n">
        <v>2.136</v>
      </c>
      <c r="BF235" s="31" t="n">
        <v>0.02025</v>
      </c>
      <c r="BG235" s="14" t="n">
        <f aca="false">10^6/((BA235+273.15)^2)</f>
        <v>13.131043171831</v>
      </c>
      <c r="BH235" s="14" t="n">
        <f aca="false">BG235*(2*($BE235/($BD235+273.15)))</f>
        <v>0.203273183042716</v>
      </c>
      <c r="BI235" s="14" t="n">
        <f aca="false">BG235*(2*($BF235/($BD235+273.15)))</f>
        <v>0.00192709829429542</v>
      </c>
      <c r="BK235" s="14" t="n">
        <f aca="false">10^6/((AG235+273.15)^2)</f>
        <v>13.1276633044023</v>
      </c>
      <c r="BL235" s="14" t="n">
        <f aca="false">BK235*(2*($AH235/($AG235+273.15)))</f>
        <v>0.033825934422148</v>
      </c>
      <c r="BM235" s="14" t="n">
        <f aca="false">10^6/((AI235+273.15)^2)</f>
        <v>13.0753287766378</v>
      </c>
      <c r="BN235" s="14" t="n">
        <f aca="false">BM235*(2*($AJ235/($AI235+273.15)))</f>
        <v>0.00762407122476275</v>
      </c>
    </row>
    <row r="236" s="14" customFormat="true" ht="16" hidden="false" customHeight="false" outlineLevel="0" collapsed="false">
      <c r="A236" s="22" t="s">
        <v>74</v>
      </c>
      <c r="B236" s="36" t="s">
        <v>696</v>
      </c>
      <c r="C236" s="14" t="s">
        <v>671</v>
      </c>
      <c r="D236" s="36" t="s">
        <v>696</v>
      </c>
      <c r="E236" s="34" t="s">
        <v>678</v>
      </c>
      <c r="F236" s="22" t="n">
        <v>52.71</v>
      </c>
      <c r="G236" s="22" t="n">
        <v>-35.94</v>
      </c>
      <c r="H236" s="22" t="s">
        <v>78</v>
      </c>
      <c r="I236" s="22" t="s">
        <v>79</v>
      </c>
      <c r="J236" s="22" t="n">
        <v>1355</v>
      </c>
      <c r="K236" s="35" t="s">
        <v>74</v>
      </c>
      <c r="L236" s="22" t="s">
        <v>80</v>
      </c>
      <c r="M236" s="22" t="s">
        <v>81</v>
      </c>
      <c r="N236" s="22" t="s">
        <v>82</v>
      </c>
      <c r="O236" s="22" t="s">
        <v>71</v>
      </c>
      <c r="P236" s="22" t="s">
        <v>71</v>
      </c>
      <c r="Q236" s="22" t="n">
        <v>5</v>
      </c>
      <c r="R236" s="35" t="s">
        <v>83</v>
      </c>
      <c r="S236" s="25" t="n">
        <v>34.72332</v>
      </c>
      <c r="T236" s="22" t="n">
        <v>-13.9405185185185</v>
      </c>
      <c r="U236" s="36" t="n">
        <v>4</v>
      </c>
      <c r="V236" s="48" t="n">
        <v>0.614</v>
      </c>
      <c r="W236" s="48" t="n">
        <v>0.0520192272145598</v>
      </c>
      <c r="X236" s="48" t="n">
        <v>0.0260096136072799</v>
      </c>
      <c r="Y236" s="48" t="n">
        <v>1.699</v>
      </c>
      <c r="Z236" s="48" t="n">
        <v>0.134029847422132</v>
      </c>
      <c r="AA236" s="48" t="n">
        <v>0.067014923711066</v>
      </c>
      <c r="AB236" s="27" t="n">
        <v>0.20207847</v>
      </c>
      <c r="AC236" s="27" t="n">
        <v>0.200838907296511</v>
      </c>
      <c r="AD236" s="27" t="n">
        <v>0.200084049010424</v>
      </c>
      <c r="AE236" s="55" t="n">
        <v>0.6504</v>
      </c>
      <c r="AF236" s="55" t="n">
        <v>0.0074</v>
      </c>
      <c r="AG236" s="29" t="n">
        <v>7.31017951965332</v>
      </c>
      <c r="AH236" s="27" t="n">
        <v>1.01221487656688</v>
      </c>
      <c r="AI236" s="27" t="n">
        <f aca="false">VLOOKUP(B236,proft,2,0)</f>
        <v>8.19202741954986</v>
      </c>
      <c r="AJ236" s="27" t="n">
        <f aca="false">VLOOKUP(B236,proft,3,0)</f>
        <v>0.669836742188164</v>
      </c>
      <c r="AK236" s="27" t="s">
        <v>84</v>
      </c>
      <c r="BA236" s="30" t="n">
        <v>11.5556</v>
      </c>
      <c r="BB236" s="30" t="n">
        <v>2.148</v>
      </c>
      <c r="BC236" s="30" t="n">
        <v>0.02188</v>
      </c>
      <c r="BD236" s="31" t="n">
        <v>11.5556</v>
      </c>
      <c r="BE236" s="31" t="n">
        <v>2.148</v>
      </c>
      <c r="BF236" s="31" t="n">
        <v>0.02188</v>
      </c>
      <c r="BG236" s="14" t="n">
        <f aca="false">10^6/((BA236+273.15)^2)</f>
        <v>12.3369550075129</v>
      </c>
      <c r="BH236" s="14" t="n">
        <f aca="false">BG236*(2*($BE236/($BD236+273.15)))</f>
        <v>0.186155659433026</v>
      </c>
      <c r="BI236" s="14" t="n">
        <f aca="false">BG236*(2*($BF236/($BD236+273.15)))</f>
        <v>0.00189622245269767</v>
      </c>
      <c r="BK236" s="14" t="n">
        <f aca="false">10^6/((AG236+273.15)^2)</f>
        <v>12.7132791960506</v>
      </c>
      <c r="BL236" s="14" t="n">
        <f aca="false">BK236*(2*($AH236/($AG236+273.15)))</f>
        <v>0.0917675397215442</v>
      </c>
      <c r="BM236" s="14" t="n">
        <f aca="false">10^6/((AI236+273.15)^2)</f>
        <v>12.6337062412724</v>
      </c>
      <c r="BN236" s="14" t="n">
        <f aca="false">BM236*(2*($AJ236/($AI236+273.15)))</f>
        <v>0.0601582401892376</v>
      </c>
    </row>
    <row r="237" s="14" customFormat="true" ht="16" hidden="false" customHeight="false" outlineLevel="0" collapsed="false">
      <c r="A237" s="22" t="s">
        <v>74</v>
      </c>
      <c r="B237" s="36" t="s">
        <v>697</v>
      </c>
      <c r="C237" s="14" t="s">
        <v>671</v>
      </c>
      <c r="D237" s="36" t="s">
        <v>697</v>
      </c>
      <c r="E237" s="34" t="s">
        <v>672</v>
      </c>
      <c r="F237" s="22" t="n">
        <v>73.04</v>
      </c>
      <c r="G237" s="22" t="n">
        <v>-11.93</v>
      </c>
      <c r="H237" s="22" t="s">
        <v>571</v>
      </c>
      <c r="I237" s="22" t="s">
        <v>632</v>
      </c>
      <c r="J237" s="22" t="n">
        <v>1839</v>
      </c>
      <c r="K237" s="35" t="s">
        <v>74</v>
      </c>
      <c r="L237" s="22" t="s">
        <v>80</v>
      </c>
      <c r="M237" s="22" t="s">
        <v>81</v>
      </c>
      <c r="N237" s="22" t="s">
        <v>82</v>
      </c>
      <c r="O237" s="22" t="s">
        <v>71</v>
      </c>
      <c r="P237" s="22" t="s">
        <v>71</v>
      </c>
      <c r="Q237" s="22" t="n">
        <v>5</v>
      </c>
      <c r="R237" s="35" t="s">
        <v>83</v>
      </c>
      <c r="S237" s="25" t="n">
        <v>34.69268</v>
      </c>
      <c r="T237" s="22" t="n">
        <v>5</v>
      </c>
      <c r="U237" s="36" t="n">
        <v>8</v>
      </c>
      <c r="V237" s="48" t="n">
        <v>0.630625</v>
      </c>
      <c r="W237" s="48" t="n">
        <v>0.0413899142304016</v>
      </c>
      <c r="X237" s="48" t="n">
        <v>0.0146335445125233</v>
      </c>
      <c r="Y237" s="48" t="n">
        <v>2.799125</v>
      </c>
      <c r="Z237" s="48" t="n">
        <v>0.11271257693798</v>
      </c>
      <c r="AA237" s="48" t="n">
        <v>0.039849913738928</v>
      </c>
      <c r="AB237" s="27" t="n">
        <v>0.0303248386</v>
      </c>
      <c r="AC237" s="27" t="n">
        <v>0.257014536242701</v>
      </c>
      <c r="AD237" s="27" t="n">
        <v>0.206411354300109</v>
      </c>
      <c r="AE237" s="55" t="n">
        <v>0.6666</v>
      </c>
      <c r="AF237" s="55" t="n">
        <v>0.0055</v>
      </c>
      <c r="AG237" s="29" t="n">
        <v>0.123845034629121</v>
      </c>
      <c r="AH237" s="27" t="n">
        <v>0.365910387547531</v>
      </c>
      <c r="AI237" s="27" t="n">
        <f aca="false">VLOOKUP(B237,proft,2,0)</f>
        <v>2.07884540535266</v>
      </c>
      <c r="AJ237" s="27" t="n">
        <f aca="false">VLOOKUP(B237,proft,3,0)</f>
        <v>1.60426645848094</v>
      </c>
      <c r="AK237" s="27" t="s">
        <v>84</v>
      </c>
      <c r="BA237" s="30" t="n">
        <v>6.0538</v>
      </c>
      <c r="BB237" s="30" t="n">
        <v>2.116</v>
      </c>
      <c r="BC237" s="30" t="n">
        <v>0.02062</v>
      </c>
      <c r="BD237" s="31" t="n">
        <v>6.0538</v>
      </c>
      <c r="BE237" s="31" t="n">
        <v>2.116</v>
      </c>
      <c r="BF237" s="31" t="n">
        <v>0.02062</v>
      </c>
      <c r="BG237" s="14" t="n">
        <f aca="false">10^6/((BA237+273.15)^2)</f>
        <v>12.8279527149477</v>
      </c>
      <c r="BH237" s="14" t="n">
        <f aca="false">BG237*(2*($BE237/($BD237+273.15)))</f>
        <v>0.194438241491192</v>
      </c>
      <c r="BI237" s="14" t="n">
        <f aca="false">BG237*(2*($BF237/($BD237+273.15)))</f>
        <v>0.00189476206972986</v>
      </c>
      <c r="BK237" s="14" t="n">
        <f aca="false">10^6/((AG237+273.15)^2)</f>
        <v>13.3907180270612</v>
      </c>
      <c r="BL237" s="14" t="n">
        <f aca="false">BK237*(2*($AH237/($AG237+273.15)))</f>
        <v>0.0358600203557774</v>
      </c>
      <c r="BM237" s="14" t="n">
        <f aca="false">10^6/((AI237+273.15)^2)</f>
        <v>13.201160264104</v>
      </c>
      <c r="BN237" s="14" t="n">
        <f aca="false">BM237*(2*($AJ237/($AI237+273.15)))</f>
        <v>0.15389505117854</v>
      </c>
    </row>
    <row r="238" s="14" customFormat="true" ht="16" hidden="false" customHeight="false" outlineLevel="0" collapsed="false">
      <c r="A238" s="22" t="s">
        <v>93</v>
      </c>
      <c r="B238" s="36" t="s">
        <v>698</v>
      </c>
      <c r="C238" s="14" t="s">
        <v>671</v>
      </c>
      <c r="D238" s="36" t="s">
        <v>698</v>
      </c>
      <c r="E238" s="34" t="s">
        <v>691</v>
      </c>
      <c r="F238" s="22" t="n">
        <v>37.86</v>
      </c>
      <c r="G238" s="22" t="n">
        <v>-30.3</v>
      </c>
      <c r="H238" s="22" t="s">
        <v>78</v>
      </c>
      <c r="I238" s="22" t="s">
        <v>605</v>
      </c>
      <c r="J238" s="22" t="n">
        <v>2036</v>
      </c>
      <c r="K238" s="35" t="s">
        <v>93</v>
      </c>
      <c r="L238" s="22" t="s">
        <v>96</v>
      </c>
      <c r="M238" s="22" t="s">
        <v>97</v>
      </c>
      <c r="N238" s="22" t="s">
        <v>98</v>
      </c>
      <c r="O238" s="22" t="s">
        <v>92</v>
      </c>
      <c r="P238" s="22" t="s">
        <v>92</v>
      </c>
      <c r="Q238" s="22" t="n">
        <v>4</v>
      </c>
      <c r="R238" s="35" t="s">
        <v>62</v>
      </c>
      <c r="S238" s="25" t="n">
        <v>35.9580540540541</v>
      </c>
      <c r="T238" s="22" t="n">
        <v>9.13293069306931</v>
      </c>
      <c r="U238" s="36" t="n">
        <v>4</v>
      </c>
      <c r="V238" s="48" t="n">
        <v>0.233</v>
      </c>
      <c r="W238" s="48" t="n">
        <v>0.0185831464863551</v>
      </c>
      <c r="X238" s="48" t="n">
        <v>0.00929157324317757</v>
      </c>
      <c r="Y238" s="48" t="n">
        <v>0.64675</v>
      </c>
      <c r="Z238" s="48" t="n">
        <v>0.043805441062346</v>
      </c>
      <c r="AA238" s="48" t="n">
        <v>0.021902720531173</v>
      </c>
      <c r="AB238" s="27" t="n">
        <v>0.824042408666667</v>
      </c>
      <c r="AC238" s="27" t="n">
        <v>0.240500819750301</v>
      </c>
      <c r="AD238" s="27" t="n">
        <v>0.203160851877902</v>
      </c>
      <c r="AE238" s="55" t="n">
        <v>0.6272</v>
      </c>
      <c r="AF238" s="55" t="n">
        <v>0.0075</v>
      </c>
      <c r="AG238" s="29" t="n">
        <v>16.2989029497714</v>
      </c>
      <c r="AH238" s="27" t="n">
        <v>2.65211113328482</v>
      </c>
      <c r="AI238" s="27" t="n">
        <f aca="false">VLOOKUP(B238,proft,2,0)</f>
        <v>15.6557748408438</v>
      </c>
      <c r="AJ238" s="27" t="n">
        <f aca="false">VLOOKUP(B238,proft,3,0)</f>
        <v>0.585855679504514</v>
      </c>
      <c r="AK238" s="27" t="s">
        <v>63</v>
      </c>
      <c r="BA238" s="30" t="n">
        <v>16.9031</v>
      </c>
      <c r="BB238" s="30" t="n">
        <v>2.217</v>
      </c>
      <c r="BC238" s="30" t="n">
        <v>0.02201</v>
      </c>
      <c r="BD238" s="31" t="n">
        <v>16.9031</v>
      </c>
      <c r="BE238" s="31" t="n">
        <v>2.217</v>
      </c>
      <c r="BF238" s="31" t="n">
        <v>0.02201</v>
      </c>
      <c r="BG238" s="14" t="n">
        <f aca="false">10^6/((BA238+273.15)^2)</f>
        <v>11.8862531945246</v>
      </c>
      <c r="BH238" s="14" t="n">
        <f aca="false">BG238*(2*($BE238/($BD238+273.15)))</f>
        <v>0.181703442109469</v>
      </c>
      <c r="BI238" s="14" t="n">
        <f aca="false">BG238*(2*($BF238/($BD238+273.15)))</f>
        <v>0.00180392095662129</v>
      </c>
      <c r="BK238" s="14" t="n">
        <f aca="false">10^6/((AG238+273.15)^2)</f>
        <v>11.935927831667</v>
      </c>
      <c r="BL238" s="14" t="n">
        <f aca="false">BK238*(2*($AH238/($AG238+273.15)))</f>
        <v>0.218728810272542</v>
      </c>
      <c r="BM238" s="14" t="n">
        <f aca="false">10^6/((AI238+273.15)^2)</f>
        <v>11.9891461423486</v>
      </c>
      <c r="BN238" s="14" t="n">
        <f aca="false">BM238*(2*($AJ238/($AI238+273.15)))</f>
        <v>0.0486410589523378</v>
      </c>
    </row>
    <row r="239" s="14" customFormat="true" ht="16" hidden="false" customHeight="false" outlineLevel="0" collapsed="false">
      <c r="A239" s="22" t="s">
        <v>93</v>
      </c>
      <c r="B239" s="36" t="s">
        <v>699</v>
      </c>
      <c r="C239" s="14" t="s">
        <v>671</v>
      </c>
      <c r="D239" s="36" t="s">
        <v>699</v>
      </c>
      <c r="E239" s="34" t="s">
        <v>691</v>
      </c>
      <c r="F239" s="22" t="n">
        <v>37.86</v>
      </c>
      <c r="G239" s="22" t="n">
        <v>-30.3</v>
      </c>
      <c r="H239" s="22" t="s">
        <v>78</v>
      </c>
      <c r="I239" s="22" t="s">
        <v>605</v>
      </c>
      <c r="J239" s="22" t="n">
        <v>2036</v>
      </c>
      <c r="K239" s="35" t="s">
        <v>93</v>
      </c>
      <c r="L239" s="22" t="s">
        <v>96</v>
      </c>
      <c r="M239" s="22" t="s">
        <v>97</v>
      </c>
      <c r="N239" s="22" t="s">
        <v>98</v>
      </c>
      <c r="O239" s="22" t="s">
        <v>92</v>
      </c>
      <c r="P239" s="22" t="s">
        <v>92</v>
      </c>
      <c r="Q239" s="22" t="n">
        <v>4</v>
      </c>
      <c r="R239" s="35" t="s">
        <v>62</v>
      </c>
      <c r="S239" s="25" t="n">
        <v>35.9580540540541</v>
      </c>
      <c r="T239" s="22" t="n">
        <v>42.5485333333333</v>
      </c>
      <c r="U239" s="36" t="n">
        <v>4</v>
      </c>
      <c r="V239" s="48" t="n">
        <v>0.6415</v>
      </c>
      <c r="W239" s="48" t="n">
        <v>0.051254268114958</v>
      </c>
      <c r="X239" s="48" t="n">
        <v>0.025627134057479</v>
      </c>
      <c r="Y239" s="48" t="n">
        <v>0.9035</v>
      </c>
      <c r="Z239" s="48" t="n">
        <v>0.105762312128029</v>
      </c>
      <c r="AA239" s="48" t="n">
        <v>0.0528811560640146</v>
      </c>
      <c r="AB239" s="27" t="n">
        <v>0.824042408666667</v>
      </c>
      <c r="AC239" s="27" t="n">
        <v>0.240500819750301</v>
      </c>
      <c r="AD239" s="27" t="n">
        <v>0.203160851877902</v>
      </c>
      <c r="AE239" s="55" t="n">
        <v>0.6224</v>
      </c>
      <c r="AF239" s="55" t="n">
        <v>0.0073</v>
      </c>
      <c r="AG239" s="29" t="n">
        <v>16.2989029497714</v>
      </c>
      <c r="AH239" s="27" t="n">
        <v>2.65211113328482</v>
      </c>
      <c r="AI239" s="27" t="n">
        <f aca="false">VLOOKUP(B239,proft,2,0)</f>
        <v>14.0652958761375</v>
      </c>
      <c r="AJ239" s="27" t="n">
        <f aca="false">VLOOKUP(B239,proft,3,0)</f>
        <v>1.89898655346832</v>
      </c>
      <c r="AK239" s="27" t="s">
        <v>63</v>
      </c>
      <c r="BA239" s="30" t="n">
        <v>15.9205</v>
      </c>
      <c r="BB239" s="30" t="n">
        <v>2.215</v>
      </c>
      <c r="BC239" s="30" t="n">
        <v>0.02215</v>
      </c>
      <c r="BD239" s="31" t="n">
        <v>15.9205</v>
      </c>
      <c r="BE239" s="31" t="n">
        <v>2.215</v>
      </c>
      <c r="BF239" s="31" t="n">
        <v>0.02215</v>
      </c>
      <c r="BG239" s="14" t="n">
        <f aca="false">10^6/((BA239+273.15)^2)</f>
        <v>11.9671973419326</v>
      </c>
      <c r="BH239" s="14" t="n">
        <f aca="false">BG239*(2*($BE239/($BD239+273.15)))</f>
        <v>0.183397075193634</v>
      </c>
      <c r="BI239" s="14" t="n">
        <f aca="false">BG239*(2*($BF239/($BD239+273.15)))</f>
        <v>0.00183397075193634</v>
      </c>
      <c r="BK239" s="14" t="n">
        <f aca="false">10^6/((AG239+273.15)^2)</f>
        <v>11.935927831667</v>
      </c>
      <c r="BL239" s="14" t="n">
        <f aca="false">BK239*(2*($AH239/($AG239+273.15)))</f>
        <v>0.218728810272542</v>
      </c>
      <c r="BM239" s="14" t="n">
        <f aca="false">10^6/((AI239+273.15)^2)</f>
        <v>12.1222956068188</v>
      </c>
      <c r="BN239" s="14" t="n">
        <f aca="false">BM239*(2*($AJ239/($AI239+273.15)))</f>
        <v>0.160298401130032</v>
      </c>
    </row>
    <row r="240" s="14" customFormat="true" ht="16" hidden="false" customHeight="false" outlineLevel="0" collapsed="false">
      <c r="A240" s="22" t="s">
        <v>93</v>
      </c>
      <c r="B240" s="36" t="s">
        <v>700</v>
      </c>
      <c r="C240" s="14" t="s">
        <v>671</v>
      </c>
      <c r="D240" s="36" t="s">
        <v>700</v>
      </c>
      <c r="E240" s="34" t="s">
        <v>691</v>
      </c>
      <c r="F240" s="22" t="n">
        <v>37.86</v>
      </c>
      <c r="G240" s="22" t="n">
        <v>-30.3</v>
      </c>
      <c r="H240" s="22" t="s">
        <v>78</v>
      </c>
      <c r="I240" s="22" t="s">
        <v>605</v>
      </c>
      <c r="J240" s="22" t="n">
        <v>2036</v>
      </c>
      <c r="K240" s="35" t="s">
        <v>93</v>
      </c>
      <c r="L240" s="22" t="s">
        <v>96</v>
      </c>
      <c r="M240" s="22" t="s">
        <v>97</v>
      </c>
      <c r="N240" s="22" t="s">
        <v>98</v>
      </c>
      <c r="O240" s="22" t="s">
        <v>92</v>
      </c>
      <c r="P240" s="22" t="s">
        <v>92</v>
      </c>
      <c r="Q240" s="22" t="n">
        <v>4</v>
      </c>
      <c r="R240" s="35" t="s">
        <v>62</v>
      </c>
      <c r="S240" s="25" t="n">
        <v>35.9580540540541</v>
      </c>
      <c r="T240" s="22" t="n">
        <v>28.0895</v>
      </c>
      <c r="U240" s="36" t="n">
        <v>4</v>
      </c>
      <c r="V240" s="48" t="n">
        <v>0.52925</v>
      </c>
      <c r="W240" s="48" t="n">
        <v>0.433310800696221</v>
      </c>
      <c r="X240" s="48" t="n">
        <v>0.21665540034811</v>
      </c>
      <c r="Y240" s="48" t="n">
        <v>1.41375</v>
      </c>
      <c r="Z240" s="48" t="n">
        <v>0.449855069253791</v>
      </c>
      <c r="AA240" s="48" t="n">
        <v>0.224927534626895</v>
      </c>
      <c r="AB240" s="27" t="n">
        <v>0.824042408666667</v>
      </c>
      <c r="AC240" s="27" t="n">
        <v>0.240500819750301</v>
      </c>
      <c r="AD240" s="27" t="n">
        <v>0.203160851877902</v>
      </c>
      <c r="AE240" s="55" t="n">
        <v>0.6376</v>
      </c>
      <c r="AF240" s="55" t="n">
        <v>0.0074</v>
      </c>
      <c r="AG240" s="29" t="n">
        <v>16.2989029497714</v>
      </c>
      <c r="AH240" s="27" t="n">
        <v>2.65211113328482</v>
      </c>
      <c r="AI240" s="27" t="n">
        <f aca="false">VLOOKUP(B240,proft,2,0)</f>
        <v>10.8304141955222</v>
      </c>
      <c r="AJ240" s="27" t="n">
        <f aca="false">VLOOKUP(B240,proft,3,0)</f>
        <v>1.75624503202816</v>
      </c>
      <c r="AK240" s="27" t="s">
        <v>63</v>
      </c>
      <c r="BA240" s="30" t="n">
        <v>13.9297</v>
      </c>
      <c r="BB240" s="30" t="n">
        <v>2.201</v>
      </c>
      <c r="BC240" s="30" t="n">
        <v>0.02201</v>
      </c>
      <c r="BD240" s="31" t="n">
        <v>13.9297</v>
      </c>
      <c r="BE240" s="31" t="n">
        <v>2.201</v>
      </c>
      <c r="BF240" s="31" t="n">
        <v>0.02201</v>
      </c>
      <c r="BG240" s="14" t="n">
        <f aca="false">10^6/((BA240+273.15)^2)</f>
        <v>12.1337497185829</v>
      </c>
      <c r="BH240" s="14" t="n">
        <f aca="false">BG240*(2*($BE240/($BD240+273.15)))</f>
        <v>0.186055531830366</v>
      </c>
      <c r="BI240" s="14" t="n">
        <f aca="false">BG240*(2*($BF240/($BD240+273.15)))</f>
        <v>0.00186055531830366</v>
      </c>
      <c r="BK240" s="14" t="n">
        <f aca="false">10^6/((AG240+273.15)^2)</f>
        <v>11.935927831667</v>
      </c>
      <c r="BL240" s="14" t="n">
        <f aca="false">BK240*(2*($AH240/($AG240+273.15)))</f>
        <v>0.218728810272542</v>
      </c>
      <c r="BM240" s="14" t="n">
        <f aca="false">10^6/((AI240+273.15)^2)</f>
        <v>12.4000439207251</v>
      </c>
      <c r="BN240" s="14" t="n">
        <f aca="false">BM240*(2*($AJ240/($AI240+273.15)))</f>
        <v>0.153373362697545</v>
      </c>
    </row>
    <row r="241" s="14" customFormat="true" ht="16" hidden="false" customHeight="false" outlineLevel="0" collapsed="false">
      <c r="A241" s="22" t="s">
        <v>93</v>
      </c>
      <c r="B241" s="36" t="s">
        <v>701</v>
      </c>
      <c r="C241" s="14" t="s">
        <v>671</v>
      </c>
      <c r="D241" s="36" t="s">
        <v>701</v>
      </c>
      <c r="E241" s="34" t="s">
        <v>691</v>
      </c>
      <c r="F241" s="22" t="n">
        <v>37.86</v>
      </c>
      <c r="G241" s="22" t="n">
        <v>-30.3</v>
      </c>
      <c r="H241" s="22" t="s">
        <v>78</v>
      </c>
      <c r="I241" s="22" t="s">
        <v>605</v>
      </c>
      <c r="J241" s="22" t="n">
        <v>2036</v>
      </c>
      <c r="K241" s="35" t="s">
        <v>93</v>
      </c>
      <c r="L241" s="22" t="s">
        <v>96</v>
      </c>
      <c r="M241" s="22" t="s">
        <v>97</v>
      </c>
      <c r="N241" s="22" t="s">
        <v>98</v>
      </c>
      <c r="O241" s="22" t="s">
        <v>92</v>
      </c>
      <c r="P241" s="22" t="s">
        <v>92</v>
      </c>
      <c r="Q241" s="22" t="n">
        <v>4</v>
      </c>
      <c r="R241" s="35" t="s">
        <v>62</v>
      </c>
      <c r="S241" s="25" t="n">
        <v>35.9580540540541</v>
      </c>
      <c r="T241" s="22" t="n">
        <v>47.2254238410596</v>
      </c>
      <c r="U241" s="36" t="n">
        <v>4</v>
      </c>
      <c r="V241" s="48" t="n">
        <v>0.841</v>
      </c>
      <c r="W241" s="48" t="n">
        <v>0.0639009650422694</v>
      </c>
      <c r="X241" s="48" t="n">
        <v>0.0319504825211347</v>
      </c>
      <c r="Y241" s="48" t="n">
        <v>1.12475</v>
      </c>
      <c r="Z241" s="48" t="n">
        <v>0.139165069851118</v>
      </c>
      <c r="AA241" s="48" t="n">
        <v>0.0695825349255589</v>
      </c>
      <c r="AB241" s="27" t="n">
        <v>0.824042408666667</v>
      </c>
      <c r="AC241" s="27" t="n">
        <v>0.240500819750301</v>
      </c>
      <c r="AD241" s="27" t="n">
        <v>0.203160851877902</v>
      </c>
      <c r="AE241" s="55" t="n">
        <v>0.6286</v>
      </c>
      <c r="AF241" s="55" t="n">
        <v>0.0074</v>
      </c>
      <c r="AG241" s="29" t="n">
        <v>16.2989029497714</v>
      </c>
      <c r="AH241" s="27" t="n">
        <v>2.65211113328482</v>
      </c>
      <c r="AI241" s="27" t="n">
        <f aca="false">VLOOKUP(B241,proft,2,0)</f>
        <v>12.7683667408517</v>
      </c>
      <c r="AJ241" s="27" t="n">
        <f aca="false">VLOOKUP(B241,proft,3,0)</f>
        <v>2.01925461943496</v>
      </c>
      <c r="AK241" s="27" t="s">
        <v>63</v>
      </c>
      <c r="BA241" s="30" t="n">
        <v>15.0597</v>
      </c>
      <c r="BB241" s="30" t="n">
        <v>2.228</v>
      </c>
      <c r="BC241" s="30" t="n">
        <v>0.02228</v>
      </c>
      <c r="BD241" s="31" t="n">
        <v>15.0597</v>
      </c>
      <c r="BE241" s="31" t="n">
        <v>2.228</v>
      </c>
      <c r="BF241" s="31" t="n">
        <v>0.02228</v>
      </c>
      <c r="BG241" s="14" t="n">
        <f aca="false">10^6/((BA241+273.15)^2)</f>
        <v>12.0387892910318</v>
      </c>
      <c r="BH241" s="14" t="n">
        <f aca="false">BG241*(2*($BE241/($BD241+273.15)))</f>
        <v>0.186131296347201</v>
      </c>
      <c r="BI241" s="14" t="n">
        <f aca="false">BG241*(2*($BF241/($BD241+273.15)))</f>
        <v>0.00186131296347201</v>
      </c>
      <c r="BK241" s="14" t="n">
        <f aca="false">10^6/((AG241+273.15)^2)</f>
        <v>11.935927831667</v>
      </c>
      <c r="BL241" s="14" t="n">
        <f aca="false">BK241*(2*($AH241/($AG241+273.15)))</f>
        <v>0.218728810272542</v>
      </c>
      <c r="BM241" s="14" t="n">
        <f aca="false">10^6/((AI241+273.15)^2)</f>
        <v>12.2325187840196</v>
      </c>
      <c r="BN241" s="14" t="n">
        <f aca="false">BM241*(2*($AJ241/($AI241+273.15)))</f>
        <v>0.172780576102999</v>
      </c>
    </row>
    <row r="242" s="14" customFormat="true" ht="16" hidden="false" customHeight="false" outlineLevel="0" collapsed="false">
      <c r="A242" s="22" t="s">
        <v>93</v>
      </c>
      <c r="B242" s="36" t="s">
        <v>702</v>
      </c>
      <c r="C242" s="14" t="s">
        <v>671</v>
      </c>
      <c r="D242" s="36" t="s">
        <v>702</v>
      </c>
      <c r="E242" s="34" t="s">
        <v>691</v>
      </c>
      <c r="F242" s="22" t="n">
        <v>37.86</v>
      </c>
      <c r="G242" s="22" t="n">
        <v>-30.3</v>
      </c>
      <c r="H242" s="22" t="s">
        <v>78</v>
      </c>
      <c r="I242" s="22" t="s">
        <v>605</v>
      </c>
      <c r="J242" s="22" t="n">
        <v>2036</v>
      </c>
      <c r="K242" s="35" t="s">
        <v>93</v>
      </c>
      <c r="L242" s="22" t="s">
        <v>96</v>
      </c>
      <c r="M242" s="22" t="s">
        <v>97</v>
      </c>
      <c r="N242" s="22" t="s">
        <v>98</v>
      </c>
      <c r="O242" s="22" t="s">
        <v>92</v>
      </c>
      <c r="P242" s="22" t="s">
        <v>92</v>
      </c>
      <c r="Q242" s="22" t="n">
        <v>4</v>
      </c>
      <c r="R242" s="35" t="s">
        <v>62</v>
      </c>
      <c r="S242" s="25" t="n">
        <v>35.9580540540541</v>
      </c>
      <c r="T242" s="22" t="n">
        <v>47.2254238410596</v>
      </c>
      <c r="U242" s="36" t="n">
        <v>4</v>
      </c>
      <c r="V242" s="48" t="n">
        <v>0.8795</v>
      </c>
      <c r="W242" s="48" t="n">
        <v>0.0677273947527882</v>
      </c>
      <c r="X242" s="48" t="n">
        <v>0.0338636973763941</v>
      </c>
      <c r="Y242" s="48" t="n">
        <v>1.02025</v>
      </c>
      <c r="Z242" s="48" t="n">
        <v>0.101578787155587</v>
      </c>
      <c r="AA242" s="48" t="n">
        <v>0.0507893935777934</v>
      </c>
      <c r="AB242" s="27" t="n">
        <v>0.824042408666667</v>
      </c>
      <c r="AC242" s="27" t="n">
        <v>0.240500819750301</v>
      </c>
      <c r="AD242" s="27" t="n">
        <v>0.203160851877902</v>
      </c>
      <c r="AE242" s="55" t="n">
        <v>0.6219</v>
      </c>
      <c r="AF242" s="55" t="n">
        <v>0.0073</v>
      </c>
      <c r="AG242" s="29" t="n">
        <v>16.2989029497714</v>
      </c>
      <c r="AH242" s="27" t="n">
        <v>2.65211113328482</v>
      </c>
      <c r="AI242" s="27" t="n">
        <f aca="false">VLOOKUP(B242,proft,2,0)</f>
        <v>13.3901062911485</v>
      </c>
      <c r="AJ242" s="27" t="n">
        <f aca="false">VLOOKUP(B242,proft,3,0)</f>
        <v>0.498902986573574</v>
      </c>
      <c r="AK242" s="27" t="s">
        <v>63</v>
      </c>
      <c r="BA242" s="30" t="n">
        <v>15.4662</v>
      </c>
      <c r="BB242" s="30" t="n">
        <v>2.238</v>
      </c>
      <c r="BC242" s="30" t="n">
        <v>0.02238</v>
      </c>
      <c r="BD242" s="31" t="n">
        <v>15.4662</v>
      </c>
      <c r="BE242" s="31" t="n">
        <v>2.238</v>
      </c>
      <c r="BF242" s="31" t="n">
        <v>0.02238</v>
      </c>
      <c r="BG242" s="14" t="n">
        <f aca="false">10^6/((BA242+273.15)^2)</f>
        <v>12.0049012310702</v>
      </c>
      <c r="BH242" s="14" t="n">
        <f aca="false">BG242*(2*($BE242/($BD242+273.15)))</f>
        <v>0.186177830316767</v>
      </c>
      <c r="BI242" s="14" t="n">
        <f aca="false">BG242*(2*($BF242/($BD242+273.15)))</f>
        <v>0.00186177830316767</v>
      </c>
      <c r="BK242" s="14" t="n">
        <f aca="false">10^6/((AG242+273.15)^2)</f>
        <v>11.935927831667</v>
      </c>
      <c r="BL242" s="14" t="n">
        <f aca="false">BK242*(2*($AH242/($AG242+273.15)))</f>
        <v>0.218728810272542</v>
      </c>
      <c r="BM242" s="14" t="n">
        <f aca="false">10^6/((AI242+273.15)^2)</f>
        <v>12.1794917252989</v>
      </c>
      <c r="BN242" s="14" t="n">
        <f aca="false">BM242*(2*($AJ242/($AI242+273.15)))</f>
        <v>0.0424121068101067</v>
      </c>
    </row>
    <row r="243" s="14" customFormat="true" ht="16" hidden="false" customHeight="false" outlineLevel="0" collapsed="false">
      <c r="A243" s="22" t="s">
        <v>93</v>
      </c>
      <c r="B243" s="36" t="s">
        <v>703</v>
      </c>
      <c r="C243" s="14" t="s">
        <v>671</v>
      </c>
      <c r="D243" s="36" t="s">
        <v>703</v>
      </c>
      <c r="E243" s="34" t="s">
        <v>691</v>
      </c>
      <c r="F243" s="22" t="n">
        <v>37.86</v>
      </c>
      <c r="G243" s="22" t="n">
        <v>-30.3</v>
      </c>
      <c r="H243" s="22" t="s">
        <v>78</v>
      </c>
      <c r="I243" s="22" t="s">
        <v>605</v>
      </c>
      <c r="J243" s="22" t="n">
        <v>2036</v>
      </c>
      <c r="K243" s="35" t="s">
        <v>93</v>
      </c>
      <c r="L243" s="22" t="s">
        <v>96</v>
      </c>
      <c r="M243" s="22" t="s">
        <v>97</v>
      </c>
      <c r="N243" s="22" t="s">
        <v>98</v>
      </c>
      <c r="O243" s="22" t="s">
        <v>92</v>
      </c>
      <c r="P243" s="22" t="s">
        <v>92</v>
      </c>
      <c r="Q243" s="22" t="n">
        <v>4</v>
      </c>
      <c r="R243" s="35" t="s">
        <v>62</v>
      </c>
      <c r="S243" s="25" t="n">
        <v>35.9580540540541</v>
      </c>
      <c r="T243" s="22" t="n">
        <v>47.2254238410596</v>
      </c>
      <c r="U243" s="36" t="n">
        <v>3</v>
      </c>
      <c r="V243" s="48" t="n">
        <v>1.008</v>
      </c>
      <c r="W243" s="48" t="n">
        <v>0.0206639783197719</v>
      </c>
      <c r="X243" s="48" t="n">
        <v>0.0119303534454489</v>
      </c>
      <c r="Y243" s="48" t="n">
        <v>1.16166666666667</v>
      </c>
      <c r="Z243" s="48" t="n">
        <v>0.0568975687822717</v>
      </c>
      <c r="AA243" s="48" t="n">
        <v>0.0328498266526798</v>
      </c>
      <c r="AB243" s="27" t="n">
        <v>0.824042408666667</v>
      </c>
      <c r="AC243" s="27" t="n">
        <v>0.240500819750301</v>
      </c>
      <c r="AD243" s="27" t="n">
        <v>0.203160851877902</v>
      </c>
      <c r="AE243" s="55" t="n">
        <v>0.6247</v>
      </c>
      <c r="AF243" s="55" t="n">
        <v>0.0085</v>
      </c>
      <c r="AG243" s="29" t="n">
        <v>16.2989029497714</v>
      </c>
      <c r="AH243" s="27" t="n">
        <v>2.65211113328482</v>
      </c>
      <c r="AI243" s="27" t="n">
        <f aca="false">VLOOKUP(B243,proft,2,0)</f>
        <v>12.4938006710997</v>
      </c>
      <c r="AJ243" s="27" t="n">
        <f aca="false">VLOOKUP(B243,proft,3,0)</f>
        <v>1.58298768569112</v>
      </c>
      <c r="AK243" s="27" t="s">
        <v>63</v>
      </c>
      <c r="BA243" s="30" t="n">
        <v>14.9064</v>
      </c>
      <c r="BB243" s="30" t="n">
        <v>2.224</v>
      </c>
      <c r="BC243" s="30" t="n">
        <v>0.02224</v>
      </c>
      <c r="BD243" s="31" t="n">
        <v>14.9064</v>
      </c>
      <c r="BE243" s="31" t="n">
        <v>2.224</v>
      </c>
      <c r="BF243" s="31" t="n">
        <v>0.02224</v>
      </c>
      <c r="BG243" s="14" t="n">
        <f aca="false">10^6/((BA243+273.15)^2)</f>
        <v>12.0516064857661</v>
      </c>
      <c r="BH243" s="14" t="n">
        <f aca="false">BG243*(2*($BE243/($BD243+273.15)))</f>
        <v>0.18609392344238</v>
      </c>
      <c r="BI243" s="14" t="n">
        <f aca="false">BG243*(2*($BF243/($BD243+273.15)))</f>
        <v>0.0018609392344238</v>
      </c>
      <c r="BK243" s="14" t="n">
        <f aca="false">10^6/((AG243+273.15)^2)</f>
        <v>11.935927831667</v>
      </c>
      <c r="BL243" s="14" t="n">
        <f aca="false">BK243*(2*($AH243/($AG243+273.15)))</f>
        <v>0.218728810272542</v>
      </c>
      <c r="BM243" s="14" t="n">
        <f aca="false">10^6/((AI243+273.15)^2)</f>
        <v>12.2560463297842</v>
      </c>
      <c r="BN243" s="14" t="n">
        <f aca="false">BM243*(2*($AJ243/($AI243+273.15)))</f>
        <v>0.135841704736645</v>
      </c>
    </row>
    <row r="244" s="14" customFormat="true" ht="16" hidden="false" customHeight="false" outlineLevel="0" collapsed="false">
      <c r="A244" s="22" t="s">
        <v>85</v>
      </c>
      <c r="B244" s="36" t="s">
        <v>704</v>
      </c>
      <c r="C244" s="14" t="s">
        <v>671</v>
      </c>
      <c r="D244" s="36" t="s">
        <v>704</v>
      </c>
      <c r="E244" s="34" t="s">
        <v>686</v>
      </c>
      <c r="F244" s="22" t="n">
        <v>-20.08</v>
      </c>
      <c r="G244" s="22" t="n">
        <v>112.67</v>
      </c>
      <c r="H244" s="22" t="s">
        <v>120</v>
      </c>
      <c r="I244" s="22" t="s">
        <v>687</v>
      </c>
      <c r="J244" s="22" t="n">
        <v>980</v>
      </c>
      <c r="K244" s="35" t="s">
        <v>85</v>
      </c>
      <c r="L244" s="22" t="s">
        <v>89</v>
      </c>
      <c r="M244" s="22" t="s">
        <v>90</v>
      </c>
      <c r="N244" s="22" t="s">
        <v>91</v>
      </c>
      <c r="O244" s="22" t="s">
        <v>71</v>
      </c>
      <c r="P244" s="22" t="s">
        <v>71</v>
      </c>
      <c r="Q244" s="22" t="n">
        <v>5</v>
      </c>
      <c r="R244" s="35" t="s">
        <v>62</v>
      </c>
      <c r="S244" s="25" t="n">
        <v>35.588947368421</v>
      </c>
      <c r="T244" s="22" t="n">
        <v>34.2702419354839</v>
      </c>
      <c r="U244" s="36" t="n">
        <v>8</v>
      </c>
      <c r="V244" s="48" t="n">
        <v>2.12</v>
      </c>
      <c r="W244" s="48" t="n">
        <v>0.0917714552570678</v>
      </c>
      <c r="X244" s="48" t="n">
        <v>0.0324461091658153</v>
      </c>
      <c r="Y244" s="48" t="n">
        <v>-1.466125</v>
      </c>
      <c r="Z244" s="48" t="n">
        <v>0.083278255608189</v>
      </c>
      <c r="AA244" s="48" t="n">
        <v>0.0294433096329685</v>
      </c>
      <c r="AB244" s="27" t="n">
        <v>0.315347297142857</v>
      </c>
      <c r="AC244" s="27" t="n">
        <v>0.222123769602833</v>
      </c>
      <c r="AD244" s="27" t="n">
        <v>0.203307989099779</v>
      </c>
      <c r="AE244" s="55" t="n">
        <v>0.6081</v>
      </c>
      <c r="AF244" s="55" t="n">
        <v>0.0053</v>
      </c>
      <c r="AG244" s="29" t="n">
        <v>21.7021486382735</v>
      </c>
      <c r="AH244" s="27" t="n">
        <v>2.07547674624043</v>
      </c>
      <c r="AI244" s="27" t="n">
        <f aca="false">VLOOKUP(B244,proft,2,0)</f>
        <v>22.846364292579</v>
      </c>
      <c r="AJ244" s="27" t="n">
        <f aca="false">VLOOKUP(B244,proft,3,0)</f>
        <v>1.60913333812419</v>
      </c>
      <c r="AK244" s="27" t="s">
        <v>63</v>
      </c>
      <c r="BA244" s="30" t="n">
        <v>23.1753</v>
      </c>
      <c r="BB244" s="30" t="n">
        <v>2.197</v>
      </c>
      <c r="BC244" s="30" t="n">
        <v>0.02197</v>
      </c>
      <c r="BD244" s="31" t="n">
        <v>23.1753</v>
      </c>
      <c r="BE244" s="31" t="n">
        <v>2.197</v>
      </c>
      <c r="BF244" s="31" t="n">
        <v>0.02197</v>
      </c>
      <c r="BG244" s="14" t="n">
        <f aca="false">10^6/((BA244+273.15)^2)</f>
        <v>11.3883953277815</v>
      </c>
      <c r="BH244" s="14" t="n">
        <f aca="false">BG244*(2*($BE244/($BD244+273.15)))</f>
        <v>0.168870525298623</v>
      </c>
      <c r="BI244" s="14" t="n">
        <f aca="false">BG244*(2*($BF244/($BD244+273.15)))</f>
        <v>0.00168870525298623</v>
      </c>
      <c r="BK244" s="14" t="n">
        <f aca="false">10^6/((AG244+273.15)^2)</f>
        <v>11.5024778649207</v>
      </c>
      <c r="BL244" s="14" t="n">
        <f aca="false">BK244*(2*($AH244/($AG244+273.15)))</f>
        <v>0.161932856470895</v>
      </c>
      <c r="BM244" s="14" t="n">
        <f aca="false">10^6/((AI244+273.15)^2)</f>
        <v>11.4137208505671</v>
      </c>
      <c r="BN244" s="14" t="n">
        <f aca="false">BM244*(2*($AJ244/($AI244+273.15)))</f>
        <v>0.12409746164677</v>
      </c>
    </row>
    <row r="245" s="14" customFormat="true" ht="16" hidden="false" customHeight="false" outlineLevel="0" collapsed="false">
      <c r="A245" s="22" t="s">
        <v>85</v>
      </c>
      <c r="B245" s="36" t="s">
        <v>705</v>
      </c>
      <c r="C245" s="14" t="s">
        <v>671</v>
      </c>
      <c r="D245" s="36" t="s">
        <v>705</v>
      </c>
      <c r="E245" s="34" t="s">
        <v>689</v>
      </c>
      <c r="F245" s="22" t="n">
        <v>28.84</v>
      </c>
      <c r="G245" s="22" t="n">
        <v>-86.67</v>
      </c>
      <c r="H245" s="22" t="s">
        <v>158</v>
      </c>
      <c r="I245" s="22" t="s">
        <v>159</v>
      </c>
      <c r="J245" s="22" t="n">
        <v>4076</v>
      </c>
      <c r="K245" s="35" t="s">
        <v>85</v>
      </c>
      <c r="L245" s="22" t="s">
        <v>89</v>
      </c>
      <c r="M245" s="22" t="s">
        <v>90</v>
      </c>
      <c r="N245" s="22" t="s">
        <v>91</v>
      </c>
      <c r="O245" s="22" t="s">
        <v>71</v>
      </c>
      <c r="P245" s="22" t="s">
        <v>71</v>
      </c>
      <c r="Q245" s="22" t="n">
        <v>5</v>
      </c>
      <c r="R245" s="35" t="s">
        <v>62</v>
      </c>
      <c r="S245" s="25" t="n">
        <v>36.3254210526316</v>
      </c>
      <c r="T245" s="22" t="n">
        <v>51</v>
      </c>
      <c r="U245" s="36" t="n">
        <v>4</v>
      </c>
      <c r="V245" s="48" t="n">
        <v>2.236</v>
      </c>
      <c r="W245" s="48" t="n">
        <v>0.0549848463972878</v>
      </c>
      <c r="X245" s="48" t="n">
        <v>0.0274924231986439</v>
      </c>
      <c r="Y245" s="48" t="n">
        <v>-0.527</v>
      </c>
      <c r="Z245" s="48" t="n">
        <v>0.128057278850781</v>
      </c>
      <c r="AA245" s="48" t="n">
        <v>0.0640286394253905</v>
      </c>
      <c r="AB245" s="27" t="n">
        <v>0.900953351428572</v>
      </c>
      <c r="AC245" s="27" t="n">
        <v>0.207986814595425</v>
      </c>
      <c r="AD245" s="27" t="n">
        <v>0.201160389116159</v>
      </c>
      <c r="AE245" s="55" t="n">
        <v>0.6153</v>
      </c>
      <c r="AF245" s="55" t="n">
        <v>0.0074</v>
      </c>
      <c r="AG245" s="29" t="n">
        <v>23.7193059419331</v>
      </c>
      <c r="AH245" s="27" t="n">
        <v>1.17486061906775</v>
      </c>
      <c r="AI245" s="27" t="n">
        <f aca="false">VLOOKUP(B245,proft,2,0)</f>
        <v>21.7060291970534</v>
      </c>
      <c r="AJ245" s="27" t="n">
        <f aca="false">VLOOKUP(B245,proft,3,0)</f>
        <v>0.839430256798423</v>
      </c>
      <c r="AK245" s="27" t="s">
        <v>63</v>
      </c>
      <c r="BA245" s="30" t="n">
        <v>21.7519</v>
      </c>
      <c r="BB245" s="30" t="n">
        <v>2.237</v>
      </c>
      <c r="BC245" s="30" t="n">
        <v>0.02237</v>
      </c>
      <c r="BD245" s="31" t="n">
        <v>21.7519</v>
      </c>
      <c r="BE245" s="31" t="n">
        <v>2.237</v>
      </c>
      <c r="BF245" s="31" t="n">
        <v>0.02237</v>
      </c>
      <c r="BG245" s="14" t="n">
        <f aca="false">10^6/((BA245+273.15)^2)</f>
        <v>11.4985971461788</v>
      </c>
      <c r="BH245" s="14" t="n">
        <f aca="false">BG245*(2*($BE245/($BD245+273.15)))</f>
        <v>0.174446904655426</v>
      </c>
      <c r="BI245" s="14" t="n">
        <f aca="false">BG245*(2*($BF245/($BD245+273.15)))</f>
        <v>0.00174446904655426</v>
      </c>
      <c r="BK245" s="14" t="n">
        <f aca="false">10^6/((AG245+273.15)^2)</f>
        <v>11.3466956425435</v>
      </c>
      <c r="BL245" s="14" t="n">
        <f aca="false">BK245*(2*($AH245/($AG245+273.15)))</f>
        <v>0.0898091220624836</v>
      </c>
      <c r="BM245" s="14" t="n">
        <f aca="false">10^6/((AI245+273.15)^2)</f>
        <v>11.5021751019223</v>
      </c>
      <c r="BN245" s="14" t="n">
        <f aca="false">BM245*(2*($AJ245/($AI245+273.15)))</f>
        <v>0.0654914456105249</v>
      </c>
    </row>
    <row r="246" s="14" customFormat="true" ht="16" hidden="false" customHeight="false" outlineLevel="0" collapsed="false">
      <c r="A246" s="22" t="s">
        <v>85</v>
      </c>
      <c r="B246" s="36" t="s">
        <v>706</v>
      </c>
      <c r="C246" s="14" t="s">
        <v>671</v>
      </c>
      <c r="D246" s="36" t="s">
        <v>706</v>
      </c>
      <c r="E246" s="34" t="s">
        <v>707</v>
      </c>
      <c r="F246" s="22" t="n">
        <v>19.73</v>
      </c>
      <c r="G246" s="22" t="n">
        <v>114.61</v>
      </c>
      <c r="H246" s="22" t="s">
        <v>56</v>
      </c>
      <c r="I246" s="22" t="s">
        <v>617</v>
      </c>
      <c r="J246" s="22" t="n">
        <v>3630</v>
      </c>
      <c r="K246" s="35" t="s">
        <v>85</v>
      </c>
      <c r="L246" s="22" t="s">
        <v>89</v>
      </c>
      <c r="M246" s="22" t="s">
        <v>90</v>
      </c>
      <c r="N246" s="22" t="s">
        <v>91</v>
      </c>
      <c r="O246" s="22" t="s">
        <v>71</v>
      </c>
      <c r="P246" s="22" t="s">
        <v>71</v>
      </c>
      <c r="Q246" s="22" t="n">
        <v>5</v>
      </c>
      <c r="R246" s="35" t="s">
        <v>62</v>
      </c>
      <c r="S246" s="25" t="n">
        <v>34.2843157894737</v>
      </c>
      <c r="T246" s="22" t="n">
        <v>51</v>
      </c>
      <c r="U246" s="36" t="n">
        <v>4</v>
      </c>
      <c r="V246" s="48" t="n">
        <v>2.2865</v>
      </c>
      <c r="W246" s="48" t="n">
        <v>0.0385183938744421</v>
      </c>
      <c r="X246" s="48" t="n">
        <v>0.0192591969372211</v>
      </c>
      <c r="Y246" s="48" t="n">
        <v>-1.71375</v>
      </c>
      <c r="Z246" s="48" t="n">
        <v>0.0765130707787892</v>
      </c>
      <c r="AA246" s="48" t="n">
        <v>0.0382565353893946</v>
      </c>
      <c r="AB246" s="27" t="n">
        <v>0.105754969185714</v>
      </c>
      <c r="AC246" s="27" t="n">
        <v>0.251248855723748</v>
      </c>
      <c r="AD246" s="27" t="n">
        <v>0.208095440844715</v>
      </c>
      <c r="AE246" s="55" t="n">
        <v>0.6039</v>
      </c>
      <c r="AF246" s="55" t="n">
        <v>0.0073</v>
      </c>
      <c r="AG246" s="29" t="n">
        <v>22.62483185216</v>
      </c>
      <c r="AH246" s="27" t="n">
        <v>2.51878239619022</v>
      </c>
      <c r="AI246" s="27" t="n">
        <f aca="false">VLOOKUP(B246,proft,2,0)</f>
        <v>24.3546414388345</v>
      </c>
      <c r="AJ246" s="27" t="n">
        <f aca="false">VLOOKUP(B246,proft,3,0)</f>
        <v>0.785807557330183</v>
      </c>
      <c r="AK246" s="27" t="s">
        <v>63</v>
      </c>
      <c r="BA246" s="30" t="n">
        <v>23.2891</v>
      </c>
      <c r="BB246" s="30" t="n">
        <v>2.25</v>
      </c>
      <c r="BC246" s="30" t="n">
        <v>0.0225</v>
      </c>
      <c r="BD246" s="31" t="n">
        <v>23.2891</v>
      </c>
      <c r="BE246" s="31" t="n">
        <v>2.25</v>
      </c>
      <c r="BF246" s="31" t="n">
        <v>0.0225</v>
      </c>
      <c r="BG246" s="14" t="n">
        <f aca="false">10^6/((BA246+273.15)^2)</f>
        <v>11.3796532244105</v>
      </c>
      <c r="BH246" s="14" t="n">
        <f aca="false">BG246*(2*($BE246/($BD246+273.15)))</f>
        <v>0.172745226624447</v>
      </c>
      <c r="BI246" s="14" t="n">
        <f aca="false">BG246*(2*($BF246/($BD246+273.15)))</f>
        <v>0.00172745226624447</v>
      </c>
      <c r="BK246" s="14" t="n">
        <f aca="false">10^6/((AG246+273.15)^2)</f>
        <v>11.4308247828578</v>
      </c>
      <c r="BL246" s="14" t="n">
        <f aca="false">BK246*(2*($AH246/($AG246+273.15)))</f>
        <v>0.194687019559449</v>
      </c>
      <c r="BM246" s="14" t="n">
        <f aca="false">10^6/((AI246+273.15)^2)</f>
        <v>11.2982845593397</v>
      </c>
      <c r="BN246" s="14" t="n">
        <f aca="false">BM246*(2*($AJ246/($AI246+273.15)))</f>
        <v>0.0596849672573686</v>
      </c>
    </row>
    <row r="247" s="14" customFormat="true" ht="16" hidden="false" customHeight="false" outlineLevel="0" collapsed="false">
      <c r="A247" s="22" t="s">
        <v>51</v>
      </c>
      <c r="B247" s="36" t="s">
        <v>708</v>
      </c>
      <c r="C247" s="14" t="s">
        <v>671</v>
      </c>
      <c r="D247" s="36" t="s">
        <v>708</v>
      </c>
      <c r="E247" s="34" t="s">
        <v>686</v>
      </c>
      <c r="F247" s="22" t="n">
        <v>-20.08</v>
      </c>
      <c r="G247" s="22" t="n">
        <v>112.67</v>
      </c>
      <c r="H247" s="22" t="s">
        <v>120</v>
      </c>
      <c r="I247" s="22" t="s">
        <v>687</v>
      </c>
      <c r="J247" s="22" t="n">
        <v>980</v>
      </c>
      <c r="K247" s="35" t="s">
        <v>51</v>
      </c>
      <c r="L247" s="22" t="s">
        <v>58</v>
      </c>
      <c r="M247" s="22" t="s">
        <v>59</v>
      </c>
      <c r="N247" s="22" t="s">
        <v>60</v>
      </c>
      <c r="O247" s="22" t="s">
        <v>61</v>
      </c>
      <c r="P247" s="22" t="s">
        <v>61</v>
      </c>
      <c r="Q247" s="22" t="n">
        <v>3</v>
      </c>
      <c r="R247" s="35" t="s">
        <v>62</v>
      </c>
      <c r="S247" s="25" t="n">
        <v>35.5772941176471</v>
      </c>
      <c r="T247" s="22" t="n">
        <v>47.2254238410596</v>
      </c>
      <c r="U247" s="36" t="n">
        <v>20</v>
      </c>
      <c r="V247" s="48" t="n">
        <v>1.71575</v>
      </c>
      <c r="W247" s="48" t="n">
        <v>0.056479036632607</v>
      </c>
      <c r="X247" s="48" t="n">
        <v>0.012629096521421</v>
      </c>
      <c r="Y247" s="48" t="n">
        <v>-0.43905</v>
      </c>
      <c r="Z247" s="48" t="n">
        <v>0.0997673477857889</v>
      </c>
      <c r="AA247" s="48" t="n">
        <v>0.0223086571583887</v>
      </c>
      <c r="AB247" s="27" t="n">
        <v>0.332272984</v>
      </c>
      <c r="AC247" s="27" t="n">
        <v>0.229306002740155</v>
      </c>
      <c r="AD247" s="27" t="n">
        <v>0.206194686106441</v>
      </c>
      <c r="AE247" s="55" t="n">
        <v>0.6085</v>
      </c>
      <c r="AF247" s="55" t="n">
        <v>0.0037</v>
      </c>
      <c r="AG247" s="29" t="n">
        <v>22.1494361653047</v>
      </c>
      <c r="AH247" s="27" t="n">
        <v>1.66880893989951</v>
      </c>
      <c r="AI247" s="27" t="n">
        <f aca="false">VLOOKUP(B247,proft,2,0)</f>
        <v>18.6381556598522</v>
      </c>
      <c r="AJ247" s="27" t="n">
        <f aca="false">VLOOKUP(B247,proft,3,0)</f>
        <v>1.51335370687329</v>
      </c>
      <c r="AK247" s="27" t="s">
        <v>63</v>
      </c>
      <c r="BA247" s="30" t="n">
        <v>19.2323</v>
      </c>
      <c r="BB247" s="30" t="n">
        <v>2.219</v>
      </c>
      <c r="BC247" s="30" t="n">
        <v>0.02256</v>
      </c>
      <c r="BD247" s="31" t="n">
        <v>19.2323</v>
      </c>
      <c r="BE247" s="31" t="n">
        <v>2.219</v>
      </c>
      <c r="BF247" s="31" t="n">
        <v>0.02256</v>
      </c>
      <c r="BG247" s="14" t="n">
        <f aca="false">10^6/((BA247+273.15)^2)</f>
        <v>11.6976290142019</v>
      </c>
      <c r="BH247" s="14" t="n">
        <f aca="false">BG247*(2*($BE247/($BD247+273.15)))</f>
        <v>0.177555472971613</v>
      </c>
      <c r="BI247" s="14" t="n">
        <f aca="false">BG247*(2*($BF247/($BD247+273.15)))</f>
        <v>0.0018051606445424</v>
      </c>
      <c r="BK247" s="14" t="n">
        <f aca="false">10^6/((AG247+273.15)^2)</f>
        <v>11.4676588455115</v>
      </c>
      <c r="BL247" s="14" t="n">
        <f aca="false">BK247*(2*($AH247/($AG247+273.15)))</f>
        <v>0.129613058864051</v>
      </c>
      <c r="BM247" s="14" t="n">
        <f aca="false">10^6/((AI247+273.15)^2)</f>
        <v>11.7453153638813</v>
      </c>
      <c r="BN247" s="14" t="n">
        <f aca="false">BM247*(2*($AJ247/($AI247+273.15)))</f>
        <v>0.121833708459683</v>
      </c>
    </row>
    <row r="248" s="14" customFormat="true" ht="16" hidden="false" customHeight="false" outlineLevel="0" collapsed="false">
      <c r="A248" s="22" t="s">
        <v>51</v>
      </c>
      <c r="B248" s="36" t="s">
        <v>709</v>
      </c>
      <c r="C248" s="14" t="s">
        <v>671</v>
      </c>
      <c r="D248" s="36" t="s">
        <v>709</v>
      </c>
      <c r="E248" s="34" t="s">
        <v>689</v>
      </c>
      <c r="F248" s="22" t="n">
        <v>28.84</v>
      </c>
      <c r="G248" s="22" t="n">
        <v>-86.67</v>
      </c>
      <c r="H248" s="22" t="s">
        <v>158</v>
      </c>
      <c r="I248" s="22" t="s">
        <v>159</v>
      </c>
      <c r="J248" s="22" t="n">
        <v>4076</v>
      </c>
      <c r="K248" s="35" t="s">
        <v>51</v>
      </c>
      <c r="L248" s="22" t="s">
        <v>58</v>
      </c>
      <c r="M248" s="22" t="s">
        <v>59</v>
      </c>
      <c r="N248" s="22" t="s">
        <v>60</v>
      </c>
      <c r="O248" s="22" t="s">
        <v>61</v>
      </c>
      <c r="P248" s="22" t="s">
        <v>61</v>
      </c>
      <c r="Q248" s="22" t="n">
        <v>3</v>
      </c>
      <c r="R248" s="35" t="s">
        <v>62</v>
      </c>
      <c r="S248" s="25" t="n">
        <v>36.3223529411765</v>
      </c>
      <c r="T248" s="22" t="n">
        <v>47.2254238410596</v>
      </c>
      <c r="U248" s="36" t="n">
        <v>8</v>
      </c>
      <c r="V248" s="48" t="n">
        <v>1.792625</v>
      </c>
      <c r="W248" s="48" t="n">
        <v>0.0612184320982776</v>
      </c>
      <c r="X248" s="48" t="n">
        <v>0.0216439842351502</v>
      </c>
      <c r="Y248" s="48" t="n">
        <v>-0.005625</v>
      </c>
      <c r="Z248" s="48" t="n">
        <v>0.161162684000626</v>
      </c>
      <c r="AA248" s="48" t="n">
        <v>0.0569796133655338</v>
      </c>
      <c r="AB248" s="27" t="n">
        <v>0.89004892</v>
      </c>
      <c r="AC248" s="27" t="n">
        <v>0.210151476152134</v>
      </c>
      <c r="AD248" s="27" t="n">
        <v>0.202071097848713</v>
      </c>
      <c r="AE248" s="55" t="n">
        <v>0.6093</v>
      </c>
      <c r="AF248" s="55" t="n">
        <v>0.0054</v>
      </c>
      <c r="AG248" s="29" t="n">
        <v>23.9880253286923</v>
      </c>
      <c r="AH248" s="27" t="n">
        <v>0.895109418414241</v>
      </c>
      <c r="AI248" s="27" t="n">
        <f aca="false">VLOOKUP(B248,proft,2,0)</f>
        <v>19.3876603800293</v>
      </c>
      <c r="AJ248" s="27" t="n">
        <f aca="false">VLOOKUP(B248,proft,3,0)</f>
        <v>0.814079811332241</v>
      </c>
      <c r="AK248" s="27" t="s">
        <v>63</v>
      </c>
      <c r="BA248" s="30" t="n">
        <v>19.6698</v>
      </c>
      <c r="BB248" s="30" t="n">
        <v>2.266</v>
      </c>
      <c r="BC248" s="30" t="n">
        <v>0.02266</v>
      </c>
      <c r="BD248" s="31" t="n">
        <v>19.6698</v>
      </c>
      <c r="BE248" s="31" t="n">
        <v>2.266</v>
      </c>
      <c r="BF248" s="31" t="n">
        <v>0.02266</v>
      </c>
      <c r="BG248" s="14" t="n">
        <f aca="false">10^6/((BA248+273.15)^2)</f>
        <v>11.6627004368005</v>
      </c>
      <c r="BH248" s="14" t="n">
        <f aca="false">BG248*(2*($BE248/($BD248+273.15)))</f>
        <v>0.180504728094139</v>
      </c>
      <c r="BI248" s="14" t="n">
        <f aca="false">BG248*(2*($BF248/($BD248+273.15)))</f>
        <v>0.00180504728094139</v>
      </c>
      <c r="BK248" s="14" t="n">
        <f aca="false">10^6/((AG248+273.15)^2)</f>
        <v>11.3261819545926</v>
      </c>
      <c r="BL248" s="14" t="n">
        <f aca="false">BK248*(2*($AH248/($AG248+273.15)))</f>
        <v>0.068238806736462</v>
      </c>
      <c r="BM248" s="14" t="n">
        <f aca="false">10^6/((AI248+273.15)^2)</f>
        <v>11.685207601453</v>
      </c>
      <c r="BN248" s="14" t="n">
        <f aca="false">BM248*(2*($AJ248/($AI248+273.15)))</f>
        <v>0.0650356715590818</v>
      </c>
    </row>
    <row r="249" s="14" customFormat="true" ht="16" hidden="false" customHeight="false" outlineLevel="0" collapsed="false">
      <c r="A249" s="22" t="s">
        <v>51</v>
      </c>
      <c r="B249" s="36" t="s">
        <v>710</v>
      </c>
      <c r="C249" s="14" t="s">
        <v>671</v>
      </c>
      <c r="D249" s="36" t="s">
        <v>710</v>
      </c>
      <c r="E249" s="34" t="s">
        <v>707</v>
      </c>
      <c r="F249" s="22" t="n">
        <v>19.73</v>
      </c>
      <c r="G249" s="22" t="n">
        <v>114.61</v>
      </c>
      <c r="H249" s="22" t="s">
        <v>56</v>
      </c>
      <c r="I249" s="22" t="s">
        <v>617</v>
      </c>
      <c r="J249" s="22" t="n">
        <v>3630</v>
      </c>
      <c r="K249" s="35" t="s">
        <v>51</v>
      </c>
      <c r="L249" s="22" t="s">
        <v>58</v>
      </c>
      <c r="M249" s="22" t="s">
        <v>59</v>
      </c>
      <c r="N249" s="22" t="s">
        <v>60</v>
      </c>
      <c r="O249" s="22" t="s">
        <v>61</v>
      </c>
      <c r="P249" s="22" t="s">
        <v>61</v>
      </c>
      <c r="Q249" s="22" t="n">
        <v>3</v>
      </c>
      <c r="R249" s="35" t="s">
        <v>62</v>
      </c>
      <c r="S249" s="25" t="n">
        <v>34.2477058823529</v>
      </c>
      <c r="T249" s="22" t="n">
        <v>47.2254238410596</v>
      </c>
      <c r="U249" s="36" t="n">
        <v>7</v>
      </c>
      <c r="V249" s="48" t="n">
        <v>1.62685714285714</v>
      </c>
      <c r="W249" s="48" t="n">
        <v>0.0353432151500519</v>
      </c>
      <c r="X249" s="48" t="n">
        <v>0.0133584796886411</v>
      </c>
      <c r="Y249" s="48" t="n">
        <v>-0.397857142857143</v>
      </c>
      <c r="Z249" s="48" t="n">
        <v>0.0980296359465314</v>
      </c>
      <c r="AA249" s="48" t="n">
        <v>0.0370517196898171</v>
      </c>
      <c r="AB249" s="27" t="n">
        <v>0.1421628098</v>
      </c>
      <c r="AC249" s="27" t="n">
        <v>0.262446658229736</v>
      </c>
      <c r="AD249" s="27" t="n">
        <v>0.213952447247493</v>
      </c>
      <c r="AE249" s="55" t="n">
        <v>0.6177</v>
      </c>
      <c r="AF249" s="55" t="n">
        <v>0.0058</v>
      </c>
      <c r="AG249" s="29" t="n">
        <v>23.1979991688448</v>
      </c>
      <c r="AH249" s="27" t="n">
        <v>1.93448333945117</v>
      </c>
      <c r="AI249" s="27" t="n">
        <f aca="false">VLOOKUP(B249,proft,2,0)</f>
        <v>16.766925218273</v>
      </c>
      <c r="AJ249" s="27" t="n">
        <f aca="false">VLOOKUP(B249,proft,3,0)</f>
        <v>0.165232466624372</v>
      </c>
      <c r="AK249" s="27" t="s">
        <v>63</v>
      </c>
      <c r="BA249" s="30" t="n">
        <v>18.3006</v>
      </c>
      <c r="BB249" s="30" t="n">
        <v>2.227</v>
      </c>
      <c r="BC249" s="30" t="n">
        <v>0.02227</v>
      </c>
      <c r="BD249" s="31" t="n">
        <v>18.3006</v>
      </c>
      <c r="BE249" s="31" t="n">
        <v>2.227</v>
      </c>
      <c r="BF249" s="31" t="n">
        <v>0.02227</v>
      </c>
      <c r="BG249" s="14" t="n">
        <f aca="false">10^6/((BA249+273.15)^2)</f>
        <v>11.7725377721917</v>
      </c>
      <c r="BH249" s="14" t="n">
        <f aca="false">BG249*(2*($BE249/($BD249+273.15)))</f>
        <v>0.17991001987075</v>
      </c>
      <c r="BI249" s="14" t="n">
        <f aca="false">BG249*(2*($BF249/($BD249+273.15)))</f>
        <v>0.0017991001987075</v>
      </c>
      <c r="BK249" s="14" t="n">
        <f aca="false">10^6/((AG249+273.15)^2)</f>
        <v>11.3866507760464</v>
      </c>
      <c r="BL249" s="14" t="n">
        <f aca="false">BK249*(2*($AH249/($AG249+273.15)))</f>
        <v>0.148658241528133</v>
      </c>
      <c r="BM249" s="14" t="n">
        <f aca="false">10^6/((AI249+273.15)^2)</f>
        <v>11.8974218288871</v>
      </c>
      <c r="BN249" s="14" t="n">
        <f aca="false">BM249*(2*($AJ249/($AI249+273.15)))</f>
        <v>0.0135614045559955</v>
      </c>
    </row>
    <row r="250" s="14" customFormat="true" ht="16" hidden="false" customHeight="false" outlineLevel="0" collapsed="false">
      <c r="A250" s="22" t="s">
        <v>542</v>
      </c>
      <c r="B250" s="36" t="s">
        <v>711</v>
      </c>
      <c r="C250" s="14" t="s">
        <v>671</v>
      </c>
      <c r="D250" s="36" t="s">
        <v>711</v>
      </c>
      <c r="E250" s="34" t="s">
        <v>691</v>
      </c>
      <c r="F250" s="22" t="n">
        <v>37.86</v>
      </c>
      <c r="G250" s="22" t="n">
        <v>-30.3</v>
      </c>
      <c r="H250" s="22" t="s">
        <v>78</v>
      </c>
      <c r="I250" s="22" t="s">
        <v>605</v>
      </c>
      <c r="J250" s="22" t="n">
        <v>2036</v>
      </c>
      <c r="K250" s="35" t="s">
        <v>542</v>
      </c>
      <c r="L250" s="22" t="s">
        <v>58</v>
      </c>
      <c r="M250" s="22" t="s">
        <v>546</v>
      </c>
      <c r="N250" s="22" t="s">
        <v>547</v>
      </c>
      <c r="O250" s="22" t="s">
        <v>485</v>
      </c>
      <c r="P250" s="22" t="s">
        <v>61</v>
      </c>
      <c r="Q250" s="22" t="n">
        <v>3</v>
      </c>
      <c r="R250" s="35" t="s">
        <v>83</v>
      </c>
      <c r="S250" s="25" t="n">
        <v>35.7491538461538</v>
      </c>
      <c r="T250" s="22" t="n">
        <v>46.7000857142857</v>
      </c>
      <c r="U250" s="36" t="n">
        <v>16</v>
      </c>
      <c r="V250" s="48" t="n">
        <v>0.9530625</v>
      </c>
      <c r="W250" s="48" t="n">
        <v>0.0567491189358919</v>
      </c>
      <c r="X250" s="48" t="n">
        <v>0.014187279733973</v>
      </c>
      <c r="Y250" s="48" t="n">
        <v>1.016375</v>
      </c>
      <c r="Z250" s="48" t="n">
        <v>0.0911634978120812</v>
      </c>
      <c r="AA250" s="48" t="n">
        <v>0.0227908744530203</v>
      </c>
      <c r="AB250" s="27" t="n">
        <v>0.702278818</v>
      </c>
      <c r="AC250" s="27" t="n">
        <v>0.220904230077998</v>
      </c>
      <c r="AD250" s="27" t="n">
        <v>0.204351989893102</v>
      </c>
      <c r="AE250" s="55" t="n">
        <v>0.6299</v>
      </c>
      <c r="AF250" s="55" t="n">
        <v>0.0041</v>
      </c>
      <c r="AG250" s="29" t="n">
        <v>13.2224457080548</v>
      </c>
      <c r="AH250" s="27" t="n">
        <v>0.976959504030841</v>
      </c>
      <c r="AI250" s="27" t="n">
        <f aca="false">VLOOKUP(B250,proft,2,0)</f>
        <v>13.2296699793709</v>
      </c>
      <c r="AJ250" s="27" t="n">
        <f aca="false">VLOOKUP(B250,proft,3,0)</f>
        <v>0.704838731943063</v>
      </c>
      <c r="AK250" s="27" t="s">
        <v>63</v>
      </c>
      <c r="BA250" s="30" t="n">
        <v>14.9812</v>
      </c>
      <c r="BB250" s="30" t="n">
        <v>2.238</v>
      </c>
      <c r="BC250" s="30" t="n">
        <v>0.02238</v>
      </c>
      <c r="BD250" s="31" t="n">
        <v>14.9812</v>
      </c>
      <c r="BE250" s="31" t="n">
        <v>2.238</v>
      </c>
      <c r="BF250" s="31" t="n">
        <v>0.02238</v>
      </c>
      <c r="BG250" s="14" t="n">
        <f aca="false">10^6/((BA250+273.15)^2)</f>
        <v>12.045350008482</v>
      </c>
      <c r="BH250" s="14" t="n">
        <f aca="false">BG250*(2*($BE250/($BD250+273.15)))</f>
        <v>0.187119571354874</v>
      </c>
      <c r="BI250" s="14" t="n">
        <f aca="false">BG250*(2*($BF250/($BD250+273.15)))</f>
        <v>0.00187119571354874</v>
      </c>
      <c r="BK250" s="14" t="n">
        <f aca="false">10^6/((AG250+273.15)^2)</f>
        <v>12.1937571930786</v>
      </c>
      <c r="BL250" s="14" t="n">
        <f aca="false">BK250*(2*($AH250/($AG250+273.15)))</f>
        <v>0.0831979972805571</v>
      </c>
      <c r="BM250" s="14" t="n">
        <f aca="false">10^6/((AI250+273.15)^2)</f>
        <v>12.1931419964815</v>
      </c>
      <c r="BN250" s="14" t="n">
        <f aca="false">BM250*(2*($AJ250/($AI250+273.15)))</f>
        <v>0.0600196148268544</v>
      </c>
    </row>
    <row r="251" s="14" customFormat="true" ht="16" hidden="false" customHeight="false" outlineLevel="0" collapsed="false">
      <c r="A251" s="22" t="s">
        <v>542</v>
      </c>
      <c r="B251" s="36" t="s">
        <v>711</v>
      </c>
      <c r="C251" s="14" t="s">
        <v>671</v>
      </c>
      <c r="D251" s="36" t="s">
        <v>711</v>
      </c>
      <c r="E251" s="34" t="s">
        <v>691</v>
      </c>
      <c r="F251" s="22" t="n">
        <v>37.86</v>
      </c>
      <c r="G251" s="22" t="n">
        <v>-30.3</v>
      </c>
      <c r="H251" s="22" t="s">
        <v>78</v>
      </c>
      <c r="I251" s="22" t="s">
        <v>605</v>
      </c>
      <c r="J251" s="22" t="n">
        <v>2036</v>
      </c>
      <c r="K251" s="35" t="s">
        <v>542</v>
      </c>
      <c r="L251" s="22" t="s">
        <v>58</v>
      </c>
      <c r="M251" s="22" t="s">
        <v>546</v>
      </c>
      <c r="N251" s="22" t="s">
        <v>547</v>
      </c>
      <c r="O251" s="22" t="s">
        <v>485</v>
      </c>
      <c r="P251" s="22" t="s">
        <v>61</v>
      </c>
      <c r="Q251" s="22" t="n">
        <v>3</v>
      </c>
      <c r="R251" s="35" t="s">
        <v>83</v>
      </c>
      <c r="S251" s="25" t="n">
        <v>35.7491538461538</v>
      </c>
      <c r="T251" s="22" t="n">
        <v>46.7000857142857</v>
      </c>
      <c r="U251" s="36" t="n">
        <v>12</v>
      </c>
      <c r="V251" s="48" t="n">
        <v>1.02825</v>
      </c>
      <c r="W251" s="48" t="n">
        <v>0.104145985825841</v>
      </c>
      <c r="X251" s="48" t="n">
        <v>0.0300643564757842</v>
      </c>
      <c r="Y251" s="48" t="n">
        <v>1.0465</v>
      </c>
      <c r="Z251" s="48" t="n">
        <v>0.0854458893101359</v>
      </c>
      <c r="AA251" s="48" t="n">
        <v>0.024666103597177</v>
      </c>
      <c r="AB251" s="27" t="n">
        <v>0.702278818</v>
      </c>
      <c r="AC251" s="27" t="n">
        <v>0.220904230077998</v>
      </c>
      <c r="AD251" s="27" t="n">
        <v>0.204351989893102</v>
      </c>
      <c r="AE251" s="55" t="n">
        <v>0.6355</v>
      </c>
      <c r="AF251" s="55" t="n">
        <v>0.0046</v>
      </c>
      <c r="AG251" s="29" t="n">
        <v>13.2224457080548</v>
      </c>
      <c r="AH251" s="27" t="n">
        <v>0.976959504030841</v>
      </c>
      <c r="AI251" s="27" t="n">
        <f aca="false">VLOOKUP(B251,proft,2,0)</f>
        <v>13.2296699793709</v>
      </c>
      <c r="AJ251" s="27" t="n">
        <f aca="false">VLOOKUP(B251,proft,3,0)</f>
        <v>0.704838731943063</v>
      </c>
      <c r="AK251" s="27" t="s">
        <v>63</v>
      </c>
      <c r="BA251" s="30" t="n">
        <v>14.9812</v>
      </c>
      <c r="BB251" s="30" t="n">
        <v>2.238</v>
      </c>
      <c r="BC251" s="30" t="n">
        <v>0.02238</v>
      </c>
      <c r="BD251" s="31" t="n">
        <v>14.9812</v>
      </c>
      <c r="BE251" s="31" t="n">
        <v>2.238</v>
      </c>
      <c r="BF251" s="31" t="n">
        <v>0.02238</v>
      </c>
      <c r="BG251" s="14" t="n">
        <f aca="false">10^6/((BA251+273.15)^2)</f>
        <v>12.045350008482</v>
      </c>
      <c r="BH251" s="14" t="n">
        <f aca="false">BG251*(2*($BE251/($BD251+273.15)))</f>
        <v>0.187119571354874</v>
      </c>
      <c r="BI251" s="14" t="n">
        <f aca="false">BG251*(2*($BF251/($BD251+273.15)))</f>
        <v>0.00187119571354874</v>
      </c>
      <c r="BK251" s="14" t="n">
        <f aca="false">10^6/((AG251+273.15)^2)</f>
        <v>12.1937571930786</v>
      </c>
      <c r="BL251" s="14" t="n">
        <f aca="false">BK251*(2*($AH251/($AG251+273.15)))</f>
        <v>0.0831979972805571</v>
      </c>
      <c r="BM251" s="14" t="n">
        <f aca="false">10^6/((AI251+273.15)^2)</f>
        <v>12.1931419964815</v>
      </c>
      <c r="BN251" s="14" t="n">
        <f aca="false">BM251*(2*($AJ251/($AI251+273.15)))</f>
        <v>0.0600196148268544</v>
      </c>
    </row>
    <row r="252" s="14" customFormat="true" ht="16" hidden="false" customHeight="false" outlineLevel="0" collapsed="false">
      <c r="A252" s="22" t="s">
        <v>372</v>
      </c>
      <c r="B252" s="36" t="s">
        <v>712</v>
      </c>
      <c r="C252" s="14" t="s">
        <v>713</v>
      </c>
      <c r="D252" s="36" t="s">
        <v>712</v>
      </c>
      <c r="E252" s="34" t="s">
        <v>714</v>
      </c>
      <c r="F252" s="22" t="n">
        <v>24.37</v>
      </c>
      <c r="G252" s="22" t="n">
        <v>-83.24</v>
      </c>
      <c r="H252" s="22" t="s">
        <v>78</v>
      </c>
      <c r="I252" s="22" t="s">
        <v>715</v>
      </c>
      <c r="J252" s="22" t="n">
        <v>348</v>
      </c>
      <c r="K252" s="65" t="s">
        <v>372</v>
      </c>
      <c r="L252" s="22" t="s">
        <v>372</v>
      </c>
      <c r="M252" s="22"/>
      <c r="N252" s="22" t="n">
        <v>348</v>
      </c>
      <c r="O252" s="22" t="s">
        <v>375</v>
      </c>
      <c r="P252" s="22" t="s">
        <v>375</v>
      </c>
      <c r="Q252" s="22" t="n">
        <v>6</v>
      </c>
      <c r="R252" s="65" t="s">
        <v>83</v>
      </c>
      <c r="S252" s="25" t="n">
        <v>35.6405</v>
      </c>
      <c r="T252" s="22" t="n">
        <v>71.096384</v>
      </c>
      <c r="U252" s="36" t="n">
        <v>106</v>
      </c>
      <c r="V252" s="48" t="n">
        <v>0.49622641509434</v>
      </c>
      <c r="W252" s="48" t="n">
        <v>0.725264421836141</v>
      </c>
      <c r="X252" s="48" t="n">
        <v>0.0704439079400159</v>
      </c>
      <c r="Y252" s="48" t="n">
        <v>1.83028301886792</v>
      </c>
      <c r="Z252" s="48" t="n">
        <v>0.720288907046097</v>
      </c>
      <c r="AA252" s="48" t="n">
        <v>0.069960643222664</v>
      </c>
      <c r="AB252" s="27" t="n">
        <v>0.7375307288</v>
      </c>
      <c r="AC252" s="27" t="n">
        <v>0.2</v>
      </c>
      <c r="AD252" s="27" t="n">
        <v>0.2</v>
      </c>
      <c r="AE252" s="55" t="n">
        <v>0.655735849056604</v>
      </c>
      <c r="AF252" s="55" t="n">
        <v>0.00359140187878623</v>
      </c>
      <c r="AG252" s="29" t="n">
        <v>9.7</v>
      </c>
      <c r="AH252" s="27" t="n">
        <v>0.0743986049334386</v>
      </c>
      <c r="AI252" s="44" t="n">
        <v>9.7</v>
      </c>
      <c r="AJ252" s="44" t="n">
        <v>0.0743986049334386</v>
      </c>
      <c r="AK252" s="27" t="s">
        <v>63</v>
      </c>
      <c r="AL252" s="14" t="n">
        <v>10.9093715365859</v>
      </c>
      <c r="AM252" s="66"/>
      <c r="AN252" s="66"/>
      <c r="AO252" s="66"/>
      <c r="AP252" s="66"/>
      <c r="AQ252" s="66"/>
      <c r="AR252" s="66"/>
      <c r="AS252" s="66" t="n">
        <v>2.13009447896276</v>
      </c>
      <c r="AT252" s="66"/>
      <c r="AU252" s="66"/>
      <c r="AV252" s="66"/>
      <c r="AW252" s="66"/>
      <c r="AX252" s="66"/>
      <c r="AY252" s="66"/>
      <c r="AZ252" s="66" t="n">
        <v>0.753102125321295</v>
      </c>
      <c r="BD252" s="31" t="n">
        <f aca="false">AL252</f>
        <v>10.9093715365859</v>
      </c>
      <c r="BE252" s="31" t="n">
        <f aca="false">AS252</f>
        <v>2.13009447896276</v>
      </c>
      <c r="BF252" s="31" t="n">
        <f aca="false">AZ252</f>
        <v>0.753102125321295</v>
      </c>
      <c r="BG252" s="14" t="n">
        <f aca="false">10^6/((BD252+273.15)^2)</f>
        <v>12.3931514290629</v>
      </c>
      <c r="BH252" s="14" t="n">
        <f aca="false">BG252*(2*($BE252/($BD252+273.15)))</f>
        <v>0.18586666085471</v>
      </c>
      <c r="BI252" s="14" t="n">
        <f aca="false">BG252*(2*($BF252/($BD252+273.15)))</f>
        <v>0.0657137881434327</v>
      </c>
      <c r="BK252" s="14" t="n">
        <f aca="false">10^6/((AG252+273.15)^2)</f>
        <v>12.4993558925667</v>
      </c>
      <c r="BL252" s="14" t="n">
        <f aca="false">BK252*(2*($AH252/($AG252+273.15)))</f>
        <v>0.00657546148823415</v>
      </c>
      <c r="BM252" s="14" t="n">
        <f aca="false">10^6/((AI252+273.15)^2)</f>
        <v>12.4993558925667</v>
      </c>
      <c r="BN252" s="14" t="n">
        <f aca="false">BM252*(2*($AJ252/($AI252+273.15)))</f>
        <v>0.00657546148823415</v>
      </c>
    </row>
    <row r="253" s="14" customFormat="true" ht="16" hidden="false" customHeight="false" outlineLevel="0" collapsed="false">
      <c r="A253" s="22" t="s">
        <v>372</v>
      </c>
      <c r="B253" s="36" t="s">
        <v>716</v>
      </c>
      <c r="C253" s="14" t="s">
        <v>713</v>
      </c>
      <c r="D253" s="36" t="s">
        <v>716</v>
      </c>
      <c r="E253" s="34" t="s">
        <v>717</v>
      </c>
      <c r="F253" s="22" t="n">
        <v>24.42</v>
      </c>
      <c r="G253" s="22" t="n">
        <v>-83.21</v>
      </c>
      <c r="H253" s="22" t="s">
        <v>78</v>
      </c>
      <c r="I253" s="22" t="s">
        <v>715</v>
      </c>
      <c r="J253" s="22" t="n">
        <v>173</v>
      </c>
      <c r="K253" s="65" t="s">
        <v>372</v>
      </c>
      <c r="L253" s="22" t="s">
        <v>372</v>
      </c>
      <c r="M253" s="22"/>
      <c r="N253" s="22" t="n">
        <v>173</v>
      </c>
      <c r="O253" s="22" t="s">
        <v>375</v>
      </c>
      <c r="P253" s="22" t="s">
        <v>375</v>
      </c>
      <c r="Q253" s="22" t="n">
        <v>6</v>
      </c>
      <c r="R253" s="65" t="s">
        <v>83</v>
      </c>
      <c r="S253" s="25" t="n">
        <v>36.468</v>
      </c>
      <c r="T253" s="22" t="n">
        <v>117.586549019608</v>
      </c>
      <c r="U253" s="36" t="n">
        <v>47</v>
      </c>
      <c r="V253" s="48" t="n">
        <v>0.0968085106382979</v>
      </c>
      <c r="W253" s="48" t="n">
        <v>0.592493281499163</v>
      </c>
      <c r="X253" s="48" t="n">
        <v>0.0864240274684351</v>
      </c>
      <c r="Y253" s="48" t="n">
        <v>0.449787234042553</v>
      </c>
      <c r="Z253" s="48" t="n">
        <v>0.653976097694118</v>
      </c>
      <c r="AA253" s="48" t="n">
        <v>0.0953922179299788</v>
      </c>
      <c r="AB253" s="27" t="n">
        <v>1.0037273154</v>
      </c>
      <c r="AC253" s="27" t="n">
        <v>0.2</v>
      </c>
      <c r="AD253" s="27" t="n">
        <v>0.2</v>
      </c>
      <c r="AE253" s="55" t="n">
        <v>0.639957446808511</v>
      </c>
      <c r="AF253" s="55" t="n">
        <v>0.00494651854759775</v>
      </c>
      <c r="AG253" s="29" t="n">
        <v>12.7</v>
      </c>
      <c r="AH253" s="27" t="n">
        <v>0.0743986049334386</v>
      </c>
      <c r="AI253" s="44" t="n">
        <v>12.7</v>
      </c>
      <c r="AJ253" s="44" t="n">
        <v>0.0743986049334386</v>
      </c>
      <c r="AK253" s="27" t="s">
        <v>63</v>
      </c>
      <c r="AL253" s="14" t="n">
        <v>15.8463429992216</v>
      </c>
      <c r="AM253" s="66"/>
      <c r="AN253" s="66"/>
      <c r="AO253" s="66"/>
      <c r="AP253" s="66"/>
      <c r="AQ253" s="66"/>
      <c r="AR253" s="66"/>
      <c r="AS253" s="66" t="n">
        <v>3.31156718537132</v>
      </c>
      <c r="AT253" s="66"/>
      <c r="AU253" s="66"/>
      <c r="AV253" s="66"/>
      <c r="AW253" s="66"/>
      <c r="AX253" s="66"/>
      <c r="AY253" s="66"/>
      <c r="AZ253" s="66" t="n">
        <v>1.48097786770958</v>
      </c>
      <c r="BD253" s="31" t="n">
        <f aca="false">AL253</f>
        <v>15.8463429992216</v>
      </c>
      <c r="BE253" s="31" t="n">
        <f aca="false">AS253</f>
        <v>3.31156718537132</v>
      </c>
      <c r="BF253" s="31" t="n">
        <f aca="false">AZ253</f>
        <v>1.48097786770958</v>
      </c>
      <c r="BG253" s="14" t="n">
        <f aca="false">10^6/((BD253+273.15)^2)</f>
        <v>11.9733397402359</v>
      </c>
      <c r="BH253" s="14" t="n">
        <f aca="false">BG253*(2*($BE253/($BD253+273.15)))</f>
        <v>0.274401527518114</v>
      </c>
      <c r="BI253" s="14" t="n">
        <f aca="false">BG253*(2*($BF253/($BD253+273.15)))</f>
        <v>0.122716093732056</v>
      </c>
      <c r="BK253" s="14" t="n">
        <f aca="false">10^6/((AG253+273.15)^2)</f>
        <v>12.2383707864704</v>
      </c>
      <c r="BL253" s="14" t="n">
        <f aca="false">BK253*(2*($AH253/($AG253+273.15)))</f>
        <v>0.00637059795817073</v>
      </c>
      <c r="BM253" s="14" t="n">
        <f aca="false">10^6/((AI253+273.15)^2)</f>
        <v>12.2383707864704</v>
      </c>
      <c r="BN253" s="14" t="n">
        <f aca="false">BM253*(2*($AJ253/($AI253+273.15)))</f>
        <v>0.00637059795817073</v>
      </c>
    </row>
    <row r="254" s="14" customFormat="true" ht="16" hidden="false" customHeight="false" outlineLevel="0" collapsed="false">
      <c r="A254" s="22" t="s">
        <v>372</v>
      </c>
      <c r="B254" s="36" t="s">
        <v>718</v>
      </c>
      <c r="C254" s="14" t="s">
        <v>713</v>
      </c>
      <c r="D254" s="36" t="s">
        <v>718</v>
      </c>
      <c r="E254" s="34" t="s">
        <v>719</v>
      </c>
      <c r="F254" s="22" t="n">
        <v>24.42</v>
      </c>
      <c r="G254" s="22" t="n">
        <v>-83.22</v>
      </c>
      <c r="H254" s="22" t="s">
        <v>78</v>
      </c>
      <c r="I254" s="22" t="s">
        <v>715</v>
      </c>
      <c r="J254" s="22" t="n">
        <v>198</v>
      </c>
      <c r="K254" s="65" t="s">
        <v>372</v>
      </c>
      <c r="L254" s="22" t="s">
        <v>372</v>
      </c>
      <c r="M254" s="22"/>
      <c r="N254" s="22" t="n">
        <v>198</v>
      </c>
      <c r="O254" s="22" t="s">
        <v>375</v>
      </c>
      <c r="P254" s="22" t="s">
        <v>375</v>
      </c>
      <c r="Q254" s="22" t="n">
        <v>6</v>
      </c>
      <c r="R254" s="65" t="s">
        <v>83</v>
      </c>
      <c r="S254" s="25" t="n">
        <v>36.372</v>
      </c>
      <c r="T254" s="22" t="n">
        <v>108.211058823529</v>
      </c>
      <c r="U254" s="36" t="n">
        <v>47</v>
      </c>
      <c r="V254" s="48" t="n">
        <v>0.326382978723404</v>
      </c>
      <c r="W254" s="48" t="n">
        <v>0.561815479270068</v>
      </c>
      <c r="X254" s="48" t="n">
        <v>0.081949210107114</v>
      </c>
      <c r="Y254" s="48" t="n">
        <v>1.21468085106383</v>
      </c>
      <c r="Z254" s="48" t="n">
        <v>0.104939963453847</v>
      </c>
      <c r="AA254" s="48" t="n">
        <v>0.0153070668769848</v>
      </c>
      <c r="AB254" s="27" t="n">
        <v>0.9915083104</v>
      </c>
      <c r="AC254" s="27" t="n">
        <v>0.2</v>
      </c>
      <c r="AD254" s="27" t="n">
        <v>0.2</v>
      </c>
      <c r="AE254" s="55" t="n">
        <v>0.652127659574468</v>
      </c>
      <c r="AF254" s="55" t="n">
        <v>0.00450466065783584</v>
      </c>
      <c r="AG254" s="29" t="n">
        <v>12.1</v>
      </c>
      <c r="AH254" s="27" t="n">
        <v>0.0743986049334386</v>
      </c>
      <c r="AI254" s="44" t="n">
        <v>12.1</v>
      </c>
      <c r="AJ254" s="44" t="n">
        <v>0.0743986049334386</v>
      </c>
      <c r="AK254" s="27" t="s">
        <v>63</v>
      </c>
      <c r="AL254" s="14" t="n">
        <v>13.3252879326819</v>
      </c>
      <c r="AM254" s="66"/>
      <c r="AN254" s="66"/>
      <c r="AO254" s="66"/>
      <c r="AP254" s="66"/>
      <c r="AQ254" s="66"/>
      <c r="AR254" s="66"/>
      <c r="AS254" s="66" t="n">
        <v>0.630851365814428</v>
      </c>
      <c r="AT254" s="66"/>
      <c r="AU254" s="66"/>
      <c r="AV254" s="66"/>
      <c r="AW254" s="66"/>
      <c r="AX254" s="66"/>
      <c r="AY254" s="66"/>
      <c r="AZ254" s="66" t="n">
        <v>0.364222205871603</v>
      </c>
      <c r="BD254" s="31" t="n">
        <f aca="false">AL254</f>
        <v>13.3252879326819</v>
      </c>
      <c r="BE254" s="31" t="n">
        <f aca="false">AS254</f>
        <v>0.630851365814428</v>
      </c>
      <c r="BF254" s="31" t="n">
        <f aca="false">AZ254</f>
        <v>0.364222205871603</v>
      </c>
      <c r="BG254" s="14" t="n">
        <f aca="false">10^6/((BD254+273.15)^2)</f>
        <v>12.1850038515136</v>
      </c>
      <c r="BH254" s="14" t="n">
        <f aca="false">BG254*(2*($BE254/($BD254+273.15)))</f>
        <v>0.0536655456577303</v>
      </c>
      <c r="BI254" s="14" t="n">
        <f aca="false">BG254*(2*($BF254/($BD254+273.15)))</f>
        <v>0.0309838172316987</v>
      </c>
      <c r="BK254" s="14" t="n">
        <f aca="false">10^6/((AG254+273.15)^2)</f>
        <v>12.2899097536564</v>
      </c>
      <c r="BL254" s="14" t="n">
        <f aca="false">BK254*(2*($AH254/($AG254+273.15)))</f>
        <v>0.00641088266734373</v>
      </c>
      <c r="BM254" s="14" t="n">
        <f aca="false">10^6/((AI254+273.15)^2)</f>
        <v>12.2899097536564</v>
      </c>
      <c r="BN254" s="14" t="n">
        <f aca="false">BM254*(2*($AJ254/($AI254+273.15)))</f>
        <v>0.00641088266734373</v>
      </c>
    </row>
    <row r="255" s="14" customFormat="true" ht="16" hidden="false" customHeight="false" outlineLevel="0" collapsed="false">
      <c r="A255" s="22" t="s">
        <v>372</v>
      </c>
      <c r="B255" s="36" t="s">
        <v>720</v>
      </c>
      <c r="C255" s="14" t="s">
        <v>713</v>
      </c>
      <c r="D255" s="36" t="s">
        <v>720</v>
      </c>
      <c r="E255" s="34" t="s">
        <v>721</v>
      </c>
      <c r="F255" s="22" t="n">
        <v>24.38</v>
      </c>
      <c r="G255" s="22" t="n">
        <v>-83.23</v>
      </c>
      <c r="H255" s="22" t="s">
        <v>78</v>
      </c>
      <c r="I255" s="22" t="s">
        <v>715</v>
      </c>
      <c r="J255" s="22" t="n">
        <v>302</v>
      </c>
      <c r="K255" s="65" t="s">
        <v>372</v>
      </c>
      <c r="L255" s="22" t="s">
        <v>372</v>
      </c>
      <c r="M255" s="22"/>
      <c r="N255" s="22" t="n">
        <v>302</v>
      </c>
      <c r="O255" s="22" t="s">
        <v>375</v>
      </c>
      <c r="P255" s="22" t="s">
        <v>375</v>
      </c>
      <c r="Q255" s="22" t="n">
        <v>6</v>
      </c>
      <c r="R255" s="65" t="s">
        <v>83</v>
      </c>
      <c r="S255" s="25" t="n">
        <v>35.7465</v>
      </c>
      <c r="T255" s="22" t="n">
        <v>77.053016</v>
      </c>
      <c r="U255" s="36" t="n">
        <v>88</v>
      </c>
      <c r="V255" s="48" t="n">
        <v>0.116136363636364</v>
      </c>
      <c r="W255" s="48" t="n">
        <v>0.454925614276176</v>
      </c>
      <c r="X255" s="48" t="n">
        <v>0.0484952334260984</v>
      </c>
      <c r="Y255" s="48" t="n">
        <v>1.67409090909091</v>
      </c>
      <c r="Z255" s="48" t="n">
        <v>0.450396087148525</v>
      </c>
      <c r="AA255" s="48" t="n">
        <v>0.0480123842119147</v>
      </c>
      <c r="AB255" s="27" t="n">
        <v>0.8285374462</v>
      </c>
      <c r="AC255" s="27" t="n">
        <v>0.2</v>
      </c>
      <c r="AD255" s="27" t="n">
        <v>0.2</v>
      </c>
      <c r="AE255" s="55" t="n">
        <v>0.658238636363636</v>
      </c>
      <c r="AF255" s="55" t="n">
        <v>0.00358444167635442</v>
      </c>
      <c r="AG255" s="29" t="n">
        <v>10</v>
      </c>
      <c r="AH255" s="27" t="n">
        <v>0.0743986049334386</v>
      </c>
      <c r="AI255" s="44" t="n">
        <v>10</v>
      </c>
      <c r="AJ255" s="44" t="n">
        <v>0.0743986049334386</v>
      </c>
      <c r="AK255" s="27" t="s">
        <v>63</v>
      </c>
      <c r="AL255" s="14" t="n">
        <v>10.3677026361444</v>
      </c>
      <c r="AM255" s="66"/>
      <c r="AN255" s="66"/>
      <c r="AO255" s="66"/>
      <c r="AP255" s="66"/>
      <c r="AQ255" s="66"/>
      <c r="AR255" s="66"/>
      <c r="AS255" s="66" t="n">
        <v>2.16250844512301</v>
      </c>
      <c r="AT255" s="66"/>
      <c r="AU255" s="66"/>
      <c r="AV255" s="66"/>
      <c r="AW255" s="66"/>
      <c r="AX255" s="66"/>
      <c r="AY255" s="66"/>
      <c r="AZ255" s="66" t="n">
        <v>1.08125422256151</v>
      </c>
      <c r="BD255" s="31" t="n">
        <f aca="false">AL255</f>
        <v>10.3677026361444</v>
      </c>
      <c r="BE255" s="31" t="n">
        <f aca="false">AS255</f>
        <v>2.16250844512301</v>
      </c>
      <c r="BF255" s="31" t="n">
        <f aca="false">AZ255</f>
        <v>1.08125422256151</v>
      </c>
      <c r="BG255" s="14" t="n">
        <f aca="false">10^6/((BD255+273.15)^2)</f>
        <v>12.4405516253989</v>
      </c>
      <c r="BH255" s="14" t="n">
        <f aca="false">BG255*(2*($BE255/($BD255+273.15)))</f>
        <v>0.189778611365513</v>
      </c>
      <c r="BI255" s="14" t="n">
        <f aca="false">BG255*(2*($BF255/($BD255+273.15)))</f>
        <v>0.0948893056827564</v>
      </c>
      <c r="BK255" s="14" t="n">
        <f aca="false">10^6/((AG255+273.15)^2)</f>
        <v>12.47288356136</v>
      </c>
      <c r="BL255" s="14" t="n">
        <f aca="false">BK255*(2*($AH255/($AG255+273.15)))</f>
        <v>0.00655458334071978</v>
      </c>
      <c r="BM255" s="14" t="n">
        <f aca="false">10^6/((AI255+273.15)^2)</f>
        <v>12.47288356136</v>
      </c>
      <c r="BN255" s="14" t="n">
        <f aca="false">BM255*(2*($AJ255/($AI255+273.15)))</f>
        <v>0.00655458334071978</v>
      </c>
    </row>
    <row r="256" s="14" customFormat="true" ht="16" hidden="false" customHeight="false" outlineLevel="0" collapsed="false">
      <c r="A256" s="22" t="s">
        <v>372</v>
      </c>
      <c r="B256" s="36" t="s">
        <v>722</v>
      </c>
      <c r="C256" s="14" t="s">
        <v>713</v>
      </c>
      <c r="D256" s="36" t="s">
        <v>722</v>
      </c>
      <c r="E256" s="34" t="s">
        <v>723</v>
      </c>
      <c r="F256" s="22" t="n">
        <v>24.56</v>
      </c>
      <c r="G256" s="22" t="n">
        <v>-79.24</v>
      </c>
      <c r="H256" s="22" t="s">
        <v>78</v>
      </c>
      <c r="I256" s="22" t="s">
        <v>715</v>
      </c>
      <c r="J256" s="22" t="n">
        <v>353</v>
      </c>
      <c r="K256" s="65" t="s">
        <v>372</v>
      </c>
      <c r="L256" s="22" t="s">
        <v>372</v>
      </c>
      <c r="M256" s="22"/>
      <c r="N256" s="22" t="n">
        <v>353</v>
      </c>
      <c r="O256" s="22" t="s">
        <v>375</v>
      </c>
      <c r="P256" s="22" t="s">
        <v>375</v>
      </c>
      <c r="Q256" s="22" t="n">
        <v>6</v>
      </c>
      <c r="R256" s="65" t="s">
        <v>83</v>
      </c>
      <c r="S256" s="25" t="n">
        <v>36.2015</v>
      </c>
      <c r="T256" s="22" t="n">
        <v>69.6634333333333</v>
      </c>
      <c r="U256" s="36" t="n">
        <v>38</v>
      </c>
      <c r="V256" s="48" t="n">
        <v>1.08421052631579</v>
      </c>
      <c r="W256" s="48" t="n">
        <v>0.582281772502716</v>
      </c>
      <c r="X256" s="48" t="n">
        <v>0.09445857663393</v>
      </c>
      <c r="Y256" s="48" t="n">
        <v>0.0642105263157894</v>
      </c>
      <c r="Z256" s="48" t="n">
        <v>1.19034092681398</v>
      </c>
      <c r="AA256" s="48" t="n">
        <v>0.193098796777873</v>
      </c>
      <c r="AB256" s="27" t="n">
        <v>0.8745524962</v>
      </c>
      <c r="AC256" s="27" t="n">
        <v>0.2</v>
      </c>
      <c r="AD256" s="27" t="n">
        <v>0.2</v>
      </c>
      <c r="AE256" s="55" t="n">
        <v>0.6245</v>
      </c>
      <c r="AF256" s="55" t="n">
        <v>0.00576529445901478</v>
      </c>
      <c r="AG256" s="29" t="n">
        <v>17.8</v>
      </c>
      <c r="AH256" s="27" t="n">
        <v>0.0897681552630204</v>
      </c>
      <c r="AI256" s="44" t="n">
        <v>17.8</v>
      </c>
      <c r="AJ256" s="44" t="n">
        <v>0.0897681552630204</v>
      </c>
      <c r="AK256" s="27" t="s">
        <v>63</v>
      </c>
      <c r="AL256" s="14" t="n">
        <v>18.3489215338683</v>
      </c>
      <c r="AM256" s="66"/>
      <c r="AN256" s="66"/>
      <c r="AO256" s="66"/>
      <c r="AP256" s="66"/>
      <c r="AQ256" s="66"/>
      <c r="AR256" s="66"/>
      <c r="AS256" s="66" t="n">
        <v>4.12863882036154</v>
      </c>
      <c r="AT256" s="66"/>
      <c r="AU256" s="66"/>
      <c r="AV256" s="66"/>
      <c r="AW256" s="66"/>
      <c r="AX256" s="66"/>
      <c r="AY256" s="66"/>
      <c r="AZ256" s="66" t="n">
        <v>2.06431941018077</v>
      </c>
      <c r="BD256" s="31" t="n">
        <f aca="false">AL256</f>
        <v>18.3489215338683</v>
      </c>
      <c r="BE256" s="31" t="n">
        <f aca="false">AS256</f>
        <v>4.12863882036154</v>
      </c>
      <c r="BF256" s="31" t="n">
        <f aca="false">AZ256</f>
        <v>2.06431941018077</v>
      </c>
      <c r="BG256" s="14" t="n">
        <f aca="false">10^6/((BD256+273.15)^2)</f>
        <v>11.7686350480967</v>
      </c>
      <c r="BH256" s="14" t="n">
        <f aca="false">BG256*(2*($BE256/($BD256+273.15)))</f>
        <v>0.333369628035445</v>
      </c>
      <c r="BI256" s="14" t="n">
        <f aca="false">BG256*(2*($BF256/($BD256+273.15)))</f>
        <v>0.166684814017723</v>
      </c>
      <c r="BK256" s="14" t="n">
        <f aca="false">10^6/((AG256+273.15)^2)</f>
        <v>11.8130835866329</v>
      </c>
      <c r="BL256" s="14" t="n">
        <f aca="false">BK256*(2*($AH256/($AG256+273.15)))</f>
        <v>0.00728949112589724</v>
      </c>
      <c r="BM256" s="14" t="n">
        <f aca="false">10^6/((AI256+273.15)^2)</f>
        <v>11.8130835866329</v>
      </c>
      <c r="BN256" s="14" t="n">
        <f aca="false">BM256*(2*($AJ256/($AI256+273.15)))</f>
        <v>0.00728949112589724</v>
      </c>
    </row>
    <row r="257" s="14" customFormat="true" ht="16" hidden="false" customHeight="false" outlineLevel="0" collapsed="false">
      <c r="A257" s="22" t="s">
        <v>372</v>
      </c>
      <c r="B257" s="36" t="s">
        <v>724</v>
      </c>
      <c r="C257" s="14" t="s">
        <v>713</v>
      </c>
      <c r="D257" s="36" t="s">
        <v>724</v>
      </c>
      <c r="E257" s="34" t="s">
        <v>725</v>
      </c>
      <c r="F257" s="22" t="n">
        <v>24.57</v>
      </c>
      <c r="G257" s="22" t="n">
        <v>-79.23</v>
      </c>
      <c r="H257" s="22" t="s">
        <v>78</v>
      </c>
      <c r="I257" s="22" t="s">
        <v>715</v>
      </c>
      <c r="J257" s="22" t="n">
        <v>259</v>
      </c>
      <c r="K257" s="65" t="s">
        <v>372</v>
      </c>
      <c r="L257" s="22" t="s">
        <v>372</v>
      </c>
      <c r="M257" s="22"/>
      <c r="N257" s="22" t="n">
        <v>259</v>
      </c>
      <c r="O257" s="22" t="s">
        <v>375</v>
      </c>
      <c r="P257" s="22" t="s">
        <v>375</v>
      </c>
      <c r="Q257" s="22" t="n">
        <v>6</v>
      </c>
      <c r="R257" s="65" t="s">
        <v>83</v>
      </c>
      <c r="S257" s="25" t="n">
        <v>36.5095</v>
      </c>
      <c r="T257" s="22" t="n">
        <v>113.757196078431</v>
      </c>
      <c r="U257" s="36" t="n">
        <v>59</v>
      </c>
      <c r="V257" s="48" t="n">
        <v>0.829830508474576</v>
      </c>
      <c r="W257" s="48" t="n">
        <v>0.650157783304266</v>
      </c>
      <c r="X257" s="48" t="n">
        <v>0.0846433337740889</v>
      </c>
      <c r="Y257" s="48" t="n">
        <v>-0.615762711864407</v>
      </c>
      <c r="Z257" s="48" t="n">
        <v>1.31558064195327</v>
      </c>
      <c r="AA257" s="48" t="n">
        <v>0.171274011083349</v>
      </c>
      <c r="AB257" s="27" t="n">
        <v>0.9947177906</v>
      </c>
      <c r="AC257" s="27" t="n">
        <v>0.2</v>
      </c>
      <c r="AD257" s="27" t="n">
        <v>0.2</v>
      </c>
      <c r="AE257" s="55" t="n">
        <v>0.613375</v>
      </c>
      <c r="AF257" s="55" t="n">
        <v>0.00384138001203024</v>
      </c>
      <c r="AG257" s="29" t="n">
        <v>18.5</v>
      </c>
      <c r="AH257" s="27" t="n">
        <v>0.0897681552630204</v>
      </c>
      <c r="AI257" s="44" t="n">
        <v>18.5</v>
      </c>
      <c r="AJ257" s="44" t="n">
        <v>0.0897681552630204</v>
      </c>
      <c r="AK257" s="27" t="s">
        <v>63</v>
      </c>
      <c r="AL257" s="14" t="n">
        <v>21.9183147445836</v>
      </c>
      <c r="AM257" s="66"/>
      <c r="AN257" s="66"/>
      <c r="AO257" s="66"/>
      <c r="AP257" s="66"/>
      <c r="AQ257" s="66"/>
      <c r="AR257" s="66"/>
      <c r="AS257" s="66" t="n">
        <v>4.0108727644833</v>
      </c>
      <c r="AT257" s="66"/>
      <c r="AU257" s="66"/>
      <c r="AV257" s="66"/>
      <c r="AW257" s="66"/>
      <c r="AX257" s="66"/>
      <c r="AY257" s="66"/>
      <c r="AZ257" s="66" t="n">
        <v>1.79371683009743</v>
      </c>
      <c r="BD257" s="31" t="n">
        <f aca="false">AL257</f>
        <v>21.9183147445836</v>
      </c>
      <c r="BE257" s="31" t="n">
        <f aca="false">AS257</f>
        <v>4.0108727644833</v>
      </c>
      <c r="BF257" s="31" t="n">
        <f aca="false">AZ257</f>
        <v>1.79371683009743</v>
      </c>
      <c r="BG257" s="14" t="n">
        <f aca="false">10^6/((BD257+273.15)^2)</f>
        <v>11.4856306810814</v>
      </c>
      <c r="BH257" s="14" t="n">
        <f aca="false">BG257*(2*($BE257/($BD257+273.15)))</f>
        <v>0.312249068976043</v>
      </c>
      <c r="BI257" s="14" t="n">
        <f aca="false">BG257*(2*($BF257/($BD257+273.15)))</f>
        <v>0.13964202882829</v>
      </c>
      <c r="BK257" s="14" t="n">
        <f aca="false">10^6/((AG257+273.15)^2)</f>
        <v>11.7564455962104</v>
      </c>
      <c r="BL257" s="14" t="n">
        <f aca="false">BK257*(2*($AH257/($AG257+273.15)))</f>
        <v>0.00723712966653087</v>
      </c>
      <c r="BM257" s="14" t="n">
        <f aca="false">10^6/((AI257+273.15)^2)</f>
        <v>11.7564455962104</v>
      </c>
      <c r="BN257" s="14" t="n">
        <f aca="false">BM257*(2*($AJ257/($AI257+273.15)))</f>
        <v>0.00723712966653087</v>
      </c>
    </row>
    <row r="258" s="14" customFormat="true" ht="16" hidden="false" customHeight="false" outlineLevel="0" collapsed="false">
      <c r="A258" s="22" t="s">
        <v>83</v>
      </c>
      <c r="B258" s="36" t="s">
        <v>726</v>
      </c>
      <c r="C258" s="14" t="s">
        <v>713</v>
      </c>
      <c r="D258" s="36" t="s">
        <v>727</v>
      </c>
      <c r="E258" s="34" t="s">
        <v>728</v>
      </c>
      <c r="F258" s="22" t="n">
        <v>63.83</v>
      </c>
      <c r="G258" s="22" t="n">
        <v>5.27</v>
      </c>
      <c r="H258" s="22" t="s">
        <v>78</v>
      </c>
      <c r="I258" s="22" t="s">
        <v>79</v>
      </c>
      <c r="J258" s="22" t="n">
        <v>830</v>
      </c>
      <c r="K258" s="67" t="s">
        <v>729</v>
      </c>
      <c r="L258" s="22" t="s">
        <v>730</v>
      </c>
      <c r="M258" s="22" t="s">
        <v>731</v>
      </c>
      <c r="N258" s="22" t="n">
        <v>830</v>
      </c>
      <c r="O258" s="22" t="s">
        <v>178</v>
      </c>
      <c r="P258" s="22" t="s">
        <v>178</v>
      </c>
      <c r="Q258" s="22" t="n">
        <v>1</v>
      </c>
      <c r="R258" s="67" t="s">
        <v>83</v>
      </c>
      <c r="S258" s="25" t="n">
        <v>34.911</v>
      </c>
      <c r="T258" s="36" t="n">
        <v>102</v>
      </c>
      <c r="U258" s="36" t="n">
        <v>20</v>
      </c>
      <c r="V258" s="48" t="n">
        <v>-2.3445</v>
      </c>
      <c r="W258" s="48" t="n">
        <v>0.236275374577164</v>
      </c>
      <c r="X258" s="48" t="n">
        <v>0.0528327798963763</v>
      </c>
      <c r="Y258" s="48" t="n">
        <v>3.926</v>
      </c>
      <c r="Z258" s="48" t="n">
        <v>0.131565472994287</v>
      </c>
      <c r="AA258" s="48" t="n">
        <v>0.0294189341107139</v>
      </c>
      <c r="AB258" s="27" t="n">
        <v>0.279380364</v>
      </c>
      <c r="AC258" s="27" t="n">
        <v>0.2</v>
      </c>
      <c r="AD258" s="27" t="n">
        <v>0.2</v>
      </c>
      <c r="AE258" s="55" t="n">
        <v>0.6966</v>
      </c>
      <c r="AF258" s="55" t="n">
        <v>0.0079721224803753</v>
      </c>
      <c r="AG258" s="29" t="n">
        <v>-0.74</v>
      </c>
      <c r="AH258" s="27" t="n">
        <v>0.0508433688939973</v>
      </c>
      <c r="AI258" s="44" t="n">
        <v>-0.74</v>
      </c>
      <c r="AJ258" s="44" t="n">
        <v>0.0508433688939973</v>
      </c>
      <c r="AK258" s="27" t="s">
        <v>63</v>
      </c>
      <c r="AL258" s="14" t="n">
        <f aca="false">IF(AND(O258="Benthic, infaunal",M258="elegans"),(0.243-SQRT(((Y258)-(AB258))*0.0012+0.053337))/0.0006,IF(O258="Benthic",(0.245-SQRT(((Y258)-(AB258))*0.0044+0.045461))/0.0022,IF(O258="Benthic, infaunal",(0.245-(SQRT(0.045461+0.0044*((Y258-0.47)-(AB258)))))/0.0022,IF(O258="Benthic, epifaunal",(0.245-SQRT(((Y258)-(AB258))*0.0044+0.045461))/0.0022))))</f>
        <v>0.545746888296705</v>
      </c>
      <c r="AM258" s="45" t="n">
        <f aca="false">Y258-AB258</f>
        <v>3.646619636</v>
      </c>
      <c r="AN258" s="45" t="n">
        <f aca="false">SQRT((Z258^2)+(AC258^2))</f>
        <v>0.239393971695635</v>
      </c>
      <c r="AO258" s="46" t="n">
        <f aca="false">IF(NOT($M258="elegans"),(0.045461+0.0044*((AM258))),IF($M258="elegans",(0.053337+0.0012*((AM258)))))</f>
        <v>0.0615061263984</v>
      </c>
      <c r="AP258" s="46" t="n">
        <f aca="false">IF(NOT($M258="elegans"),(0.0044*((AN258))),IF($M258="elegans",(0.0012*((AN258)))))</f>
        <v>0.00105333347546079</v>
      </c>
      <c r="AQ258" s="46" t="n">
        <f aca="false">SQRT(AO258)</f>
        <v>0.248004287056494</v>
      </c>
      <c r="AR258" s="46" t="n">
        <f aca="false">AQ258*(0.5*(AP258/AO258))</f>
        <v>0.00212361949053899</v>
      </c>
      <c r="AS258" s="46" t="n">
        <f aca="false">IF(NOT($M258="elegans"),AR258/0.0022,IF($M258="elegans",AR258/0.0006))</f>
        <v>0.965281586608631</v>
      </c>
      <c r="AT258" s="45" t="n">
        <f aca="false">Y258-AB258</f>
        <v>3.646619636</v>
      </c>
      <c r="AU258" s="45" t="n">
        <f aca="false">SQRT((AA258^2)+(AD258^2))</f>
        <v>0.202152105317285</v>
      </c>
      <c r="AV258" s="46" t="n">
        <f aca="false">IF(NOT($M258="elegans"),(0.045461+0.0044*((AT258))),IF($M258="elegans",(0.053337+0.0012*((AT258)))))</f>
        <v>0.0615061263984</v>
      </c>
      <c r="AW258" s="46" t="n">
        <f aca="false">IF(NOT($M258="elegans"),(0.0044*((AU258))),IF($M258="elegans",(0.0012*((AU258)))))</f>
        <v>0.000889469263396052</v>
      </c>
      <c r="AX258" s="46" t="n">
        <f aca="false">SQRT(AV258)</f>
        <v>0.248004287056494</v>
      </c>
      <c r="AY258" s="46" t="n">
        <f aca="false">AX258*(0.5*(AW258/AV258))</f>
        <v>0.00179325380611956</v>
      </c>
      <c r="AZ258" s="46" t="n">
        <f aca="false">IF(NOT($M258="elegans"),AY258/0.0022,IF($M258="elegans",AY258/0.0006))</f>
        <v>0.815115366417982</v>
      </c>
      <c r="BD258" s="31" t="n">
        <f aca="false">AL258</f>
        <v>0.545746888296705</v>
      </c>
      <c r="BE258" s="31" t="n">
        <f aca="false">AS258</f>
        <v>0.965281586608631</v>
      </c>
      <c r="BF258" s="31" t="n">
        <f aca="false">AZ258</f>
        <v>0.815115366417982</v>
      </c>
      <c r="BG258" s="14" t="n">
        <f aca="false">10^6/((BD258+273.15)^2)</f>
        <v>13.3494662763997</v>
      </c>
      <c r="BH258" s="14" t="n">
        <f aca="false">BG258*(2*($BE258/($BD258+273.15)))</f>
        <v>0.0941629099769726</v>
      </c>
      <c r="BI258" s="14" t="n">
        <f aca="false">BG258*(2*($BF258/($BD258+273.15)))</f>
        <v>0.0795142432360339</v>
      </c>
      <c r="BK258" s="14" t="n">
        <f aca="false">10^6/((AG258+273.15)^2)</f>
        <v>13.4757798548683</v>
      </c>
      <c r="BL258" s="14" t="n">
        <f aca="false">BK258*(2*($AH258/($AG258+273.15)))</f>
        <v>0.00503031493921197</v>
      </c>
      <c r="BM258" s="14" t="n">
        <f aca="false">10^6/((AI258+273.15)^2)</f>
        <v>13.4757798548683</v>
      </c>
      <c r="BN258" s="14" t="n">
        <f aca="false">BM258*(2*($AJ258/($AI258+273.15)))</f>
        <v>0.00503031493921197</v>
      </c>
    </row>
    <row r="259" s="14" customFormat="true" ht="16" hidden="false" customHeight="false" outlineLevel="0" collapsed="false">
      <c r="A259" s="22" t="s">
        <v>83</v>
      </c>
      <c r="B259" s="36" t="s">
        <v>732</v>
      </c>
      <c r="C259" s="14" t="s">
        <v>713</v>
      </c>
      <c r="D259" s="36" t="s">
        <v>733</v>
      </c>
      <c r="E259" s="34" t="s">
        <v>734</v>
      </c>
      <c r="F259" s="22" t="n">
        <v>-4.47</v>
      </c>
      <c r="G259" s="22" t="n">
        <v>-37.21</v>
      </c>
      <c r="H259" s="22" t="s">
        <v>78</v>
      </c>
      <c r="I259" s="22" t="s">
        <v>170</v>
      </c>
      <c r="J259" s="22" t="n">
        <v>1000</v>
      </c>
      <c r="K259" s="67" t="s">
        <v>735</v>
      </c>
      <c r="L259" s="22" t="s">
        <v>736</v>
      </c>
      <c r="M259" s="22"/>
      <c r="N259" s="22" t="n">
        <v>1000</v>
      </c>
      <c r="O259" s="22" t="s">
        <v>172</v>
      </c>
      <c r="P259" s="22" t="s">
        <v>172</v>
      </c>
      <c r="Q259" s="22" t="n">
        <v>2</v>
      </c>
      <c r="R259" s="67" t="s">
        <v>83</v>
      </c>
      <c r="S259" s="25" t="n">
        <v>34.568</v>
      </c>
      <c r="T259" s="22" t="n">
        <v>34.8775555555556</v>
      </c>
      <c r="U259" s="36" t="n">
        <v>21</v>
      </c>
      <c r="V259" s="48" t="n">
        <v>0.991904761904762</v>
      </c>
      <c r="W259" s="48" t="n">
        <v>0.130139119699615</v>
      </c>
      <c r="X259" s="48" t="n">
        <v>0.0283986841380192</v>
      </c>
      <c r="Y259" s="48" t="n">
        <v>3.05761904761905</v>
      </c>
      <c r="Z259" s="48" t="n">
        <v>0.363220384366082</v>
      </c>
      <c r="AA259" s="48" t="n">
        <v>0.0792611859670727</v>
      </c>
      <c r="AB259" s="27" t="n">
        <v>0.022766765</v>
      </c>
      <c r="AC259" s="27" t="n">
        <v>0.2</v>
      </c>
      <c r="AD259" s="27" t="n">
        <v>0.2</v>
      </c>
      <c r="AE259" s="55" t="n">
        <v>0.674333333333333</v>
      </c>
      <c r="AF259" s="55" t="n">
        <v>0.00519172112636727</v>
      </c>
      <c r="AG259" s="29" t="n">
        <v>4.17</v>
      </c>
      <c r="AH259" s="27" t="n">
        <v>0.0713139464588542</v>
      </c>
      <c r="AI259" s="44" t="n">
        <v>4.17</v>
      </c>
      <c r="AJ259" s="44" t="n">
        <v>0.0713139464588542</v>
      </c>
      <c r="AK259" s="27" t="s">
        <v>63</v>
      </c>
      <c r="AL259" s="14" t="n">
        <f aca="false">IF(AND(O259="Benthic, infaunal",M259="elegans"),(0.243-SQRT(((Y259)-(AB259))*0.0012+0.053337))/0.0006,IF(O259="Benthic",(0.245-SQRT(((Y259)-(AB259))*0.0044+0.045461))/0.0022,IF(O259="Benthic, infaunal",(0.245-(SQRT(0.045461+0.0044*((Y259-0.47)-(AB259)))))/0.0022,IF(O259="Benthic, epifaunal",(0.245-SQRT(((Y259)-(AB259))*0.0044+0.045461))/0.0022))))</f>
        <v>1.12877247927311</v>
      </c>
      <c r="AM259" s="45" t="n">
        <f aca="false">Y259-AB259</f>
        <v>3.03485228261905</v>
      </c>
      <c r="AN259" s="45" t="n">
        <f aca="false">SQRT((Z259^2)+(AC259^2))</f>
        <v>0.414643277551976</v>
      </c>
      <c r="AO259" s="46" t="n">
        <f aca="false">IF(NOT($M259="elegans"),(0.045461+0.0044*((AM259))),IF($M259="elegans",(0.053337+0.0012*((AM259)))))</f>
        <v>0.0588143500435238</v>
      </c>
      <c r="AP259" s="46" t="n">
        <f aca="false">IF(NOT($M259="elegans"),(0.0044*((AN259))),IF($M259="elegans",(0.0012*((AN259)))))</f>
        <v>0.00182443042122869</v>
      </c>
      <c r="AQ259" s="46" t="n">
        <f aca="false">SQRT(AO259)</f>
        <v>0.242516700545599</v>
      </c>
      <c r="AR259" s="46" t="n">
        <f aca="false">AQ259*(0.5*(AP259/AO259))</f>
        <v>0.00376145316410004</v>
      </c>
      <c r="AS259" s="46" t="n">
        <f aca="false">IF(NOT($M259="elegans"),AR259/0.0022,IF($M259="elegans",AR259/0.0006))</f>
        <v>1.70975143822729</v>
      </c>
      <c r="AT259" s="45" t="n">
        <f aca="false">Y259-AB259</f>
        <v>3.03485228261905</v>
      </c>
      <c r="AU259" s="45" t="n">
        <f aca="false">SQRT((AA259^2)+(AD259^2))</f>
        <v>0.215133297285443</v>
      </c>
      <c r="AV259" s="46" t="n">
        <f aca="false">IF(NOT($M259="elegans"),(0.045461+0.0044*((AT259))),IF($M259="elegans",(0.053337+0.0012*((AT259)))))</f>
        <v>0.0588143500435238</v>
      </c>
      <c r="AW259" s="46" t="n">
        <f aca="false">IF(NOT($M259="elegans"),(0.0044*((AU259))),IF($M259="elegans",(0.0012*((AU259)))))</f>
        <v>0.00094658650805595</v>
      </c>
      <c r="AX259" s="46" t="n">
        <f aca="false">SQRT(AV259)</f>
        <v>0.242516700545599</v>
      </c>
      <c r="AY259" s="46" t="n">
        <f aca="false">AX259*(0.5*(AW259/AV259))</f>
        <v>0.00195159035630614</v>
      </c>
      <c r="AZ259" s="46" t="n">
        <f aca="false">IF(NOT($M259="elegans"),AY259/0.0022,IF($M259="elegans",AY259/0.0006))</f>
        <v>0.887086525593699</v>
      </c>
      <c r="BD259" s="31" t="n">
        <f aca="false">AL259</f>
        <v>1.12877247927311</v>
      </c>
      <c r="BE259" s="31" t="n">
        <f aca="false">AS259</f>
        <v>1.70975143822729</v>
      </c>
      <c r="BF259" s="31" t="n">
        <f aca="false">AZ259</f>
        <v>0.887086525593699</v>
      </c>
      <c r="BG259" s="14" t="n">
        <f aca="false">10^6/((BD259+273.15)^2)</f>
        <v>13.2927735307492</v>
      </c>
      <c r="BH259" s="14" t="n">
        <f aca="false">BG259*(2*($BE259/($BD259+273.15)))</f>
        <v>0.165724372008743</v>
      </c>
      <c r="BI259" s="14" t="n">
        <f aca="false">BG259*(2*($BF259/($BD259+273.15)))</f>
        <v>0.08598434490797</v>
      </c>
      <c r="BK259" s="14" t="n">
        <f aca="false">10^6/((AG259+273.15)^2)</f>
        <v>13.0028219868524</v>
      </c>
      <c r="BL259" s="14" t="n">
        <f aca="false">BK259*(2*($AH259/($AG259+273.15)))</f>
        <v>0.00668745529341126</v>
      </c>
      <c r="BM259" s="14" t="n">
        <f aca="false">10^6/((AI259+273.15)^2)</f>
        <v>13.0028219868524</v>
      </c>
      <c r="BN259" s="14" t="n">
        <f aca="false">BM259*(2*($AJ259/($AI259+273.15)))</f>
        <v>0.00668745529341126</v>
      </c>
    </row>
    <row r="260" s="14" customFormat="true" ht="16" hidden="false" customHeight="false" outlineLevel="0" collapsed="false">
      <c r="A260" s="22" t="s">
        <v>372</v>
      </c>
      <c r="B260" s="36" t="s">
        <v>737</v>
      </c>
      <c r="C260" s="14" t="s">
        <v>713</v>
      </c>
      <c r="D260" s="36" t="s">
        <v>737</v>
      </c>
      <c r="E260" s="34" t="s">
        <v>738</v>
      </c>
      <c r="F260" s="22" t="n">
        <v>-4.33</v>
      </c>
      <c r="G260" s="22" t="n">
        <v>-37.16</v>
      </c>
      <c r="H260" s="22" t="s">
        <v>78</v>
      </c>
      <c r="I260" s="22" t="s">
        <v>170</v>
      </c>
      <c r="J260" s="22" t="n">
        <v>598</v>
      </c>
      <c r="K260" s="65" t="s">
        <v>372</v>
      </c>
      <c r="L260" s="22" t="s">
        <v>372</v>
      </c>
      <c r="M260" s="22"/>
      <c r="N260" s="22" t="n">
        <v>598</v>
      </c>
      <c r="O260" s="22" t="s">
        <v>375</v>
      </c>
      <c r="P260" s="22" t="s">
        <v>375</v>
      </c>
      <c r="Q260" s="22" t="n">
        <v>6</v>
      </c>
      <c r="R260" s="65" t="s">
        <v>83</v>
      </c>
      <c r="S260" s="25" t="n">
        <v>34.4845</v>
      </c>
      <c r="T260" s="22" t="n">
        <v>32.8452222222222</v>
      </c>
      <c r="U260" s="36" t="n">
        <v>58</v>
      </c>
      <c r="V260" s="48" t="n">
        <v>0.901206896551724</v>
      </c>
      <c r="W260" s="48" t="n">
        <v>0.36745725416137</v>
      </c>
      <c r="X260" s="48" t="n">
        <v>0.048249501272358</v>
      </c>
      <c r="Y260" s="48" t="n">
        <v>2.29224137931034</v>
      </c>
      <c r="Z260" s="48" t="n">
        <v>0.602797697010259</v>
      </c>
      <c r="AA260" s="48" t="n">
        <v>0.0791512153304729</v>
      </c>
      <c r="AB260" s="27" t="n">
        <v>0.00747619577399999</v>
      </c>
      <c r="AC260" s="27" t="n">
        <v>0.2</v>
      </c>
      <c r="AD260" s="27" t="n">
        <v>0.2</v>
      </c>
      <c r="AE260" s="55" t="n">
        <v>0.670034482758621</v>
      </c>
      <c r="AF260" s="55" t="n">
        <v>0.00449385986402113</v>
      </c>
      <c r="AG260" s="29" t="n">
        <v>6.06</v>
      </c>
      <c r="AH260" s="27" t="n">
        <v>0.0707602678583219</v>
      </c>
      <c r="AI260" s="44" t="n">
        <v>6.06</v>
      </c>
      <c r="AJ260" s="44" t="n">
        <v>0.0707602678583219</v>
      </c>
      <c r="AK260" s="27" t="s">
        <v>63</v>
      </c>
      <c r="AL260" s="14" t="n">
        <v>4.80176362537173</v>
      </c>
      <c r="AM260" s="66"/>
      <c r="AN260" s="66"/>
      <c r="AO260" s="66"/>
      <c r="AP260" s="66"/>
      <c r="AQ260" s="66"/>
      <c r="AR260" s="66"/>
      <c r="AS260" s="66" t="n">
        <v>0.824092096712146</v>
      </c>
      <c r="AT260" s="66"/>
      <c r="AU260" s="66"/>
      <c r="AV260" s="66"/>
      <c r="AW260" s="66"/>
      <c r="AX260" s="66"/>
      <c r="AY260" s="66"/>
      <c r="AZ260" s="66" t="n">
        <v>0.475789793873801</v>
      </c>
      <c r="BD260" s="31" t="n">
        <f aca="false">AL260</f>
        <v>4.80176362537173</v>
      </c>
      <c r="BE260" s="31" t="n">
        <f aca="false">AS260</f>
        <v>0.824092096712146</v>
      </c>
      <c r="BF260" s="31" t="n">
        <f aca="false">AZ260</f>
        <v>0.475789793873801</v>
      </c>
      <c r="BG260" s="14" t="n">
        <f aca="false">10^6/((BD260+273.15)^2)</f>
        <v>12.9437802729956</v>
      </c>
      <c r="BH260" s="14" t="n">
        <f aca="false">BG260*(2*($BE260/($BD260+273.15)))</f>
        <v>0.0767533681774455</v>
      </c>
      <c r="BI260" s="14" t="n">
        <f aca="false">BG260*(2*($BF260/($BD260+273.15)))</f>
        <v>0.0443135777784586</v>
      </c>
      <c r="BK260" s="14" t="n">
        <f aca="false">10^6/((AG260+273.15)^2)</f>
        <v>12.8273830188495</v>
      </c>
      <c r="BL260" s="14" t="n">
        <f aca="false">BK260*(2*($AH260/($AG260+273.15)))</f>
        <v>0.00650169448325688</v>
      </c>
      <c r="BM260" s="14" t="n">
        <f aca="false">10^6/((AI260+273.15)^2)</f>
        <v>12.8273830188495</v>
      </c>
      <c r="BN260" s="14" t="n">
        <f aca="false">BM260*(2*($AJ260/($AI260+273.15)))</f>
        <v>0.00650169448325688</v>
      </c>
    </row>
    <row r="261" s="14" customFormat="true" ht="16" hidden="false" customHeight="false" outlineLevel="0" collapsed="false">
      <c r="A261" s="22" t="s">
        <v>83</v>
      </c>
      <c r="B261" s="36" t="s">
        <v>739</v>
      </c>
      <c r="C261" s="14" t="s">
        <v>713</v>
      </c>
      <c r="D261" s="36" t="s">
        <v>740</v>
      </c>
      <c r="E261" s="34" t="s">
        <v>741</v>
      </c>
      <c r="F261" s="22" t="n">
        <v>39.72</v>
      </c>
      <c r="G261" s="22" t="n">
        <v>16.97</v>
      </c>
      <c r="H261" s="22" t="s">
        <v>742</v>
      </c>
      <c r="I261" s="22" t="s">
        <v>742</v>
      </c>
      <c r="J261" s="22" t="n">
        <v>246</v>
      </c>
      <c r="K261" s="67" t="s">
        <v>675</v>
      </c>
      <c r="L261" s="22" t="s">
        <v>184</v>
      </c>
      <c r="M261" s="22" t="s">
        <v>676</v>
      </c>
      <c r="N261" s="22" t="n">
        <v>246</v>
      </c>
      <c r="O261" s="22" t="s">
        <v>178</v>
      </c>
      <c r="P261" s="22" t="s">
        <v>178</v>
      </c>
      <c r="Q261" s="22" t="n">
        <v>1</v>
      </c>
      <c r="R261" s="67" t="s">
        <v>83</v>
      </c>
      <c r="S261" s="25" t="n">
        <v>38.6995</v>
      </c>
      <c r="T261" s="22" t="n">
        <v>185.59719205298</v>
      </c>
      <c r="U261" s="36" t="n">
        <v>12</v>
      </c>
      <c r="V261" s="48" t="n">
        <v>0.461666666666667</v>
      </c>
      <c r="W261" s="48" t="n">
        <v>0.314406607995944</v>
      </c>
      <c r="X261" s="48" t="n">
        <v>0.0907613698807277</v>
      </c>
      <c r="Y261" s="48" t="n">
        <v>2.1225</v>
      </c>
      <c r="Z261" s="48" t="n">
        <v>0.0683739716558867</v>
      </c>
      <c r="AA261" s="48" t="n">
        <v>0.019737865470545</v>
      </c>
      <c r="AB261" s="27" t="n">
        <v>1.640541104</v>
      </c>
      <c r="AC261" s="27" t="n">
        <v>0.2</v>
      </c>
      <c r="AD261" s="27" t="n">
        <v>0.2</v>
      </c>
      <c r="AE261" s="55" t="n">
        <v>0.632333333333333</v>
      </c>
      <c r="AF261" s="55" t="n">
        <v>0.00762703855842602</v>
      </c>
      <c r="AG261" s="29" t="n">
        <v>13.9</v>
      </c>
      <c r="AH261" s="27" t="n">
        <v>0.0314977019078146</v>
      </c>
      <c r="AI261" s="44" t="n">
        <v>13.9</v>
      </c>
      <c r="AJ261" s="44" t="n">
        <v>0.0314977019078146</v>
      </c>
      <c r="AK261" s="27" t="s">
        <v>63</v>
      </c>
      <c r="AL261" s="14" t="n">
        <f aca="false">IF(AND(O261="Benthic, infaunal",M261="elegans"),(0.243-SQRT(((Y261)-(AB261))*0.0012+0.053337))/0.0006,IF(O261="Benthic",(0.245-SQRT(((Y261)-(AB261))*0.0044+0.045461))/0.0022,IF(O261="Benthic, infaunal",(0.245-(SQRT(0.045461+0.0044*((Y261-0.47)-(AB261)))))/0.0022,IF(O261="Benthic, epifaunal",(0.245-SQRT(((Y261)-(AB261))*0.0044+0.045461))/0.0022))))</f>
        <v>14.391267522416</v>
      </c>
      <c r="AM261" s="45" t="n">
        <f aca="false">Y261-AB261</f>
        <v>0.481958896</v>
      </c>
      <c r="AN261" s="45" t="n">
        <f aca="false">SQRT((Z261^2)+(AC261^2))</f>
        <v>0.211364613878482</v>
      </c>
      <c r="AO261" s="46" t="n">
        <f aca="false">IF(NOT($M261="elegans"),(0.045461+0.0044*((AM261))),IF($M261="elegans",(0.053337+0.0012*((AM261)))))</f>
        <v>0.0475816191424</v>
      </c>
      <c r="AP261" s="46" t="n">
        <f aca="false">IF(NOT($M261="elegans"),(0.0044*((AN261))),IF($M261="elegans",(0.0012*((AN261)))))</f>
        <v>0.000930004301065323</v>
      </c>
      <c r="AQ261" s="46" t="n">
        <f aca="false">SQRT(AO261)</f>
        <v>0.218132113963992</v>
      </c>
      <c r="AR261" s="46" t="n">
        <f aca="false">AQ261*(0.5*(AP261/AO261))</f>
        <v>0.00213174549167676</v>
      </c>
      <c r="AS261" s="46" t="n">
        <f aca="false">IF(NOT($M261="elegans"),AR261/0.0022,IF($M261="elegans",AR261/0.0006))</f>
        <v>0.968975223489437</v>
      </c>
      <c r="AT261" s="45" t="n">
        <f aca="false">Y261-AB261</f>
        <v>0.481958896</v>
      </c>
      <c r="AU261" s="45" t="n">
        <f aca="false">SQRT((AA261^2)+(AD261^2))</f>
        <v>0.20097159832507</v>
      </c>
      <c r="AV261" s="46" t="n">
        <f aca="false">IF(NOT($M261="elegans"),(0.045461+0.0044*((AT261))),IF($M261="elegans",(0.053337+0.0012*((AT261)))))</f>
        <v>0.0475816191424</v>
      </c>
      <c r="AW261" s="46" t="n">
        <f aca="false">IF(NOT($M261="elegans"),(0.0044*((AU261))),IF($M261="elegans",(0.0012*((AU261)))))</f>
        <v>0.000884275032630309</v>
      </c>
      <c r="AX261" s="46" t="n">
        <f aca="false">SQRT(AV261)</f>
        <v>0.218132113963992</v>
      </c>
      <c r="AY261" s="46" t="n">
        <f aca="false">AX261*(0.5*(AW261/AV261))</f>
        <v>0.00202692537233715</v>
      </c>
      <c r="AZ261" s="46" t="n">
        <f aca="false">IF(NOT($M261="elegans"),AY261/0.0022,IF($M261="elegans",AY261/0.0006))</f>
        <v>0.921329714698705</v>
      </c>
      <c r="BD261" s="31" t="n">
        <f aca="false">AL261</f>
        <v>14.391267522416</v>
      </c>
      <c r="BE261" s="31" t="n">
        <f aca="false">AS261</f>
        <v>0.968975223489437</v>
      </c>
      <c r="BF261" s="31" t="n">
        <f aca="false">AZ261</f>
        <v>0.921329714698705</v>
      </c>
      <c r="BG261" s="14" t="n">
        <f aca="false">10^6/((BD261+273.15)^2)</f>
        <v>12.0948262639774</v>
      </c>
      <c r="BH261" s="14" t="n">
        <f aca="false">BG261*(2*($BE261/($BD261+273.15)))</f>
        <v>0.0815158608931829</v>
      </c>
      <c r="BI261" s="14" t="n">
        <f aca="false">BG261*(2*($BF261/($BD261+273.15)))</f>
        <v>0.0775076421352421</v>
      </c>
      <c r="BK261" s="14" t="n">
        <f aca="false">10^6/((AG261+273.15)^2)</f>
        <v>12.1362607167354</v>
      </c>
      <c r="BL261" s="14" t="n">
        <f aca="false">BK261*(2*($AH261/($AG261+273.15)))</f>
        <v>0.00266339886661733</v>
      </c>
      <c r="BM261" s="14" t="n">
        <f aca="false">10^6/((AI261+273.15)^2)</f>
        <v>12.1362607167354</v>
      </c>
      <c r="BN261" s="14" t="n">
        <f aca="false">BM261*(2*($AJ261/($AI261+273.15)))</f>
        <v>0.00266339886661733</v>
      </c>
    </row>
    <row r="262" s="14" customFormat="true" ht="16" hidden="false" customHeight="false" outlineLevel="0" collapsed="false">
      <c r="A262" s="22" t="s">
        <v>372</v>
      </c>
      <c r="B262" s="36" t="s">
        <v>743</v>
      </c>
      <c r="C262" s="14" t="s">
        <v>713</v>
      </c>
      <c r="D262" s="36" t="s">
        <v>743</v>
      </c>
      <c r="E262" s="34" t="s">
        <v>744</v>
      </c>
      <c r="F262" s="22" t="n">
        <v>39.54</v>
      </c>
      <c r="G262" s="22" t="n">
        <v>17.25</v>
      </c>
      <c r="H262" s="22" t="s">
        <v>742</v>
      </c>
      <c r="I262" s="22" t="s">
        <v>742</v>
      </c>
      <c r="J262" s="22" t="n">
        <v>582</v>
      </c>
      <c r="K262" s="65" t="s">
        <v>372</v>
      </c>
      <c r="L262" s="22" t="s">
        <v>372</v>
      </c>
      <c r="M262" s="22"/>
      <c r="N262" s="22" t="n">
        <v>582</v>
      </c>
      <c r="O262" s="22" t="s">
        <v>375</v>
      </c>
      <c r="P262" s="22" t="s">
        <v>375</v>
      </c>
      <c r="Q262" s="22" t="n">
        <v>6</v>
      </c>
      <c r="R262" s="65" t="s">
        <v>83</v>
      </c>
      <c r="S262" s="25" t="n">
        <v>38.7655</v>
      </c>
      <c r="T262" s="22" t="n">
        <v>176.663315789474</v>
      </c>
      <c r="U262" s="36" t="n">
        <v>48</v>
      </c>
      <c r="V262" s="48" t="n">
        <v>0.7925</v>
      </c>
      <c r="W262" s="48" t="n">
        <v>0.623853842675732</v>
      </c>
      <c r="X262" s="48" t="n">
        <v>0.0900455460009541</v>
      </c>
      <c r="Y262" s="48" t="n">
        <v>1.9025</v>
      </c>
      <c r="Z262" s="48" t="n">
        <v>0.295228004207062</v>
      </c>
      <c r="AA262" s="48" t="n">
        <v>0.0426124919253158</v>
      </c>
      <c r="AB262" s="27" t="n">
        <v>1.599486156</v>
      </c>
      <c r="AC262" s="27" t="n">
        <v>0.2</v>
      </c>
      <c r="AD262" s="27" t="n">
        <v>0.2</v>
      </c>
      <c r="AE262" s="55" t="n">
        <v>0.646982142857143</v>
      </c>
      <c r="AF262" s="55" t="n">
        <v>0.00348377417665305</v>
      </c>
      <c r="AG262" s="29" t="n">
        <v>13.9</v>
      </c>
      <c r="AH262" s="27" t="n">
        <v>0.0314977019078146</v>
      </c>
      <c r="AI262" s="44" t="n">
        <v>13.9</v>
      </c>
      <c r="AJ262" s="44" t="n">
        <v>0.0314977019078146</v>
      </c>
      <c r="AK262" s="27" t="s">
        <v>63</v>
      </c>
      <c r="AL262" s="14" t="n">
        <v>15.0723385355738</v>
      </c>
      <c r="AM262" s="66"/>
      <c r="AN262" s="66"/>
      <c r="AO262" s="66"/>
      <c r="AP262" s="66"/>
      <c r="AQ262" s="66"/>
      <c r="AR262" s="66"/>
      <c r="AS262" s="66" t="n">
        <v>1.18803315440571</v>
      </c>
      <c r="AT262" s="66"/>
      <c r="AU262" s="66"/>
      <c r="AV262" s="66"/>
      <c r="AW262" s="66"/>
      <c r="AX262" s="66"/>
      <c r="AY262" s="66"/>
      <c r="AZ262" s="66" t="n">
        <v>0.531304578554933</v>
      </c>
      <c r="BD262" s="31" t="n">
        <f aca="false">AL262</f>
        <v>15.0723385355738</v>
      </c>
      <c r="BE262" s="31" t="n">
        <f aca="false">AS262</f>
        <v>1.18803315440571</v>
      </c>
      <c r="BF262" s="31" t="n">
        <f aca="false">AZ262</f>
        <v>0.531304578554933</v>
      </c>
      <c r="BG262" s="14" t="n">
        <f aca="false">10^6/((BD262+273.15)^2)</f>
        <v>12.0377335135265</v>
      </c>
      <c r="BH262" s="14" t="n">
        <f aca="false">BG262*(2*($BE262/($BD262+273.15)))</f>
        <v>0.0992374608479908</v>
      </c>
      <c r="BI262" s="14" t="n">
        <f aca="false">BG262*(2*($BF262/($BD262+273.15)))</f>
        <v>0.0443803416741163</v>
      </c>
      <c r="BK262" s="14" t="n">
        <f aca="false">10^6/((AG262+273.15)^2)</f>
        <v>12.1362607167354</v>
      </c>
      <c r="BL262" s="14" t="n">
        <f aca="false">BK262*(2*($AH262/($AG262+273.15)))</f>
        <v>0.00266339886661733</v>
      </c>
      <c r="BM262" s="14" t="n">
        <f aca="false">10^6/((AI262+273.15)^2)</f>
        <v>12.1362607167354</v>
      </c>
      <c r="BN262" s="14" t="n">
        <f aca="false">BM262*(2*($AJ262/($AI262+273.15)))</f>
        <v>0.00266339886661733</v>
      </c>
    </row>
    <row r="263" s="14" customFormat="true" ht="16" hidden="false" customHeight="false" outlineLevel="0" collapsed="false">
      <c r="A263" s="22" t="s">
        <v>83</v>
      </c>
      <c r="B263" s="36" t="s">
        <v>745</v>
      </c>
      <c r="C263" s="14" t="s">
        <v>713</v>
      </c>
      <c r="D263" s="36" t="s">
        <v>745</v>
      </c>
      <c r="E263" s="34" t="s">
        <v>746</v>
      </c>
      <c r="F263" s="22" t="n">
        <v>-43.72</v>
      </c>
      <c r="G263" s="22" t="n">
        <v>-120.67</v>
      </c>
      <c r="H263" s="22" t="s">
        <v>56</v>
      </c>
      <c r="I263" s="22" t="s">
        <v>747</v>
      </c>
      <c r="J263" s="22" t="n">
        <v>3840</v>
      </c>
      <c r="K263" s="67" t="s">
        <v>748</v>
      </c>
      <c r="L263" s="22" t="s">
        <v>166</v>
      </c>
      <c r="M263" s="22" t="s">
        <v>81</v>
      </c>
      <c r="N263" s="22" t="n">
        <v>3840</v>
      </c>
      <c r="O263" s="22" t="s">
        <v>172</v>
      </c>
      <c r="P263" s="22" t="s">
        <v>172</v>
      </c>
      <c r="Q263" s="22" t="n">
        <v>2</v>
      </c>
      <c r="R263" s="67" t="s">
        <v>83</v>
      </c>
      <c r="S263" s="25" t="n">
        <v>34.693</v>
      </c>
      <c r="T263" s="22" t="n">
        <v>-14.7537647058824</v>
      </c>
      <c r="U263" s="36" t="n">
        <v>6</v>
      </c>
      <c r="V263" s="48" t="n">
        <v>0.38</v>
      </c>
      <c r="W263" s="48" t="n">
        <v>0.095707888912043</v>
      </c>
      <c r="X263" s="48" t="n">
        <v>0.0390725820322469</v>
      </c>
      <c r="Y263" s="48" t="n">
        <v>2.93</v>
      </c>
      <c r="Z263" s="48" t="n">
        <v>0.0589915248150105</v>
      </c>
      <c r="AA263" s="48" t="n">
        <v>0.0240831891575846</v>
      </c>
      <c r="AB263" s="27" t="n">
        <v>-0.07564823044</v>
      </c>
      <c r="AC263" s="27" t="n">
        <v>0.2</v>
      </c>
      <c r="AD263" s="27" t="n">
        <v>0.2</v>
      </c>
      <c r="AE263" s="55" t="n">
        <v>0.6675</v>
      </c>
      <c r="AF263" s="55" t="n">
        <v>0.0108957178132818</v>
      </c>
      <c r="AG263" s="29" t="n">
        <v>1.42</v>
      </c>
      <c r="AH263" s="27" t="n">
        <v>0.120007511560938</v>
      </c>
      <c r="AI263" s="44" t="n">
        <v>1.42</v>
      </c>
      <c r="AJ263" s="44" t="n">
        <v>0.120007511560938</v>
      </c>
      <c r="AK263" s="27" t="s">
        <v>84</v>
      </c>
      <c r="AL263" s="14" t="n">
        <f aca="false">IF(AND(O263="Benthic, infaunal",M263="elegans"),(0.243-SQRT(((Y263)-(AB263))*0.0012+0.053337))/0.0006,IF(O263="Benthic",(0.245-SQRT(((Y263)-(AB263))*0.0044+0.045461))/0.0022,IF(O263="Benthic, infaunal",(0.245-(SQRT(0.045461+0.0044*((Y263-0.47)-(AB263)))))/0.0022,IF(O263="Benthic, epifaunal",(0.245-SQRT(((Y263)-(AB263))*0.0044+0.045461))/0.0022))))</f>
        <v>1.24925911316327</v>
      </c>
      <c r="AM263" s="45" t="n">
        <f aca="false">Y263-AB263</f>
        <v>3.00564823044</v>
      </c>
      <c r="AN263" s="45" t="n">
        <f aca="false">SQRT((Z263^2)+(AC263^2))</f>
        <v>0.208518584303654</v>
      </c>
      <c r="AO263" s="46" t="n">
        <f aca="false">IF(NOT($M263="elegans"),(0.045461+0.0044*((AM263))),IF($M263="elegans",(0.053337+0.0012*((AM263)))))</f>
        <v>0.058685852213936</v>
      </c>
      <c r="AP263" s="46" t="n">
        <f aca="false">IF(NOT($M263="elegans"),(0.0044*((AN263))),IF($M263="elegans",(0.0012*((AN263)))))</f>
        <v>0.000917481770936077</v>
      </c>
      <c r="AQ263" s="46" t="n">
        <f aca="false">SQRT(AO263)</f>
        <v>0.242251629951041</v>
      </c>
      <c r="AR263" s="46" t="n">
        <f aca="false">AQ263*(0.5*(AP263/AO263))</f>
        <v>0.00189365448463959</v>
      </c>
      <c r="AS263" s="46" t="n">
        <f aca="false">IF(NOT($M263="elegans"),AR263/0.0022,IF($M263="elegans",AR263/0.0006))</f>
        <v>0.86075203847254</v>
      </c>
      <c r="AT263" s="45" t="n">
        <f aca="false">Y263-AB263</f>
        <v>3.00564823044</v>
      </c>
      <c r="AU263" s="45" t="n">
        <f aca="false">SQRT((AA263^2)+(AD263^2))</f>
        <v>0.201444781515928</v>
      </c>
      <c r="AV263" s="46" t="n">
        <f aca="false">IF(NOT($M263="elegans"),(0.045461+0.0044*((AT263))),IF($M263="elegans",(0.053337+0.0012*((AT263)))))</f>
        <v>0.058685852213936</v>
      </c>
      <c r="AW263" s="46" t="n">
        <f aca="false">IF(NOT($M263="elegans"),(0.0044*((AU263))),IF($M263="elegans",(0.0012*((AU263)))))</f>
        <v>0.000886357038670084</v>
      </c>
      <c r="AX263" s="46" t="n">
        <f aca="false">SQRT(AV263)</f>
        <v>0.242251629951041</v>
      </c>
      <c r="AY263" s="46" t="n">
        <f aca="false">AX263*(0.5*(AW263/AV263))</f>
        <v>0.00182941398340481</v>
      </c>
      <c r="AZ263" s="46" t="n">
        <f aca="false">IF(NOT($M263="elegans"),AY263/0.0022,IF($M263="elegans",AY263/0.0006))</f>
        <v>0.831551810638551</v>
      </c>
      <c r="BD263" s="31" t="n">
        <f aca="false">AL263</f>
        <v>1.24925911316327</v>
      </c>
      <c r="BE263" s="31" t="n">
        <f aca="false">AS263</f>
        <v>0.86075203847254</v>
      </c>
      <c r="BF263" s="31" t="n">
        <f aca="false">AZ263</f>
        <v>0.831551810638551</v>
      </c>
      <c r="BG263" s="14" t="n">
        <f aca="false">10^6/((BD263+273.15)^2)</f>
        <v>13.2811025815097</v>
      </c>
      <c r="BH263" s="14" t="n">
        <f aca="false">BG263*(2*($BE263/($BD263+273.15)))</f>
        <v>0.0833219168094247</v>
      </c>
      <c r="BI263" s="14" t="n">
        <f aca="false">BG263*(2*($BF263/($BD263+273.15)))</f>
        <v>0.0804952967775773</v>
      </c>
      <c r="BK263" s="14" t="n">
        <f aca="false">10^6/((AG263+273.15)^2)</f>
        <v>13.2645900552113</v>
      </c>
      <c r="BL263" s="14" t="n">
        <f aca="false">BK263*(2*($AH263/($AG263+273.15)))</f>
        <v>0.0115952248563345</v>
      </c>
      <c r="BM263" s="14" t="n">
        <f aca="false">10^6/((AI263+273.15)^2)</f>
        <v>13.2645900552113</v>
      </c>
      <c r="BN263" s="14" t="n">
        <f aca="false">BM263*(2*($AJ263/($AI263+273.15)))</f>
        <v>0.0115952248563345</v>
      </c>
    </row>
    <row r="264" s="14" customFormat="true" ht="16" hidden="false" customHeight="false" outlineLevel="0" collapsed="false">
      <c r="A264" s="22" t="s">
        <v>372</v>
      </c>
      <c r="B264" s="36" t="s">
        <v>749</v>
      </c>
      <c r="C264" s="14" t="s">
        <v>713</v>
      </c>
      <c r="D264" s="36" t="s">
        <v>749</v>
      </c>
      <c r="E264" s="34" t="s">
        <v>750</v>
      </c>
      <c r="F264" s="22" t="n">
        <v>-45.58</v>
      </c>
      <c r="G264" s="22" t="n">
        <v>-157.9</v>
      </c>
      <c r="H264" s="22" t="s">
        <v>56</v>
      </c>
      <c r="I264" s="22" t="s">
        <v>751</v>
      </c>
      <c r="J264" s="22" t="n">
        <v>689</v>
      </c>
      <c r="K264" s="65" t="s">
        <v>372</v>
      </c>
      <c r="L264" s="22" t="s">
        <v>372</v>
      </c>
      <c r="M264" s="22"/>
      <c r="N264" s="22" t="n">
        <v>689</v>
      </c>
      <c r="O264" s="22" t="s">
        <v>375</v>
      </c>
      <c r="P264" s="22" t="s">
        <v>375</v>
      </c>
      <c r="Q264" s="22" t="n">
        <v>6</v>
      </c>
      <c r="R264" s="65" t="s">
        <v>83</v>
      </c>
      <c r="S264" s="25" t="n">
        <v>34.368</v>
      </c>
      <c r="T264" s="22" t="n">
        <v>52.9527142857143</v>
      </c>
      <c r="U264" s="36" t="n">
        <v>32</v>
      </c>
      <c r="V264" s="48" t="n">
        <v>0.5096875</v>
      </c>
      <c r="W264" s="48" t="n">
        <v>0.282334557607379</v>
      </c>
      <c r="X264" s="48" t="n">
        <v>0.0499101700618705</v>
      </c>
      <c r="Y264" s="48" t="n">
        <v>4.27</v>
      </c>
      <c r="Z264" s="48" t="n">
        <v>0.803408063271113</v>
      </c>
      <c r="AA264" s="48" t="n">
        <v>0.142023822399739</v>
      </c>
      <c r="AB264" s="27" t="n">
        <v>-0.07087681681</v>
      </c>
      <c r="AC264" s="27" t="n">
        <v>0.2</v>
      </c>
      <c r="AD264" s="27" t="n">
        <v>0.2</v>
      </c>
      <c r="AE264" s="55" t="n">
        <v>0.6633125</v>
      </c>
      <c r="AF264" s="55" t="n">
        <v>0.00515592313235702</v>
      </c>
      <c r="AG264" s="29" t="n">
        <v>3.77</v>
      </c>
      <c r="AH264" s="27" t="n">
        <v>0.0952722840998887</v>
      </c>
      <c r="AI264" s="44" t="n">
        <v>3.77</v>
      </c>
      <c r="AJ264" s="44" t="n">
        <v>0.0952722840998887</v>
      </c>
      <c r="AK264" s="27" t="s">
        <v>63</v>
      </c>
      <c r="AL264" s="14" t="n">
        <v>1.11087153969709</v>
      </c>
      <c r="AM264" s="66"/>
      <c r="AN264" s="66"/>
      <c r="AO264" s="66"/>
      <c r="AP264" s="66"/>
      <c r="AQ264" s="66"/>
      <c r="AR264" s="66"/>
      <c r="AS264" s="66" t="n">
        <v>6.13572154844892</v>
      </c>
      <c r="AT264" s="66"/>
      <c r="AU264" s="66"/>
      <c r="AV264" s="66"/>
      <c r="AW264" s="66"/>
      <c r="AX264" s="66"/>
      <c r="AY264" s="66"/>
      <c r="AZ264" s="66" t="n">
        <v>4.33861031438066</v>
      </c>
      <c r="BD264" s="31" t="n">
        <f aca="false">AL264</f>
        <v>1.11087153969709</v>
      </c>
      <c r="BE264" s="31" t="n">
        <f aca="false">AS264</f>
        <v>6.13572154844892</v>
      </c>
      <c r="BF264" s="31" t="n">
        <f aca="false">AZ264</f>
        <v>4.33861031438066</v>
      </c>
      <c r="BG264" s="14" t="n">
        <f aca="false">10^6/((BD264+273.15)^2)</f>
        <v>13.294508819491</v>
      </c>
      <c r="BH264" s="14" t="n">
        <f aca="false">BG264*(2*($BE264/($BD264+273.15)))</f>
        <v>0.59484536588726</v>
      </c>
      <c r="BI264" s="14" t="n">
        <f aca="false">BG264*(2*($BF264/($BD264+273.15)))</f>
        <v>0.420619191976275</v>
      </c>
      <c r="BK264" s="14" t="n">
        <f aca="false">10^6/((AG264+273.15)^2)</f>
        <v>13.0404132421411</v>
      </c>
      <c r="BL264" s="14" t="n">
        <f aca="false">BK264*(2*($AH264/($AG264+273.15)))</f>
        <v>0.00897291604207151</v>
      </c>
      <c r="BM264" s="14" t="n">
        <f aca="false">10^6/((AI264+273.15)^2)</f>
        <v>13.0404132421411</v>
      </c>
      <c r="BN264" s="14" t="n">
        <f aca="false">BM264*(2*($AJ264/($AI264+273.15)))</f>
        <v>0.00897291604207151</v>
      </c>
    </row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U2:U162">
    <cfRule type="cellIs" priority="2" operator="lessThan" aboveAverage="0" equalAverage="0" bottom="0" percent="0" rank="0" text="" dxfId="0">
      <formula>3</formula>
    </cfRule>
  </conditionalFormatting>
  <conditionalFormatting sqref="AF21 AK21 AG2:AG251">
    <cfRule type="cellIs" priority="3" operator="equal" aboveAverage="0" equalAverage="0" bottom="0" percent="0" rank="0" text="" dxfId="1">
      <formula>0</formula>
    </cfRule>
  </conditionalFormatting>
  <conditionalFormatting sqref="M1:M1048576">
    <cfRule type="containsText" priority="4" operator="containsText" aboveAverage="0" equalAverage="0" bottom="0" percent="0" rank="0" text="elegans" dxfId="2">
      <formula>NOT(ISERROR(SEARCH("elegans",M1)))</formula>
    </cfRule>
  </conditionalFormatting>
  <conditionalFormatting sqref="AH2:AJ94 AH126:AJ264">
    <cfRule type="cellIs" priority="5" operator="equal" aboveAverage="0" equalAverage="0" bottom="0" percent="0" rank="0" text="" dxfId="3">
      <formula>0</formula>
    </cfRule>
  </conditionalFormatting>
  <conditionalFormatting sqref="AI95:AJ125">
    <cfRule type="cellIs" priority="6" operator="equal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4" activeCellId="0" sqref="D214"/>
    </sheetView>
  </sheetViews>
  <sheetFormatPr defaultColWidth="8.84375" defaultRowHeight="16" zeroHeight="false" outlineLevelRow="0" outlineLevelCol="0"/>
  <cols>
    <col collapsed="false" customWidth="true" hidden="false" outlineLevel="0" max="2" min="2" style="0" width="43"/>
  </cols>
  <sheetData>
    <row r="1" customFormat="false" ht="16" hidden="false" customHeight="false" outlineLevel="0" collapsed="false">
      <c r="A1" s="0" t="s">
        <v>752</v>
      </c>
      <c r="B1" s="0" t="s">
        <v>630</v>
      </c>
      <c r="C1" s="0" t="n">
        <v>3.9750525637083</v>
      </c>
      <c r="D1" s="0" t="n">
        <v>1.50977923647612</v>
      </c>
    </row>
    <row r="2" customFormat="false" ht="16" hidden="false" customHeight="false" outlineLevel="0" collapsed="false">
      <c r="A2" s="0" t="s">
        <v>752</v>
      </c>
      <c r="B2" s="0" t="s">
        <v>634</v>
      </c>
      <c r="C2" s="0" t="n">
        <v>-0.96181000182233</v>
      </c>
      <c r="D2" s="0" t="n">
        <v>1.88631297624063</v>
      </c>
    </row>
    <row r="3" customFormat="false" ht="16" hidden="false" customHeight="false" outlineLevel="0" collapsed="false">
      <c r="A3" s="0" t="s">
        <v>752</v>
      </c>
      <c r="B3" s="0" t="s">
        <v>636</v>
      </c>
      <c r="C3" s="0" t="n">
        <v>-0.410875271574782</v>
      </c>
      <c r="D3" s="0" t="n">
        <v>1.66121550108701</v>
      </c>
    </row>
    <row r="4" customFormat="false" ht="16" hidden="false" customHeight="false" outlineLevel="0" collapsed="false">
      <c r="A4" s="0" t="s">
        <v>752</v>
      </c>
      <c r="B4" s="0" t="s">
        <v>601</v>
      </c>
      <c r="C4" s="0" t="n">
        <v>9.14269545906587</v>
      </c>
      <c r="D4" s="0" t="n">
        <v>0.905005656034291</v>
      </c>
    </row>
    <row r="5" customFormat="false" ht="16" hidden="false" customHeight="false" outlineLevel="0" collapsed="false">
      <c r="A5" s="0" t="s">
        <v>752</v>
      </c>
      <c r="B5" s="0" t="s">
        <v>652</v>
      </c>
      <c r="C5" s="0" t="n">
        <v>8.06945496393276</v>
      </c>
      <c r="D5" s="0" t="n">
        <v>0.95578142655597</v>
      </c>
    </row>
    <row r="6" customFormat="false" ht="16" hidden="false" customHeight="false" outlineLevel="0" collapsed="false">
      <c r="A6" s="0" t="s">
        <v>752</v>
      </c>
      <c r="B6" s="0" t="s">
        <v>596</v>
      </c>
      <c r="C6" s="0" t="n">
        <v>10.5045167153299</v>
      </c>
      <c r="D6" s="0" t="n">
        <v>1.71413451667754</v>
      </c>
    </row>
    <row r="7" customFormat="false" ht="16" hidden="false" customHeight="false" outlineLevel="0" collapsed="false">
      <c r="A7" s="0" t="s">
        <v>752</v>
      </c>
      <c r="B7" s="0" t="s">
        <v>664</v>
      </c>
      <c r="C7" s="0" t="n">
        <v>9.60145171957216</v>
      </c>
      <c r="D7" s="0" t="n">
        <v>1.71453346707504</v>
      </c>
    </row>
    <row r="8" customFormat="false" ht="16" hidden="false" customHeight="false" outlineLevel="0" collapsed="false">
      <c r="A8" s="0" t="s">
        <v>752</v>
      </c>
      <c r="B8" s="0" t="s">
        <v>657</v>
      </c>
      <c r="C8" s="0" t="n">
        <v>12.3726761940295</v>
      </c>
      <c r="D8" s="0" t="n">
        <v>1.84519444957041</v>
      </c>
    </row>
    <row r="9" customFormat="false" ht="16" hidden="false" customHeight="false" outlineLevel="0" collapsed="false">
      <c r="A9" s="0" t="s">
        <v>752</v>
      </c>
      <c r="B9" s="0" t="s">
        <v>662</v>
      </c>
      <c r="C9" s="0" t="n">
        <v>7.24777839202585</v>
      </c>
      <c r="D9" s="0" t="n">
        <v>0.429369266465753</v>
      </c>
    </row>
    <row r="10" customFormat="false" ht="16" hidden="false" customHeight="false" outlineLevel="0" collapsed="false">
      <c r="A10" s="0" t="s">
        <v>752</v>
      </c>
      <c r="B10" s="0" t="s">
        <v>599</v>
      </c>
      <c r="C10" s="0" t="n">
        <v>14.1881734464994</v>
      </c>
      <c r="D10" s="0" t="n">
        <v>1.47496217980997</v>
      </c>
    </row>
    <row r="11" customFormat="false" ht="16" hidden="false" customHeight="false" outlineLevel="0" collapsed="false">
      <c r="A11" s="0" t="s">
        <v>752</v>
      </c>
      <c r="B11" s="0" t="s">
        <v>651</v>
      </c>
      <c r="C11" s="0" t="n">
        <v>10.4750035872288</v>
      </c>
      <c r="D11" s="0" t="n">
        <v>1.32566957395503</v>
      </c>
    </row>
    <row r="12" customFormat="false" ht="16" hidden="false" customHeight="false" outlineLevel="0" collapsed="false">
      <c r="A12" s="0" t="s">
        <v>752</v>
      </c>
      <c r="B12" s="0" t="s">
        <v>665</v>
      </c>
      <c r="C12" s="0" t="n">
        <v>10.9317728832511</v>
      </c>
      <c r="D12" s="0" t="n">
        <v>1.15593508854166</v>
      </c>
    </row>
    <row r="13" customFormat="false" ht="16" hidden="false" customHeight="false" outlineLevel="0" collapsed="false">
      <c r="A13" s="0" t="s">
        <v>752</v>
      </c>
      <c r="B13" s="0" t="s">
        <v>658</v>
      </c>
      <c r="C13" s="0" t="n">
        <v>12.1141701458533</v>
      </c>
      <c r="D13" s="0" t="n">
        <v>2.32952144843824</v>
      </c>
    </row>
    <row r="14" customFormat="false" ht="16" hidden="false" customHeight="false" outlineLevel="0" collapsed="false">
      <c r="A14" s="0" t="s">
        <v>752</v>
      </c>
      <c r="B14" s="0" t="s">
        <v>603</v>
      </c>
      <c r="C14" s="0" t="n">
        <v>11.1422658889363</v>
      </c>
      <c r="D14" s="0" t="n">
        <v>0.716791227909091</v>
      </c>
    </row>
    <row r="15" customFormat="false" ht="16" hidden="false" customHeight="false" outlineLevel="0" collapsed="false">
      <c r="A15" s="0" t="s">
        <v>752</v>
      </c>
      <c r="B15" s="0" t="s">
        <v>653</v>
      </c>
      <c r="C15" s="0" t="n">
        <v>9.28960932670199</v>
      </c>
      <c r="D15" s="0" t="n">
        <v>0.565655902775573</v>
      </c>
    </row>
    <row r="16" customFormat="false" ht="16" hidden="false" customHeight="false" outlineLevel="0" collapsed="false">
      <c r="A16" s="0" t="s">
        <v>752</v>
      </c>
      <c r="B16" s="0" t="s">
        <v>666</v>
      </c>
      <c r="C16" s="0" t="n">
        <v>9.7455572129003</v>
      </c>
      <c r="D16" s="0" t="n">
        <v>0.36949924926022</v>
      </c>
    </row>
    <row r="17" customFormat="false" ht="16" hidden="false" customHeight="false" outlineLevel="0" collapsed="false">
      <c r="A17" s="0" t="s">
        <v>752</v>
      </c>
      <c r="B17" s="0" t="s">
        <v>619</v>
      </c>
      <c r="C17" s="0" t="n">
        <v>15.6668871263616</v>
      </c>
      <c r="D17" s="0" t="n">
        <v>0.378377411057999</v>
      </c>
    </row>
    <row r="18" customFormat="false" ht="16" hidden="false" customHeight="false" outlineLevel="0" collapsed="false">
      <c r="A18" s="0" t="s">
        <v>752</v>
      </c>
      <c r="B18" s="0" t="s">
        <v>655</v>
      </c>
      <c r="C18" s="0" t="n">
        <v>19.5340386648663</v>
      </c>
      <c r="D18" s="0" t="n">
        <v>0.111205698344084</v>
      </c>
    </row>
    <row r="19" customFormat="false" ht="16" hidden="false" customHeight="false" outlineLevel="0" collapsed="false">
      <c r="A19" s="0" t="s">
        <v>752</v>
      </c>
      <c r="B19" s="0" t="s">
        <v>623</v>
      </c>
      <c r="C19" s="0" t="n">
        <v>28.4092559814453</v>
      </c>
      <c r="D19" s="0" t="n">
        <v>0.15676237642765</v>
      </c>
    </row>
    <row r="20" customFormat="false" ht="16" hidden="false" customHeight="false" outlineLevel="0" collapsed="false">
      <c r="A20" s="0" t="s">
        <v>752</v>
      </c>
      <c r="B20" s="0" t="s">
        <v>621</v>
      </c>
      <c r="C20" s="0" t="n">
        <v>28.4092559814453</v>
      </c>
      <c r="D20" s="0" t="n">
        <v>0.15676237642765</v>
      </c>
    </row>
    <row r="21" customFormat="false" ht="16" hidden="false" customHeight="false" outlineLevel="0" collapsed="false">
      <c r="A21" s="0" t="s">
        <v>752</v>
      </c>
      <c r="B21" s="0" t="s">
        <v>638</v>
      </c>
      <c r="C21" s="0" t="n">
        <v>24.5072783206551</v>
      </c>
      <c r="D21" s="0" t="n">
        <v>0.133075165123459</v>
      </c>
    </row>
    <row r="22" customFormat="false" ht="16" hidden="false" customHeight="false" outlineLevel="0" collapsed="false">
      <c r="A22" s="0" t="s">
        <v>752</v>
      </c>
      <c r="B22" s="0" t="s">
        <v>622</v>
      </c>
      <c r="C22" s="0" t="n">
        <v>28.4092559814453</v>
      </c>
      <c r="D22" s="0" t="n">
        <v>0.15676237642765</v>
      </c>
    </row>
    <row r="23" customFormat="false" ht="16" hidden="false" customHeight="false" outlineLevel="0" collapsed="false">
      <c r="A23" s="0" t="s">
        <v>752</v>
      </c>
      <c r="B23" s="0" t="s">
        <v>648</v>
      </c>
      <c r="C23" s="0" t="n">
        <v>27.3177283170896</v>
      </c>
      <c r="D23" s="0" t="n">
        <v>1.10440902355466</v>
      </c>
    </row>
    <row r="24" customFormat="false" ht="16" hidden="false" customHeight="false" outlineLevel="0" collapsed="false">
      <c r="A24" s="0" t="s">
        <v>752</v>
      </c>
      <c r="B24" s="0" t="s">
        <v>610</v>
      </c>
      <c r="C24" s="0" t="n">
        <v>25.9665966048897</v>
      </c>
      <c r="D24" s="0" t="n">
        <v>1.40079248818879</v>
      </c>
    </row>
    <row r="25" customFormat="false" ht="16" hidden="false" customHeight="false" outlineLevel="0" collapsed="false">
      <c r="A25" s="0" t="s">
        <v>752</v>
      </c>
      <c r="B25" s="0" t="s">
        <v>646</v>
      </c>
      <c r="C25" s="0" t="n">
        <v>26.1557590940924</v>
      </c>
      <c r="D25" s="0" t="n">
        <v>0.438103512537209</v>
      </c>
    </row>
    <row r="26" customFormat="false" ht="16" hidden="false" customHeight="false" outlineLevel="0" collapsed="false">
      <c r="A26" s="0" t="s">
        <v>752</v>
      </c>
      <c r="B26" s="0" t="s">
        <v>628</v>
      </c>
      <c r="C26" s="0" t="n">
        <v>25.3107296103726</v>
      </c>
      <c r="D26" s="0" t="n">
        <v>1.51115158394306</v>
      </c>
    </row>
    <row r="27" customFormat="false" ht="16" hidden="false" customHeight="false" outlineLevel="0" collapsed="false">
      <c r="A27" s="0" t="s">
        <v>752</v>
      </c>
      <c r="B27" s="0" t="s">
        <v>641</v>
      </c>
      <c r="C27" s="0" t="n">
        <v>19.6479684655999</v>
      </c>
      <c r="D27" s="0" t="n">
        <v>1.82212185580648</v>
      </c>
    </row>
    <row r="28" customFormat="false" ht="16" hidden="false" customHeight="false" outlineLevel="0" collapsed="false">
      <c r="A28" s="0" t="s">
        <v>752</v>
      </c>
      <c r="B28" s="0" t="s">
        <v>669</v>
      </c>
      <c r="C28" s="0" t="n">
        <v>12.6145122962017</v>
      </c>
      <c r="D28" s="0" t="n">
        <v>0.548131083938871</v>
      </c>
    </row>
    <row r="29" customFormat="false" ht="16" hidden="false" customHeight="false" outlineLevel="0" collapsed="false">
      <c r="A29" s="0" t="s">
        <v>752</v>
      </c>
      <c r="B29" s="0" t="s">
        <v>663</v>
      </c>
      <c r="C29" s="0" t="n">
        <v>14.1057849969751</v>
      </c>
      <c r="D29" s="0" t="n">
        <v>0.246764593605986</v>
      </c>
    </row>
    <row r="30" customFormat="false" ht="16" hidden="false" customHeight="false" outlineLevel="0" collapsed="false">
      <c r="A30" s="0" t="s">
        <v>752</v>
      </c>
      <c r="B30" s="0" t="s">
        <v>656</v>
      </c>
      <c r="C30" s="0" t="n">
        <v>18.9105153498174</v>
      </c>
      <c r="D30" s="0" t="n">
        <v>1.7282785106513</v>
      </c>
    </row>
    <row r="31" customFormat="false" ht="16" hidden="false" customHeight="false" outlineLevel="0" collapsed="false">
      <c r="A31" s="0" t="s">
        <v>752</v>
      </c>
      <c r="B31" s="0" t="s">
        <v>661</v>
      </c>
      <c r="C31" s="0" t="n">
        <v>22.3074633241939</v>
      </c>
      <c r="D31" s="0" t="n">
        <v>2.51010025178249</v>
      </c>
    </row>
    <row r="32" customFormat="false" ht="16" hidden="false" customHeight="false" outlineLevel="0" collapsed="false">
      <c r="A32" s="0" t="s">
        <v>752</v>
      </c>
      <c r="B32" s="0" t="s">
        <v>644</v>
      </c>
      <c r="C32" s="0" t="n">
        <v>24.0749436330153</v>
      </c>
      <c r="D32" s="0" t="n">
        <v>2.92383351456558</v>
      </c>
    </row>
    <row r="33" customFormat="false" ht="16" hidden="false" customHeight="false" outlineLevel="0" collapsed="false">
      <c r="A33" s="0" t="s">
        <v>752</v>
      </c>
      <c r="B33" s="0" t="s">
        <v>650</v>
      </c>
      <c r="C33" s="0" t="n">
        <v>23.1184790499104</v>
      </c>
      <c r="D33" s="0" t="n">
        <v>1.24111399164718</v>
      </c>
    </row>
    <row r="34" customFormat="false" ht="16" hidden="false" customHeight="false" outlineLevel="0" collapsed="false">
      <c r="A34" s="0" t="s">
        <v>752</v>
      </c>
      <c r="B34" s="0" t="s">
        <v>615</v>
      </c>
      <c r="C34" s="0" t="n">
        <v>23.6509976067659</v>
      </c>
      <c r="D34" s="0" t="n">
        <v>2.33139244127252</v>
      </c>
    </row>
    <row r="35" customFormat="false" ht="16" hidden="false" customHeight="false" outlineLevel="0" collapsed="false">
      <c r="A35" s="0" t="s">
        <v>752</v>
      </c>
      <c r="B35" s="0" t="s">
        <v>668</v>
      </c>
      <c r="C35" s="0" t="n">
        <v>15.5983926946025</v>
      </c>
      <c r="D35" s="0" t="n">
        <v>0.10680277940378</v>
      </c>
    </row>
    <row r="36" customFormat="false" ht="16" hidden="false" customHeight="false" outlineLevel="0" collapsed="false">
      <c r="A36" s="0" t="s">
        <v>752</v>
      </c>
      <c r="B36" s="0" t="s">
        <v>639</v>
      </c>
      <c r="C36" s="0" t="n">
        <v>17.6633575556842</v>
      </c>
      <c r="D36" s="0" t="n">
        <v>0.0874722806473873</v>
      </c>
    </row>
    <row r="37" customFormat="false" ht="16" hidden="false" customHeight="false" outlineLevel="0" collapsed="false">
      <c r="A37" s="0" t="s">
        <v>752</v>
      </c>
      <c r="B37" s="0" t="s">
        <v>625</v>
      </c>
      <c r="C37" s="0" t="n">
        <v>25.6431806646404</v>
      </c>
      <c r="D37" s="0" t="n">
        <v>0.325958103003252</v>
      </c>
    </row>
    <row r="38" customFormat="false" ht="16" hidden="false" customHeight="false" outlineLevel="0" collapsed="false">
      <c r="A38" s="0" t="s">
        <v>752</v>
      </c>
      <c r="B38" s="0" t="s">
        <v>659</v>
      </c>
      <c r="C38" s="0" t="n">
        <v>23.8828836615502</v>
      </c>
      <c r="D38" s="0" t="n">
        <v>0.257426042700144</v>
      </c>
    </row>
    <row r="39" customFormat="false" ht="16" hidden="false" customHeight="false" outlineLevel="0" collapsed="false">
      <c r="A39" s="0" t="s">
        <v>752</v>
      </c>
      <c r="B39" s="0" t="s">
        <v>642</v>
      </c>
      <c r="C39" s="0" t="n">
        <v>24.4314417906526</v>
      </c>
      <c r="D39" s="0" t="n">
        <v>0.0878806115768825</v>
      </c>
    </row>
    <row r="40" customFormat="false" ht="16" hidden="false" customHeight="false" outlineLevel="0" collapsed="false">
      <c r="A40" s="0" t="s">
        <v>752</v>
      </c>
      <c r="B40" s="0" t="s">
        <v>649</v>
      </c>
      <c r="C40" s="0" t="n">
        <v>24.7169691539829</v>
      </c>
      <c r="D40" s="0" t="n">
        <v>0.171305862703316</v>
      </c>
    </row>
    <row r="41" customFormat="false" ht="16" hidden="false" customHeight="false" outlineLevel="0" collapsed="false">
      <c r="A41" s="0" t="s">
        <v>752</v>
      </c>
      <c r="B41" s="0" t="s">
        <v>654</v>
      </c>
      <c r="C41" s="0" t="n">
        <v>6.13284074273525</v>
      </c>
      <c r="D41" s="0" t="n">
        <v>0.341492282808371</v>
      </c>
    </row>
    <row r="42" customFormat="false" ht="16" hidden="false" customHeight="false" outlineLevel="0" collapsed="false">
      <c r="A42" s="0" t="s">
        <v>752</v>
      </c>
      <c r="B42" s="0" t="s">
        <v>606</v>
      </c>
      <c r="C42" s="0" t="n">
        <v>5.54836626344597</v>
      </c>
      <c r="D42" s="0" t="n">
        <v>0.627293414729047</v>
      </c>
    </row>
    <row r="43" customFormat="false" ht="16" hidden="false" customHeight="false" outlineLevel="0" collapsed="false">
      <c r="A43" s="0" t="s">
        <v>752</v>
      </c>
      <c r="B43" s="0" t="s">
        <v>667</v>
      </c>
      <c r="C43" s="0" t="n">
        <v>4.92225340481786</v>
      </c>
      <c r="D43" s="0" t="n">
        <v>1.1667512253892</v>
      </c>
    </row>
    <row r="44" customFormat="false" ht="16" hidden="false" customHeight="false" outlineLevel="0" collapsed="false">
      <c r="A44" s="0" t="s">
        <v>753</v>
      </c>
      <c r="B44" s="0" t="s">
        <v>670</v>
      </c>
      <c r="C44" s="0" t="n">
        <v>-0.821130096912384</v>
      </c>
      <c r="D44" s="0" t="n">
        <v>0.0144956428557634</v>
      </c>
    </row>
    <row r="45" customFormat="false" ht="16" hidden="false" customHeight="false" outlineLevel="0" collapsed="false">
      <c r="A45" s="0" t="s">
        <v>753</v>
      </c>
      <c r="B45" s="0" t="s">
        <v>697</v>
      </c>
      <c r="C45" s="0" t="n">
        <v>2.07884540535266</v>
      </c>
      <c r="D45" s="0" t="n">
        <v>1.60426645848094</v>
      </c>
    </row>
    <row r="46" customFormat="false" ht="16" hidden="false" customHeight="false" outlineLevel="0" collapsed="false">
      <c r="A46" s="0" t="s">
        <v>753</v>
      </c>
      <c r="B46" s="0" t="s">
        <v>694</v>
      </c>
      <c r="C46" s="0" t="n">
        <v>3.40001797676086</v>
      </c>
      <c r="D46" s="0" t="n">
        <v>0.0806265398859978</v>
      </c>
    </row>
    <row r="47" customFormat="false" ht="16" hidden="false" customHeight="false" outlineLevel="0" collapsed="false">
      <c r="A47" s="0" t="s">
        <v>753</v>
      </c>
      <c r="B47" s="0" t="s">
        <v>754</v>
      </c>
      <c r="C47" s="0" t="n">
        <v>3.83083344757499</v>
      </c>
      <c r="D47" s="0" t="n">
        <v>1.18329125929453</v>
      </c>
    </row>
    <row r="48" customFormat="false" ht="16" hidden="false" customHeight="false" outlineLevel="0" collapsed="false">
      <c r="A48" s="0" t="s">
        <v>753</v>
      </c>
      <c r="B48" s="0" t="s">
        <v>679</v>
      </c>
      <c r="C48" s="0" t="n">
        <v>5.83761488650836</v>
      </c>
      <c r="D48" s="0" t="n">
        <v>2.2169787330039</v>
      </c>
    </row>
    <row r="49" customFormat="false" ht="16" hidden="false" customHeight="false" outlineLevel="0" collapsed="false">
      <c r="A49" s="0" t="s">
        <v>753</v>
      </c>
      <c r="B49" s="0" t="s">
        <v>681</v>
      </c>
      <c r="C49" s="0" t="n">
        <v>8.16259006717674</v>
      </c>
      <c r="D49" s="0" t="n">
        <v>1.65157292423609</v>
      </c>
    </row>
    <row r="50" customFormat="false" ht="16" hidden="false" customHeight="false" outlineLevel="0" collapsed="false">
      <c r="A50" s="0" t="s">
        <v>753</v>
      </c>
      <c r="B50" s="0" t="s">
        <v>696</v>
      </c>
      <c r="C50" s="0" t="n">
        <v>8.19202741954986</v>
      </c>
      <c r="D50" s="0" t="n">
        <v>0.669836742188164</v>
      </c>
    </row>
    <row r="51" customFormat="false" ht="16" hidden="false" customHeight="false" outlineLevel="0" collapsed="false">
      <c r="A51" s="0" t="s">
        <v>753</v>
      </c>
      <c r="B51" s="0" t="s">
        <v>677</v>
      </c>
      <c r="C51" s="0" t="n">
        <v>7.9404835118551</v>
      </c>
      <c r="D51" s="0" t="n">
        <v>1.91257585151911</v>
      </c>
    </row>
    <row r="52" customFormat="false" ht="16" hidden="false" customHeight="false" outlineLevel="0" collapsed="false">
      <c r="A52" s="0" t="s">
        <v>753</v>
      </c>
      <c r="B52" s="0" t="s">
        <v>692</v>
      </c>
      <c r="C52" s="0" t="n">
        <v>9.01542170113891</v>
      </c>
      <c r="D52" s="0" t="n">
        <v>1.58772731678765</v>
      </c>
    </row>
    <row r="53" customFormat="false" ht="16" hidden="false" customHeight="false" outlineLevel="0" collapsed="false">
      <c r="A53" s="0" t="s">
        <v>753</v>
      </c>
      <c r="B53" s="0" t="s">
        <v>673</v>
      </c>
      <c r="C53" s="0" t="n">
        <v>6.89037468084481</v>
      </c>
      <c r="D53" s="0" t="n">
        <v>0.391643369606826</v>
      </c>
    </row>
    <row r="54" customFormat="false" ht="16" hidden="false" customHeight="false" outlineLevel="0" collapsed="false">
      <c r="A54" s="0" t="s">
        <v>753</v>
      </c>
      <c r="B54" s="0" t="s">
        <v>690</v>
      </c>
      <c r="C54" s="0" t="n">
        <v>19.4985039441383</v>
      </c>
      <c r="D54" s="0" t="n">
        <v>0.733489746212406</v>
      </c>
    </row>
    <row r="55" customFormat="false" ht="16" hidden="false" customHeight="false" outlineLevel="0" collapsed="false">
      <c r="A55" s="0" t="s">
        <v>753</v>
      </c>
      <c r="B55" s="0" t="s">
        <v>698</v>
      </c>
      <c r="C55" s="0" t="n">
        <v>15.6557748408438</v>
      </c>
      <c r="D55" s="0" t="n">
        <v>0.585855679504514</v>
      </c>
    </row>
    <row r="56" customFormat="false" ht="16" hidden="false" customHeight="false" outlineLevel="0" collapsed="false">
      <c r="A56" s="0" t="s">
        <v>753</v>
      </c>
      <c r="B56" s="0" t="s">
        <v>699</v>
      </c>
      <c r="C56" s="0" t="n">
        <v>14.0652958761375</v>
      </c>
      <c r="D56" s="0" t="n">
        <v>1.89898655346832</v>
      </c>
    </row>
    <row r="57" customFormat="false" ht="16" hidden="false" customHeight="false" outlineLevel="0" collapsed="false">
      <c r="A57" s="0" t="s">
        <v>753</v>
      </c>
      <c r="B57" s="0" t="s">
        <v>700</v>
      </c>
      <c r="C57" s="0" t="n">
        <v>10.8304141955222</v>
      </c>
      <c r="D57" s="0" t="n">
        <v>1.75624503202816</v>
      </c>
    </row>
    <row r="58" customFormat="false" ht="16" hidden="false" customHeight="false" outlineLevel="0" collapsed="false">
      <c r="A58" s="0" t="s">
        <v>753</v>
      </c>
      <c r="B58" s="0" t="s">
        <v>701</v>
      </c>
      <c r="C58" s="0" t="n">
        <v>12.7683667408517</v>
      </c>
      <c r="D58" s="0" t="n">
        <v>2.01925461943496</v>
      </c>
    </row>
    <row r="59" customFormat="false" ht="16" hidden="false" customHeight="false" outlineLevel="0" collapsed="false">
      <c r="A59" s="0" t="s">
        <v>753</v>
      </c>
      <c r="B59" s="0" t="s">
        <v>702</v>
      </c>
      <c r="C59" s="0" t="n">
        <v>13.3901062911485</v>
      </c>
      <c r="D59" s="0" t="n">
        <v>0.498902986573574</v>
      </c>
    </row>
    <row r="60" customFormat="false" ht="16" hidden="false" customHeight="false" outlineLevel="0" collapsed="false">
      <c r="A60" s="0" t="s">
        <v>753</v>
      </c>
      <c r="B60" s="0" t="s">
        <v>703</v>
      </c>
      <c r="C60" s="0" t="n">
        <v>12.4938006710997</v>
      </c>
      <c r="D60" s="0" t="n">
        <v>1.58298768569112</v>
      </c>
    </row>
    <row r="61" customFormat="false" ht="16" hidden="false" customHeight="false" outlineLevel="0" collapsed="false">
      <c r="A61" s="0" t="s">
        <v>753</v>
      </c>
      <c r="B61" s="0" t="s">
        <v>711</v>
      </c>
      <c r="C61" s="0" t="n">
        <v>13.2296699793709</v>
      </c>
      <c r="D61" s="0" t="n">
        <v>0.704838731943063</v>
      </c>
    </row>
    <row r="62" customFormat="false" ht="16" hidden="false" customHeight="false" outlineLevel="0" collapsed="false">
      <c r="A62" s="0" t="s">
        <v>753</v>
      </c>
      <c r="B62" s="0" t="s">
        <v>711</v>
      </c>
      <c r="C62" s="0" t="n">
        <v>13.411429196731</v>
      </c>
      <c r="D62" s="0" t="n">
        <v>1.13531882494764</v>
      </c>
    </row>
    <row r="63" customFormat="false" ht="16" hidden="false" customHeight="false" outlineLevel="0" collapsed="false">
      <c r="A63" s="0" t="s">
        <v>753</v>
      </c>
      <c r="B63" s="0" t="s">
        <v>710</v>
      </c>
      <c r="C63" s="0" t="n">
        <v>16.766925218273</v>
      </c>
      <c r="D63" s="0" t="n">
        <v>0.165232466624372</v>
      </c>
    </row>
    <row r="64" customFormat="false" ht="16" hidden="false" customHeight="false" outlineLevel="0" collapsed="false">
      <c r="A64" s="0" t="s">
        <v>753</v>
      </c>
      <c r="B64" s="0" t="s">
        <v>706</v>
      </c>
      <c r="C64" s="0" t="n">
        <v>24.3546414388345</v>
      </c>
      <c r="D64" s="0" t="n">
        <v>0.785807557330183</v>
      </c>
    </row>
    <row r="65" customFormat="false" ht="16" hidden="false" customHeight="false" outlineLevel="0" collapsed="false">
      <c r="A65" s="0" t="s">
        <v>753</v>
      </c>
      <c r="B65" s="0" t="s">
        <v>708</v>
      </c>
      <c r="C65" s="0" t="n">
        <v>18.6381556598522</v>
      </c>
      <c r="D65" s="0" t="n">
        <v>1.51335370687329</v>
      </c>
    </row>
    <row r="66" customFormat="false" ht="16" hidden="false" customHeight="false" outlineLevel="0" collapsed="false">
      <c r="A66" s="0" t="s">
        <v>753</v>
      </c>
      <c r="B66" s="0" t="s">
        <v>704</v>
      </c>
      <c r="C66" s="0" t="n">
        <v>22.846364292579</v>
      </c>
      <c r="D66" s="0" t="n">
        <v>1.60913333812419</v>
      </c>
    </row>
    <row r="67" customFormat="false" ht="16" hidden="false" customHeight="false" outlineLevel="0" collapsed="false">
      <c r="A67" s="0" t="s">
        <v>753</v>
      </c>
      <c r="B67" s="0" t="s">
        <v>685</v>
      </c>
      <c r="C67" s="0" t="n">
        <v>24.586862875051</v>
      </c>
      <c r="D67" s="0" t="n">
        <v>2.00866356776775</v>
      </c>
    </row>
    <row r="68" customFormat="false" ht="16" hidden="false" customHeight="false" outlineLevel="0" collapsed="false">
      <c r="A68" s="0" t="s">
        <v>753</v>
      </c>
      <c r="B68" s="0" t="s">
        <v>709</v>
      </c>
      <c r="C68" s="0" t="n">
        <v>19.3876603800293</v>
      </c>
      <c r="D68" s="0" t="n">
        <v>0.814079811332241</v>
      </c>
    </row>
    <row r="69" customFormat="false" ht="16" hidden="false" customHeight="false" outlineLevel="0" collapsed="false">
      <c r="A69" s="0" t="s">
        <v>753</v>
      </c>
      <c r="B69" s="0" t="s">
        <v>705</v>
      </c>
      <c r="C69" s="0" t="n">
        <v>21.7060291970534</v>
      </c>
      <c r="D69" s="0" t="n">
        <v>0.839430256798423</v>
      </c>
    </row>
    <row r="70" customFormat="false" ht="16" hidden="false" customHeight="false" outlineLevel="0" collapsed="false">
      <c r="A70" s="0" t="s">
        <v>753</v>
      </c>
      <c r="B70" s="0" t="s">
        <v>688</v>
      </c>
      <c r="C70" s="0" t="n">
        <v>25.7003605611701</v>
      </c>
      <c r="D70" s="0" t="n">
        <v>0.842872414014887</v>
      </c>
    </row>
    <row r="71" customFormat="false" ht="16" hidden="false" customHeight="false" outlineLevel="0" collapsed="false">
      <c r="A71" s="0" t="s">
        <v>753</v>
      </c>
      <c r="B71" s="0" t="s">
        <v>683</v>
      </c>
      <c r="C71" s="0" t="n">
        <v>9.95628599961163</v>
      </c>
      <c r="D71" s="0" t="n">
        <v>0.603551565479644</v>
      </c>
    </row>
    <row r="72" customFormat="false" ht="16" hidden="false" customHeight="false" outlineLevel="0" collapsed="false">
      <c r="A72" s="0" t="s">
        <v>438</v>
      </c>
      <c r="B72" s="0" t="s">
        <v>437</v>
      </c>
      <c r="C72" s="0" t="n">
        <v>19.514605930899</v>
      </c>
      <c r="D72" s="0" t="n">
        <v>2.4528865814209</v>
      </c>
    </row>
    <row r="73" customFormat="false" ht="16" hidden="false" customHeight="false" outlineLevel="0" collapsed="false">
      <c r="A73" s="0" t="s">
        <v>438</v>
      </c>
      <c r="B73" s="0" t="s">
        <v>444</v>
      </c>
      <c r="C73" s="0" t="n">
        <v>19.8331865451445</v>
      </c>
      <c r="D73" s="0" t="n">
        <v>2.9044647216797</v>
      </c>
    </row>
    <row r="74" customFormat="false" ht="16" hidden="false" customHeight="false" outlineLevel="0" collapsed="false">
      <c r="A74" s="0" t="s">
        <v>438</v>
      </c>
      <c r="B74" s="0" t="s">
        <v>447</v>
      </c>
      <c r="C74" s="0" t="n">
        <v>19.4798553820405</v>
      </c>
      <c r="D74" s="0" t="n">
        <v>2.6444129943847</v>
      </c>
    </row>
    <row r="75" customFormat="false" ht="16" hidden="false" customHeight="false" outlineLevel="0" collapsed="false">
      <c r="A75" s="0" t="s">
        <v>438</v>
      </c>
      <c r="B75" s="0" t="s">
        <v>450</v>
      </c>
      <c r="C75" s="0" t="n">
        <v>16.9999607059675</v>
      </c>
      <c r="D75" s="0" t="n">
        <v>4.6881437301636</v>
      </c>
    </row>
    <row r="76" customFormat="false" ht="16" hidden="false" customHeight="false" outlineLevel="0" collapsed="false">
      <c r="A76" s="0" t="s">
        <v>438</v>
      </c>
      <c r="B76" s="0" t="s">
        <v>453</v>
      </c>
      <c r="C76" s="0" t="n">
        <v>17.2150274327722</v>
      </c>
      <c r="D76" s="0" t="n">
        <v>2.7173557281494</v>
      </c>
    </row>
    <row r="77" customFormat="false" ht="16" hidden="false" customHeight="false" outlineLevel="0" collapsed="false">
      <c r="A77" s="0" t="s">
        <v>438</v>
      </c>
      <c r="B77" s="0" t="s">
        <v>530</v>
      </c>
      <c r="C77" s="0" t="n">
        <v>5.68688854957961</v>
      </c>
      <c r="D77" s="0" t="n">
        <v>0.325520992279049</v>
      </c>
    </row>
    <row r="78" customFormat="false" ht="16" hidden="false" customHeight="false" outlineLevel="0" collapsed="false">
      <c r="A78" s="0" t="s">
        <v>438</v>
      </c>
      <c r="B78" s="0" t="s">
        <v>462</v>
      </c>
      <c r="C78" s="0" t="n">
        <v>12.8696165084839</v>
      </c>
      <c r="D78" s="0" t="n">
        <v>0.132174804806709</v>
      </c>
    </row>
    <row r="79" customFormat="false" ht="16" hidden="false" customHeight="false" outlineLevel="0" collapsed="false">
      <c r="A79" s="0" t="s">
        <v>438</v>
      </c>
      <c r="B79" s="0" t="s">
        <v>470</v>
      </c>
      <c r="C79" s="0" t="n">
        <v>6.07732942000838</v>
      </c>
      <c r="D79" s="0" t="n">
        <v>0.81736707687378</v>
      </c>
    </row>
    <row r="80" customFormat="false" ht="16" hidden="false" customHeight="false" outlineLevel="0" collapsed="false">
      <c r="A80" s="0" t="s">
        <v>438</v>
      </c>
      <c r="B80" s="0" t="s">
        <v>475</v>
      </c>
      <c r="C80" s="0" t="n">
        <v>4.62566950476197</v>
      </c>
      <c r="D80" s="0" t="n">
        <v>0.397335529327391</v>
      </c>
    </row>
    <row r="81" customFormat="false" ht="16" hidden="false" customHeight="false" outlineLevel="0" collapsed="false">
      <c r="A81" s="0" t="s">
        <v>438</v>
      </c>
      <c r="B81" s="0" t="s">
        <v>465</v>
      </c>
      <c r="C81" s="0" t="n">
        <v>7.14185967116138</v>
      </c>
      <c r="D81" s="0" t="n">
        <v>0.52837991714478</v>
      </c>
    </row>
    <row r="82" customFormat="false" ht="16" hidden="false" customHeight="false" outlineLevel="0" collapsed="false">
      <c r="A82" s="0" t="s">
        <v>438</v>
      </c>
      <c r="B82" s="0" t="s">
        <v>487</v>
      </c>
      <c r="C82" s="0" t="n">
        <v>28.0740432739258</v>
      </c>
      <c r="D82" s="0" t="n">
        <v>0.245167806744576</v>
      </c>
    </row>
    <row r="83" customFormat="false" ht="16" hidden="false" customHeight="false" outlineLevel="0" collapsed="false">
      <c r="A83" s="0" t="s">
        <v>438</v>
      </c>
      <c r="B83" s="0" t="s">
        <v>490</v>
      </c>
      <c r="C83" s="0" t="n">
        <v>15.7736814634686</v>
      </c>
      <c r="D83" s="0" t="n">
        <v>1.0025424957275</v>
      </c>
    </row>
    <row r="84" customFormat="false" ht="16" hidden="false" customHeight="false" outlineLevel="0" collapsed="false">
      <c r="A84" s="0" t="s">
        <v>438</v>
      </c>
      <c r="B84" s="0" t="s">
        <v>480</v>
      </c>
      <c r="C84" s="0" t="n">
        <v>8.96780067474895</v>
      </c>
      <c r="D84" s="0" t="n">
        <v>0.336747169494629</v>
      </c>
    </row>
    <row r="85" customFormat="false" ht="16" hidden="false" customHeight="false" outlineLevel="0" collapsed="false">
      <c r="A85" s="0" t="s">
        <v>438</v>
      </c>
      <c r="B85" s="0" t="s">
        <v>493</v>
      </c>
      <c r="C85" s="0" t="n">
        <v>28.0740432739258</v>
      </c>
      <c r="D85" s="0" t="n">
        <v>0.245167806744576</v>
      </c>
    </row>
    <row r="86" customFormat="false" ht="16" hidden="false" customHeight="false" outlineLevel="0" collapsed="false">
      <c r="A86" s="0" t="s">
        <v>438</v>
      </c>
      <c r="B86" s="0" t="s">
        <v>496</v>
      </c>
      <c r="C86" s="0" t="n">
        <v>16.0289166074354</v>
      </c>
      <c r="D86" s="0" t="n">
        <v>1.0256538391114</v>
      </c>
    </row>
    <row r="87" customFormat="false" ht="16" hidden="false" customHeight="false" outlineLevel="0" collapsed="false">
      <c r="A87" s="0" t="s">
        <v>438</v>
      </c>
      <c r="B87" s="0" t="s">
        <v>502</v>
      </c>
      <c r="C87" s="0" t="n">
        <v>24.4851894378662</v>
      </c>
      <c r="D87" s="0" t="n">
        <v>0.159995153546333</v>
      </c>
    </row>
    <row r="88" customFormat="false" ht="16" hidden="false" customHeight="false" outlineLevel="0" collapsed="false">
      <c r="A88" s="0" t="s">
        <v>438</v>
      </c>
      <c r="B88" s="0" t="s">
        <v>499</v>
      </c>
      <c r="C88" s="0" t="n">
        <v>28.0740432739258</v>
      </c>
      <c r="D88" s="0" t="n">
        <v>0.245167806744576</v>
      </c>
    </row>
    <row r="89" customFormat="false" ht="16" hidden="false" customHeight="false" outlineLevel="0" collapsed="false">
      <c r="A89" s="0" t="s">
        <v>438</v>
      </c>
      <c r="B89" s="0" t="s">
        <v>504</v>
      </c>
      <c r="C89" s="0" t="n">
        <v>13.5994660148312</v>
      </c>
      <c r="D89" s="0" t="n">
        <v>0.721370697021499</v>
      </c>
    </row>
    <row r="90" customFormat="false" ht="16" hidden="false" customHeight="false" outlineLevel="0" collapsed="false">
      <c r="A90" s="0" t="s">
        <v>438</v>
      </c>
      <c r="B90" s="0" t="s">
        <v>506</v>
      </c>
      <c r="C90" s="0" t="n">
        <v>21.8607516612818</v>
      </c>
      <c r="D90" s="0" t="n">
        <v>2.0837631225586</v>
      </c>
    </row>
    <row r="91" customFormat="false" ht="16" hidden="false" customHeight="false" outlineLevel="0" collapsed="false">
      <c r="A91" s="0" t="s">
        <v>438</v>
      </c>
      <c r="B91" s="0" t="s">
        <v>508</v>
      </c>
      <c r="C91" s="0" t="n">
        <v>23.7114950018947</v>
      </c>
      <c r="D91" s="0" t="n">
        <v>0.7047119140625</v>
      </c>
    </row>
    <row r="92" customFormat="false" ht="16" hidden="false" customHeight="false" outlineLevel="0" collapsed="false">
      <c r="A92" s="0" t="s">
        <v>438</v>
      </c>
      <c r="B92" s="0" t="s">
        <v>514</v>
      </c>
      <c r="C92" s="0" t="n">
        <v>27.4708534228473</v>
      </c>
      <c r="D92" s="0" t="n">
        <v>0.70339012146</v>
      </c>
    </row>
    <row r="93" customFormat="false" ht="16" hidden="false" customHeight="false" outlineLevel="0" collapsed="false">
      <c r="A93" s="0" t="s">
        <v>438</v>
      </c>
      <c r="B93" s="0" t="s">
        <v>511</v>
      </c>
      <c r="C93" s="0" t="n">
        <v>21.6971105350146</v>
      </c>
      <c r="D93" s="0" t="n">
        <v>5.7951431274414</v>
      </c>
    </row>
    <row r="94" customFormat="false" ht="16" hidden="false" customHeight="false" outlineLevel="0" collapsed="false">
      <c r="A94" s="0" t="s">
        <v>438</v>
      </c>
      <c r="B94" s="0" t="s">
        <v>519</v>
      </c>
      <c r="C94" s="0" t="n">
        <v>27.772365103366</v>
      </c>
      <c r="D94" s="0" t="n">
        <v>2.1738147735595</v>
      </c>
    </row>
    <row r="95" customFormat="false" ht="16" hidden="false" customHeight="false" outlineLevel="0" collapsed="false">
      <c r="A95" s="0" t="s">
        <v>438</v>
      </c>
      <c r="B95" s="0" t="s">
        <v>516</v>
      </c>
      <c r="C95" s="0" t="n">
        <v>25.6439971446695</v>
      </c>
      <c r="D95" s="0" t="n">
        <v>4.0556106567383</v>
      </c>
    </row>
    <row r="96" customFormat="false" ht="16" hidden="false" customHeight="false" outlineLevel="0" collapsed="false">
      <c r="A96" s="0" t="s">
        <v>438</v>
      </c>
      <c r="B96" s="0" t="s">
        <v>522</v>
      </c>
      <c r="C96" s="0" t="n">
        <v>2.91652083396912</v>
      </c>
      <c r="D96" s="0" t="n">
        <v>0.0280412063002586</v>
      </c>
    </row>
    <row r="97" customFormat="false" ht="16" hidden="false" customHeight="false" outlineLevel="0" collapsed="false">
      <c r="A97" s="0" t="s">
        <v>438</v>
      </c>
      <c r="B97" s="0" t="s">
        <v>525</v>
      </c>
      <c r="C97" s="0" t="n">
        <v>10.0662824114964</v>
      </c>
      <c r="D97" s="0" t="n">
        <v>0.577702522277861</v>
      </c>
    </row>
    <row r="98" customFormat="false" ht="16" hidden="false" customHeight="false" outlineLevel="0" collapsed="false">
      <c r="A98" s="0" t="s">
        <v>438</v>
      </c>
      <c r="B98" s="0" t="s">
        <v>528</v>
      </c>
      <c r="C98" s="0" t="n">
        <v>5.16096479894687</v>
      </c>
      <c r="D98" s="0" t="n">
        <v>0.26849460601806</v>
      </c>
    </row>
    <row r="99" customFormat="false" ht="16" hidden="false" customHeight="false" outlineLevel="0" collapsed="false">
      <c r="A99" s="0" t="s">
        <v>438</v>
      </c>
      <c r="B99" s="0" t="s">
        <v>456</v>
      </c>
      <c r="C99" s="0" t="n">
        <v>16.3842537452789</v>
      </c>
      <c r="D99" s="0" t="n">
        <v>1.6081829071045</v>
      </c>
    </row>
    <row r="100" customFormat="false" ht="16" hidden="false" customHeight="false" outlineLevel="0" collapsed="false">
      <c r="A100" s="0" t="s">
        <v>438</v>
      </c>
      <c r="B100" s="0" t="s">
        <v>459</v>
      </c>
      <c r="C100" s="0" t="n">
        <v>14.8422749775435</v>
      </c>
      <c r="D100" s="0" t="n">
        <v>2.0996971130371</v>
      </c>
    </row>
    <row r="101" customFormat="false" ht="16" hidden="false" customHeight="false" outlineLevel="0" collapsed="false">
      <c r="A101" s="0" t="s">
        <v>438</v>
      </c>
      <c r="B101" s="0" t="s">
        <v>533</v>
      </c>
      <c r="C101" s="0" t="n">
        <v>-0.402187877172975</v>
      </c>
      <c r="D101" s="0" t="n">
        <v>0.224469132721424</v>
      </c>
    </row>
    <row r="102" customFormat="false" ht="16" hidden="false" customHeight="false" outlineLevel="0" collapsed="false">
      <c r="A102" s="0" t="s">
        <v>438</v>
      </c>
      <c r="B102" s="0" t="s">
        <v>536</v>
      </c>
      <c r="C102" s="0" t="n">
        <v>-0.111070609379583</v>
      </c>
      <c r="D102" s="0" t="n">
        <v>0.0903146788477896</v>
      </c>
    </row>
    <row r="103" customFormat="false" ht="16" hidden="false" customHeight="false" outlineLevel="0" collapsed="false">
      <c r="A103" s="0" t="s">
        <v>438</v>
      </c>
      <c r="B103" s="0" t="s">
        <v>539</v>
      </c>
      <c r="C103" s="0" t="n">
        <v>15.7407695437972</v>
      </c>
      <c r="D103" s="0" t="n">
        <v>1.4353151321412</v>
      </c>
    </row>
    <row r="104" customFormat="false" ht="16" hidden="false" customHeight="false" outlineLevel="0" collapsed="false">
      <c r="A104" s="0" t="s">
        <v>438</v>
      </c>
      <c r="B104" s="0" t="s">
        <v>548</v>
      </c>
      <c r="C104" s="0" t="n">
        <v>9.70832713930361</v>
      </c>
      <c r="D104" s="0" t="n">
        <v>0.60069751739502</v>
      </c>
    </row>
    <row r="105" customFormat="false" ht="16" hidden="false" customHeight="false" outlineLevel="0" collapsed="false">
      <c r="A105" s="0" t="s">
        <v>438</v>
      </c>
      <c r="B105" s="0" t="s">
        <v>543</v>
      </c>
      <c r="C105" s="0" t="n">
        <v>11.5924364026321</v>
      </c>
      <c r="D105" s="0" t="n">
        <v>0.942798614501999</v>
      </c>
    </row>
    <row r="106" customFormat="false" ht="16" hidden="false" customHeight="false" outlineLevel="0" collapsed="false">
      <c r="A106" s="0" t="s">
        <v>438</v>
      </c>
      <c r="B106" s="0" t="s">
        <v>551</v>
      </c>
      <c r="C106" s="0" t="n">
        <v>27.0430101508925</v>
      </c>
      <c r="D106" s="0" t="n">
        <v>2.877836227417</v>
      </c>
    </row>
    <row r="107" customFormat="false" ht="16" hidden="false" customHeight="false" outlineLevel="0" collapsed="false">
      <c r="A107" s="0" t="s">
        <v>438</v>
      </c>
      <c r="B107" s="0" t="s">
        <v>554</v>
      </c>
      <c r="C107" s="0" t="n">
        <v>25.3238758796692</v>
      </c>
      <c r="D107" s="0" t="n">
        <v>4.0639705657959</v>
      </c>
    </row>
    <row r="108" customFormat="false" ht="16" hidden="false" customHeight="false" outlineLevel="0" collapsed="false">
      <c r="A108" s="0" t="s">
        <v>438</v>
      </c>
      <c r="B108" s="0" t="s">
        <v>755</v>
      </c>
      <c r="C108" s="0" t="e">
        <f aca="false">#N/A</f>
        <v>#N/A</v>
      </c>
      <c r="D108" s="0" t="n">
        <v>3.0620346069336</v>
      </c>
    </row>
    <row r="109" customFormat="false" ht="16" hidden="false" customHeight="false" outlineLevel="0" collapsed="false">
      <c r="A109" s="0" t="s">
        <v>438</v>
      </c>
      <c r="B109" s="0" t="s">
        <v>441</v>
      </c>
      <c r="C109" s="0" t="n">
        <v>25.6353273477643</v>
      </c>
      <c r="D109" s="0" t="n">
        <v>4.689323425293</v>
      </c>
    </row>
    <row r="110" customFormat="false" ht="16" hidden="false" customHeight="false" outlineLevel="0" collapsed="false">
      <c r="B110" s="0" t="s">
        <v>52</v>
      </c>
      <c r="C110" s="0" t="n">
        <v>19.399192918054</v>
      </c>
      <c r="D110" s="0" t="n">
        <v>1.7928161621094</v>
      </c>
    </row>
    <row r="111" customFormat="false" ht="16" hidden="false" customHeight="false" outlineLevel="0" collapsed="false">
      <c r="B111" s="0" t="s">
        <v>65</v>
      </c>
      <c r="C111" s="0" t="n">
        <v>28.4411743013211</v>
      </c>
      <c r="D111" s="0" t="n">
        <v>0.4600009918213</v>
      </c>
    </row>
    <row r="112" customFormat="false" ht="16" hidden="false" customHeight="false" outlineLevel="0" collapsed="false">
      <c r="B112" s="0" t="s">
        <v>73</v>
      </c>
      <c r="C112" s="0" t="n">
        <v>18.8607966252616</v>
      </c>
      <c r="D112" s="0" t="n">
        <v>1.7928161621094</v>
      </c>
    </row>
    <row r="113" customFormat="false" ht="16" hidden="false" customHeight="false" outlineLevel="0" collapsed="false">
      <c r="B113" s="0" t="s">
        <v>75</v>
      </c>
      <c r="C113" s="0" t="n">
        <v>9.24781913919639</v>
      </c>
      <c r="D113" s="0" t="n">
        <v>0.200197219848629</v>
      </c>
    </row>
    <row r="114" customFormat="false" ht="16" hidden="false" customHeight="false" outlineLevel="0" collapsed="false">
      <c r="B114" s="0" t="s">
        <v>86</v>
      </c>
      <c r="C114" s="0" t="n">
        <v>11.199460022821</v>
      </c>
      <c r="D114" s="0" t="n">
        <v>0.1144056320191</v>
      </c>
    </row>
    <row r="115" customFormat="false" ht="16" hidden="false" customHeight="false" outlineLevel="0" collapsed="false">
      <c r="B115" s="0" t="s">
        <v>94</v>
      </c>
      <c r="C115" s="0" t="n">
        <v>9.35269597192829</v>
      </c>
      <c r="D115" s="0" t="n">
        <v>0.281136512756349</v>
      </c>
    </row>
    <row r="116" customFormat="false" ht="16" hidden="false" customHeight="false" outlineLevel="0" collapsed="false">
      <c r="B116" s="0" t="s">
        <v>99</v>
      </c>
      <c r="C116" s="0" t="n">
        <v>9.40378926503574</v>
      </c>
      <c r="D116" s="0" t="n">
        <v>0.281136512756349</v>
      </c>
    </row>
    <row r="117" customFormat="false" ht="16" hidden="false" customHeight="false" outlineLevel="0" collapsed="false">
      <c r="B117" s="0" t="s">
        <v>101</v>
      </c>
      <c r="C117" s="0" t="n">
        <v>8.25142997237538</v>
      </c>
      <c r="D117" s="0" t="n">
        <v>0.360736370086671</v>
      </c>
    </row>
    <row r="118" customFormat="false" ht="16" hidden="false" customHeight="false" outlineLevel="0" collapsed="false">
      <c r="B118" s="0" t="s">
        <v>108</v>
      </c>
      <c r="C118" s="0" t="n">
        <v>9.01539964636174</v>
      </c>
      <c r="D118" s="0" t="n">
        <v>0.22110652923584</v>
      </c>
    </row>
    <row r="119" customFormat="false" ht="16" hidden="false" customHeight="false" outlineLevel="0" collapsed="false">
      <c r="B119" s="0" t="s">
        <v>111</v>
      </c>
      <c r="C119" s="0" t="n">
        <v>9.07311266313437</v>
      </c>
      <c r="D119" s="0" t="n">
        <v>0.49534893035888</v>
      </c>
    </row>
    <row r="120" customFormat="false" ht="16" hidden="false" customHeight="false" outlineLevel="0" collapsed="false">
      <c r="B120" s="0" t="s">
        <v>114</v>
      </c>
      <c r="C120" s="0" t="n">
        <v>9.0644329882666</v>
      </c>
      <c r="D120" s="0" t="n">
        <v>0.22110652923584</v>
      </c>
    </row>
    <row r="121" customFormat="false" ht="16" hidden="false" customHeight="false" outlineLevel="0" collapsed="false">
      <c r="B121" s="0" t="s">
        <v>117</v>
      </c>
      <c r="C121" s="0" t="n">
        <v>19.2435869864156</v>
      </c>
      <c r="D121" s="0" t="n">
        <v>1.1674976348877</v>
      </c>
    </row>
    <row r="122" customFormat="false" ht="16" hidden="false" customHeight="false" outlineLevel="0" collapsed="false">
      <c r="B122" s="0" t="s">
        <v>122</v>
      </c>
      <c r="C122" s="0" t="n">
        <v>9.28649434907373</v>
      </c>
      <c r="D122" s="0" t="n">
        <v>0.3594913482666</v>
      </c>
    </row>
    <row r="123" customFormat="false" ht="16" hidden="false" customHeight="false" outlineLevel="0" collapsed="false">
      <c r="B123" s="0" t="s">
        <v>126</v>
      </c>
      <c r="C123" s="0" t="n">
        <v>25.0508900884719</v>
      </c>
      <c r="D123" s="0" t="n">
        <v>0.630332946777401</v>
      </c>
    </row>
    <row r="124" customFormat="false" ht="16" hidden="false" customHeight="false" outlineLevel="0" collapsed="false">
      <c r="B124" s="0" t="s">
        <v>128</v>
      </c>
      <c r="C124" s="0" t="n">
        <v>23.7863393740519</v>
      </c>
      <c r="D124" s="0" t="n">
        <v>0.151922225952099</v>
      </c>
    </row>
    <row r="125" customFormat="false" ht="16" hidden="false" customHeight="false" outlineLevel="0" collapsed="false">
      <c r="B125" s="0" t="s">
        <v>129</v>
      </c>
      <c r="C125" s="0" t="n">
        <v>23.5068795549695</v>
      </c>
      <c r="D125" s="0" t="n">
        <v>0.213911056518601</v>
      </c>
    </row>
    <row r="126" customFormat="false" ht="16" hidden="false" customHeight="false" outlineLevel="0" collapsed="false">
      <c r="B126" s="0" t="s">
        <v>131</v>
      </c>
      <c r="C126" s="0" t="n">
        <v>23.0870431186438</v>
      </c>
      <c r="D126" s="0" t="n">
        <v>0.777135848998999</v>
      </c>
    </row>
    <row r="127" customFormat="false" ht="16" hidden="false" customHeight="false" outlineLevel="0" collapsed="false">
      <c r="B127" s="0" t="s">
        <v>136</v>
      </c>
      <c r="C127" s="0" t="n">
        <v>10.6026433784806</v>
      </c>
      <c r="D127" s="0" t="n">
        <v>0.1038608551025</v>
      </c>
    </row>
    <row r="128" customFormat="false" ht="16" hidden="false" customHeight="false" outlineLevel="0" collapsed="false">
      <c r="B128" s="0" t="s">
        <v>140</v>
      </c>
      <c r="C128" s="0" t="n">
        <v>23.7433369937115</v>
      </c>
      <c r="D128" s="0" t="n">
        <v>0.263259887695302</v>
      </c>
    </row>
    <row r="129" customFormat="false" ht="16" hidden="false" customHeight="false" outlineLevel="0" collapsed="false">
      <c r="B129" s="0" t="s">
        <v>147</v>
      </c>
      <c r="C129" s="0" t="n">
        <v>2.79193711280823</v>
      </c>
      <c r="D129" s="0" t="n">
        <v>0.089419461786747</v>
      </c>
    </row>
    <row r="130" customFormat="false" ht="16" hidden="false" customHeight="false" outlineLevel="0" collapsed="false">
      <c r="B130" s="0" t="s">
        <v>152</v>
      </c>
      <c r="C130" s="0" t="n">
        <v>2.79193711280823</v>
      </c>
      <c r="D130" s="0" t="n">
        <v>0.089419461786747</v>
      </c>
    </row>
    <row r="131" customFormat="false" ht="16" hidden="false" customHeight="false" outlineLevel="0" collapsed="false">
      <c r="B131" s="0" t="s">
        <v>155</v>
      </c>
      <c r="C131" s="0" t="n">
        <v>27.4936464387386</v>
      </c>
      <c r="D131" s="0" t="n">
        <v>0.2823810577393</v>
      </c>
    </row>
    <row r="132" customFormat="false" ht="16" hidden="false" customHeight="false" outlineLevel="0" collapsed="false">
      <c r="B132" s="0" t="s">
        <v>164</v>
      </c>
      <c r="C132" s="0" t="n">
        <v>24.1738308377395</v>
      </c>
      <c r="D132" s="0" t="n">
        <v>0.3927612304687</v>
      </c>
    </row>
    <row r="133" customFormat="false" ht="16" hidden="false" customHeight="false" outlineLevel="0" collapsed="false">
      <c r="B133" s="0" t="s">
        <v>167</v>
      </c>
      <c r="C133" s="0" t="n">
        <v>15.8012375849189</v>
      </c>
      <c r="D133" s="0" t="n">
        <v>0.535587310791002</v>
      </c>
    </row>
    <row r="134" customFormat="false" ht="16" hidden="false" customHeight="false" outlineLevel="0" collapsed="false">
      <c r="B134" s="0" t="s">
        <v>174</v>
      </c>
      <c r="C134" s="0" t="n">
        <v>13.507794256689</v>
      </c>
      <c r="D134" s="0" t="n">
        <v>1.5467481613159</v>
      </c>
    </row>
    <row r="135" customFormat="false" ht="16" hidden="false" customHeight="false" outlineLevel="0" collapsed="false">
      <c r="B135" s="0" t="s">
        <v>180</v>
      </c>
      <c r="C135" s="0" t="n">
        <v>15.7564035164915</v>
      </c>
      <c r="D135" s="0" t="n">
        <v>0.535587310791002</v>
      </c>
    </row>
    <row r="136" customFormat="false" ht="16" hidden="false" customHeight="false" outlineLevel="0" collapsed="false">
      <c r="B136" s="0" t="s">
        <v>185</v>
      </c>
      <c r="C136" s="0" t="n">
        <v>11.3756553044823</v>
      </c>
      <c r="D136" s="0" t="n">
        <v>2.58688545227047</v>
      </c>
    </row>
    <row r="137" customFormat="false" ht="16" hidden="false" customHeight="false" outlineLevel="0" collapsed="false">
      <c r="B137" s="0" t="s">
        <v>188</v>
      </c>
      <c r="C137" s="0" t="n">
        <v>5.722519751951</v>
      </c>
      <c r="D137" s="0" t="n">
        <v>0.3207745552063</v>
      </c>
    </row>
    <row r="138" customFormat="false" ht="16" hidden="false" customHeight="false" outlineLevel="0" collapsed="false">
      <c r="B138" s="0" t="s">
        <v>192</v>
      </c>
      <c r="C138" s="0" t="n">
        <v>4.95932325639998</v>
      </c>
      <c r="D138" s="0" t="n">
        <v>0.19864654541015</v>
      </c>
    </row>
    <row r="139" customFormat="false" ht="16" hidden="false" customHeight="false" outlineLevel="0" collapsed="false">
      <c r="B139" s="0" t="s">
        <v>194</v>
      </c>
      <c r="C139" s="0" t="n">
        <v>0</v>
      </c>
      <c r="D139" s="0" t="n">
        <v>0</v>
      </c>
    </row>
    <row r="140" customFormat="false" ht="16" hidden="false" customHeight="false" outlineLevel="0" collapsed="false">
      <c r="B140" s="0" t="s">
        <v>196</v>
      </c>
      <c r="C140" s="0" t="n">
        <v>6.09283147690359</v>
      </c>
      <c r="D140" s="0" t="n">
        <v>0.42315149307251</v>
      </c>
    </row>
    <row r="141" customFormat="false" ht="16" hidden="false" customHeight="false" outlineLevel="0" collapsed="false">
      <c r="B141" s="0" t="s">
        <v>199</v>
      </c>
      <c r="C141" s="0" t="n">
        <v>4.31459418094725</v>
      </c>
      <c r="D141" s="0" t="n">
        <v>0.0362091064453196</v>
      </c>
    </row>
    <row r="142" customFormat="false" ht="16" hidden="false" customHeight="false" outlineLevel="0" collapsed="false">
      <c r="B142" s="0" t="s">
        <v>202</v>
      </c>
      <c r="C142" s="0" t="n">
        <v>3.97528404129011</v>
      </c>
      <c r="D142" s="0" t="n">
        <v>0.00877904891967063</v>
      </c>
    </row>
    <row r="143" customFormat="false" ht="16" hidden="false" customHeight="false" outlineLevel="0" collapsed="false">
      <c r="B143" s="0" t="s">
        <v>204</v>
      </c>
      <c r="C143" s="0" t="n">
        <v>5.93071822300222</v>
      </c>
      <c r="D143" s="0" t="n">
        <v>0.42315149307251</v>
      </c>
    </row>
    <row r="144" customFormat="false" ht="16" hidden="false" customHeight="false" outlineLevel="0" collapsed="false">
      <c r="B144" s="0" t="s">
        <v>205</v>
      </c>
      <c r="C144" s="0" t="n">
        <v>18.5318543247938</v>
      </c>
      <c r="D144" s="0" t="n">
        <v>3.3219356536865</v>
      </c>
    </row>
    <row r="145" customFormat="false" ht="16" hidden="false" customHeight="false" outlineLevel="0" collapsed="false">
      <c r="B145" s="0" t="s">
        <v>209</v>
      </c>
      <c r="C145" s="0" t="n">
        <v>23.8653467820226</v>
      </c>
      <c r="D145" s="0" t="n">
        <v>3.0497035980225</v>
      </c>
    </row>
    <row r="146" customFormat="false" ht="16" hidden="false" customHeight="false" outlineLevel="0" collapsed="false">
      <c r="B146" s="0" t="s">
        <v>210</v>
      </c>
      <c r="C146" s="0" t="n">
        <v>22.3627952391225</v>
      </c>
      <c r="D146" s="0" t="n">
        <v>2.9489555358887</v>
      </c>
    </row>
    <row r="147" customFormat="false" ht="16" hidden="false" customHeight="false" outlineLevel="0" collapsed="false">
      <c r="B147" s="0" t="s">
        <v>212</v>
      </c>
      <c r="C147" s="0" t="n">
        <v>16.2889640480297</v>
      </c>
      <c r="D147" s="0" t="n">
        <v>2.7022895812988</v>
      </c>
    </row>
    <row r="148" customFormat="false" ht="16" hidden="false" customHeight="false" outlineLevel="0" collapsed="false">
      <c r="B148" s="0" t="s">
        <v>213</v>
      </c>
      <c r="C148" s="0" t="n">
        <v>20.2418077062873</v>
      </c>
      <c r="D148" s="0" t="n">
        <v>3.308032989502</v>
      </c>
    </row>
    <row r="149" customFormat="false" ht="16" hidden="false" customHeight="false" outlineLevel="0" collapsed="false">
      <c r="B149" s="0" t="s">
        <v>216</v>
      </c>
      <c r="C149" s="0" t="n">
        <v>25.5317945622265</v>
      </c>
      <c r="D149" s="0" t="n">
        <v>4.5296878814697</v>
      </c>
    </row>
    <row r="150" customFormat="false" ht="16" hidden="false" customHeight="false" outlineLevel="0" collapsed="false">
      <c r="B150" s="0" t="s">
        <v>217</v>
      </c>
      <c r="C150" s="0" t="n">
        <v>18.0365409022331</v>
      </c>
      <c r="D150" s="0" t="n">
        <v>5.9172954559326</v>
      </c>
    </row>
    <row r="151" customFormat="false" ht="16" hidden="false" customHeight="false" outlineLevel="0" collapsed="false">
      <c r="B151" s="0" t="s">
        <v>219</v>
      </c>
      <c r="C151" s="0" t="n">
        <v>23.3980996127621</v>
      </c>
      <c r="D151" s="0" t="n">
        <v>1.103048324585</v>
      </c>
    </row>
    <row r="152" customFormat="false" ht="16" hidden="false" customHeight="false" outlineLevel="0" collapsed="false">
      <c r="B152" s="0" t="s">
        <v>220</v>
      </c>
      <c r="C152" s="0" t="n">
        <v>25.9747604476677</v>
      </c>
      <c r="D152" s="0" t="n">
        <v>1.6231651306152</v>
      </c>
    </row>
    <row r="153" customFormat="false" ht="16" hidden="false" customHeight="false" outlineLevel="0" collapsed="false">
      <c r="B153" s="0" t="s">
        <v>224</v>
      </c>
      <c r="C153" s="0" t="n">
        <v>24.2709489519619</v>
      </c>
      <c r="D153" s="0" t="n">
        <v>2.0227680206299</v>
      </c>
    </row>
    <row r="154" customFormat="false" ht="16" hidden="false" customHeight="false" outlineLevel="0" collapsed="false">
      <c r="B154" s="0" t="s">
        <v>230</v>
      </c>
      <c r="C154" s="0" t="n">
        <v>18.1611346345033</v>
      </c>
      <c r="D154" s="0" t="n">
        <v>3.6172599792481</v>
      </c>
    </row>
    <row r="155" customFormat="false" ht="16" hidden="false" customHeight="false" outlineLevel="0" collapsed="false">
      <c r="B155" s="0" t="s">
        <v>235</v>
      </c>
      <c r="C155" s="0" t="n">
        <v>19.7486055079291</v>
      </c>
      <c r="D155" s="0" t="n">
        <v>3.0948581695557</v>
      </c>
    </row>
    <row r="156" customFormat="false" ht="16" hidden="false" customHeight="false" outlineLevel="0" collapsed="false">
      <c r="B156" s="0" t="s">
        <v>237</v>
      </c>
      <c r="C156" s="0" t="n">
        <v>22.6703696394383</v>
      </c>
      <c r="D156" s="0" t="n">
        <v>3.0118083953858</v>
      </c>
    </row>
    <row r="157" customFormat="false" ht="16" hidden="false" customHeight="false" outlineLevel="0" collapsed="false">
      <c r="B157" s="0" t="s">
        <v>239</v>
      </c>
      <c r="C157" s="0" t="n">
        <v>26.1914700620286</v>
      </c>
      <c r="D157" s="0" t="n">
        <v>1.6231651306152</v>
      </c>
    </row>
    <row r="158" customFormat="false" ht="16" hidden="false" customHeight="false" outlineLevel="0" collapsed="false">
      <c r="B158" s="0" t="s">
        <v>242</v>
      </c>
      <c r="C158" s="0" t="n">
        <v>24.3961115207536</v>
      </c>
      <c r="D158" s="0" t="n">
        <v>2.0227680206299</v>
      </c>
    </row>
    <row r="159" customFormat="false" ht="16" hidden="false" customHeight="false" outlineLevel="0" collapsed="false">
      <c r="B159" s="0" t="s">
        <v>244</v>
      </c>
      <c r="C159" s="0" t="n">
        <v>22.8702847982255</v>
      </c>
      <c r="D159" s="0" t="n">
        <v>3.0118083953858</v>
      </c>
    </row>
    <row r="160" customFormat="false" ht="16" hidden="false" customHeight="false" outlineLevel="0" collapsed="false">
      <c r="B160" s="0" t="s">
        <v>246</v>
      </c>
      <c r="C160" s="0" t="n">
        <v>24.5675959118338</v>
      </c>
      <c r="D160" s="0" t="n">
        <v>2.4502220153809</v>
      </c>
    </row>
    <row r="161" customFormat="false" ht="16" hidden="false" customHeight="false" outlineLevel="0" collapsed="false">
      <c r="B161" s="0" t="s">
        <v>249</v>
      </c>
      <c r="C161" s="0" t="n">
        <v>24.464322330315</v>
      </c>
      <c r="D161" s="0" t="n">
        <v>2.3455657958984</v>
      </c>
    </row>
    <row r="162" customFormat="false" ht="16" hidden="false" customHeight="false" outlineLevel="0" collapsed="false">
      <c r="B162" s="0" t="s">
        <v>251</v>
      </c>
      <c r="C162" s="0" t="n">
        <v>19.7558481672419</v>
      </c>
      <c r="D162" s="0" t="n">
        <v>3.0971984863281</v>
      </c>
    </row>
    <row r="163" customFormat="false" ht="16" hidden="false" customHeight="false" outlineLevel="0" collapsed="false">
      <c r="B163" s="0" t="s">
        <v>253</v>
      </c>
      <c r="C163" s="0" t="n">
        <v>22.7276924045263</v>
      </c>
      <c r="D163" s="0" t="n">
        <v>2.0270347595214</v>
      </c>
    </row>
    <row r="164" customFormat="false" ht="16" hidden="false" customHeight="false" outlineLevel="0" collapsed="false">
      <c r="B164" s="0" t="s">
        <v>255</v>
      </c>
      <c r="C164" s="0" t="n">
        <v>25.8197384872171</v>
      </c>
      <c r="D164" s="0" t="n">
        <v>2.4502220153809</v>
      </c>
    </row>
    <row r="165" customFormat="false" ht="16" hidden="false" customHeight="false" outlineLevel="0" collapsed="false">
      <c r="B165" s="0" t="s">
        <v>258</v>
      </c>
      <c r="C165" s="0" t="n">
        <v>20.9332725130546</v>
      </c>
      <c r="D165" s="0" t="n">
        <v>2.1595897674561</v>
      </c>
    </row>
    <row r="166" customFormat="false" ht="16" hidden="false" customHeight="false" outlineLevel="0" collapsed="false">
      <c r="B166" s="0" t="s">
        <v>260</v>
      </c>
      <c r="C166" s="0" t="n">
        <v>22.1647203845461</v>
      </c>
      <c r="D166" s="0" t="n">
        <v>2.0270347595214</v>
      </c>
    </row>
    <row r="167" customFormat="false" ht="16" hidden="false" customHeight="false" outlineLevel="0" collapsed="false">
      <c r="B167" s="0" t="s">
        <v>262</v>
      </c>
      <c r="C167" s="0" t="n">
        <v>25.1690582055729</v>
      </c>
      <c r="D167" s="0" t="n">
        <v>2.0996971130371</v>
      </c>
    </row>
    <row r="168" customFormat="false" ht="16" hidden="false" customHeight="false" outlineLevel="0" collapsed="false">
      <c r="B168" s="0" t="s">
        <v>265</v>
      </c>
      <c r="C168" s="0" t="n">
        <v>19.6998288018794</v>
      </c>
      <c r="D168" s="0" t="n">
        <v>2.4637832641601</v>
      </c>
    </row>
    <row r="169" customFormat="false" ht="16" hidden="false" customHeight="false" outlineLevel="0" collapsed="false">
      <c r="B169" s="0" t="s">
        <v>267</v>
      </c>
      <c r="C169" s="0" t="n">
        <v>22.0529492535183</v>
      </c>
      <c r="D169" s="0" t="n">
        <v>2.9614009857178</v>
      </c>
    </row>
    <row r="170" customFormat="false" ht="16" hidden="false" customHeight="false" outlineLevel="0" collapsed="false">
      <c r="B170" s="0" t="s">
        <v>269</v>
      </c>
      <c r="C170" s="0" t="n">
        <v>17.8200244858676</v>
      </c>
      <c r="D170" s="0" t="n">
        <v>2.4528865814209</v>
      </c>
    </row>
    <row r="171" customFormat="false" ht="16" hidden="false" customHeight="false" outlineLevel="0" collapsed="false">
      <c r="B171" s="0" t="s">
        <v>272</v>
      </c>
      <c r="C171" s="0" t="n">
        <v>21.4333385155615</v>
      </c>
      <c r="D171" s="0" t="n">
        <v>2.3040390014648</v>
      </c>
    </row>
    <row r="172" customFormat="false" ht="16" hidden="false" customHeight="false" outlineLevel="0" collapsed="false">
      <c r="B172" s="0" t="s">
        <v>274</v>
      </c>
      <c r="C172" s="0" t="n">
        <v>25.4822998897927</v>
      </c>
      <c r="D172" s="0" t="n">
        <v>2.3940334320069</v>
      </c>
    </row>
    <row r="173" customFormat="false" ht="16" hidden="false" customHeight="false" outlineLevel="0" collapsed="false">
      <c r="B173" s="0" t="s">
        <v>277</v>
      </c>
      <c r="C173" s="0" t="n">
        <v>17.8744945123164</v>
      </c>
      <c r="D173" s="0" t="n">
        <v>2.6444129943847</v>
      </c>
    </row>
    <row r="174" customFormat="false" ht="16" hidden="false" customHeight="false" outlineLevel="0" collapsed="false">
      <c r="B174" s="0" t="s">
        <v>279</v>
      </c>
      <c r="C174" s="0" t="n">
        <v>21.8713491707834</v>
      </c>
      <c r="D174" s="0" t="n">
        <v>2.4538688659668</v>
      </c>
    </row>
    <row r="175" customFormat="false" ht="16" hidden="false" customHeight="false" outlineLevel="0" collapsed="false">
      <c r="B175" s="0" t="s">
        <v>281</v>
      </c>
      <c r="C175" s="0" t="n">
        <v>21.5148513127534</v>
      </c>
      <c r="D175" s="0" t="n">
        <v>2.4538688659668</v>
      </c>
    </row>
    <row r="176" customFormat="false" ht="16" hidden="false" customHeight="false" outlineLevel="0" collapsed="false">
      <c r="B176" s="0" t="s">
        <v>283</v>
      </c>
      <c r="C176" s="0" t="n">
        <v>25.2489244722307</v>
      </c>
      <c r="D176" s="0" t="n">
        <v>2.0996971130371</v>
      </c>
    </row>
    <row r="177" customFormat="false" ht="16" hidden="false" customHeight="false" outlineLevel="0" collapsed="false">
      <c r="B177" s="0" t="s">
        <v>286</v>
      </c>
      <c r="C177" s="0" t="n">
        <v>19.0390280661365</v>
      </c>
      <c r="D177" s="0" t="n">
        <v>2.4637832641601</v>
      </c>
    </row>
    <row r="178" customFormat="false" ht="16" hidden="false" customHeight="false" outlineLevel="0" collapsed="false">
      <c r="B178" s="0" t="s">
        <v>288</v>
      </c>
      <c r="C178" s="0" t="n">
        <v>22.7154740842455</v>
      </c>
      <c r="D178" s="0" t="n">
        <v>2.4602336883545</v>
      </c>
    </row>
    <row r="179" customFormat="false" ht="16" hidden="false" customHeight="false" outlineLevel="0" collapsed="false">
      <c r="B179" s="0" t="s">
        <v>290</v>
      </c>
      <c r="C179" s="0" t="n">
        <v>21.3344548062804</v>
      </c>
      <c r="D179" s="0" t="n">
        <v>2.4538688659668</v>
      </c>
    </row>
    <row r="180" customFormat="false" ht="16" hidden="false" customHeight="false" outlineLevel="0" collapsed="false">
      <c r="B180" s="0" t="s">
        <v>293</v>
      </c>
      <c r="C180" s="0" t="n">
        <v>22.1140254235387</v>
      </c>
      <c r="D180" s="0" t="n">
        <v>2.4538688659668</v>
      </c>
    </row>
    <row r="181" customFormat="false" ht="16" hidden="false" customHeight="false" outlineLevel="0" collapsed="false">
      <c r="B181" s="0" t="s">
        <v>296</v>
      </c>
      <c r="C181" s="0" t="n">
        <v>21.7223700971703</v>
      </c>
      <c r="D181" s="0" t="n">
        <v>2.9044647216797</v>
      </c>
    </row>
    <row r="182" customFormat="false" ht="16" hidden="false" customHeight="false" outlineLevel="0" collapsed="false">
      <c r="B182" s="0" t="s">
        <v>299</v>
      </c>
      <c r="C182" s="0" t="n">
        <v>17.3449483920949</v>
      </c>
      <c r="D182" s="0" t="n">
        <v>2.6444129943847</v>
      </c>
    </row>
    <row r="183" customFormat="false" ht="16" hidden="false" customHeight="false" outlineLevel="0" collapsed="false">
      <c r="B183" s="0" t="s">
        <v>301</v>
      </c>
      <c r="C183" s="0" t="n">
        <v>20.0931550355494</v>
      </c>
      <c r="D183" s="0" t="n">
        <v>2.4538688659668</v>
      </c>
    </row>
    <row r="184" customFormat="false" ht="16" hidden="false" customHeight="false" outlineLevel="0" collapsed="false">
      <c r="B184" s="0" t="s">
        <v>303</v>
      </c>
      <c r="C184" s="0" t="n">
        <v>19.835445740588</v>
      </c>
      <c r="D184" s="0" t="n">
        <v>2.4538688659668</v>
      </c>
    </row>
    <row r="185" customFormat="false" ht="16" hidden="false" customHeight="false" outlineLevel="0" collapsed="false">
      <c r="B185" s="0" t="s">
        <v>306</v>
      </c>
      <c r="C185" s="0" t="n">
        <v>19.8932260773495</v>
      </c>
      <c r="D185" s="0" t="n">
        <v>2.7229309082031</v>
      </c>
    </row>
    <row r="186" customFormat="false" ht="16" hidden="false" customHeight="false" outlineLevel="0" collapsed="false">
      <c r="B186" s="0" t="s">
        <v>309</v>
      </c>
      <c r="C186" s="0" t="n">
        <v>15.2261092053829</v>
      </c>
      <c r="D186" s="0" t="n">
        <v>1.9707880020142</v>
      </c>
    </row>
    <row r="187" customFormat="false" ht="16" hidden="false" customHeight="false" outlineLevel="0" collapsed="false">
      <c r="B187" s="0" t="s">
        <v>314</v>
      </c>
      <c r="C187" s="0" t="n">
        <v>19.9198380627015</v>
      </c>
      <c r="D187" s="0" t="n">
        <v>2.7229309082031</v>
      </c>
    </row>
    <row r="188" customFormat="false" ht="16" hidden="false" customHeight="false" outlineLevel="0" collapsed="false">
      <c r="B188" s="0" t="s">
        <v>311</v>
      </c>
      <c r="C188" s="0" t="n">
        <v>16.3087789322144</v>
      </c>
      <c r="D188" s="0" t="n">
        <v>1.9707880020142</v>
      </c>
    </row>
    <row r="189" customFormat="false" ht="16" hidden="false" customHeight="false" outlineLevel="0" collapsed="false">
      <c r="B189" s="0" t="s">
        <v>316</v>
      </c>
      <c r="C189" s="0" t="n">
        <v>11.5651994583486</v>
      </c>
      <c r="D189" s="0" t="n">
        <v>0.2238712310791</v>
      </c>
    </row>
    <row r="190" customFormat="false" ht="16" hidden="false" customHeight="false" outlineLevel="0" collapsed="false">
      <c r="B190" s="0" t="s">
        <v>320</v>
      </c>
      <c r="C190" s="0" t="n">
        <v>16.6639731006937</v>
      </c>
      <c r="D190" s="0" t="n">
        <v>0.652828216552699</v>
      </c>
    </row>
    <row r="191" customFormat="false" ht="16" hidden="false" customHeight="false" outlineLevel="0" collapsed="false">
      <c r="B191" s="0" t="s">
        <v>324</v>
      </c>
      <c r="C191" s="0" t="n">
        <v>14.1803857368207</v>
      </c>
      <c r="D191" s="0" t="n">
        <v>0.142725944518999</v>
      </c>
    </row>
    <row r="192" customFormat="false" ht="16" hidden="false" customHeight="false" outlineLevel="0" collapsed="false">
      <c r="B192" s="0" t="s">
        <v>328</v>
      </c>
      <c r="C192" s="0" t="n">
        <v>14.5146437420193</v>
      </c>
      <c r="D192" s="0" t="n">
        <v>0.304389953613301</v>
      </c>
    </row>
    <row r="193" customFormat="false" ht="16" hidden="false" customHeight="false" outlineLevel="0" collapsed="false">
      <c r="B193" s="0" t="s">
        <v>330</v>
      </c>
      <c r="C193" s="0" t="n">
        <v>27.1636787473558</v>
      </c>
      <c r="D193" s="0" t="n">
        <v>1.738712310791</v>
      </c>
    </row>
    <row r="194" customFormat="false" ht="16" hidden="false" customHeight="false" outlineLevel="0" collapsed="false">
      <c r="B194" s="0" t="s">
        <v>333</v>
      </c>
      <c r="C194" s="0" t="n">
        <v>25.971392199857</v>
      </c>
      <c r="D194" s="0" t="n">
        <v>2.3740291595459</v>
      </c>
    </row>
    <row r="195" customFormat="false" ht="16" hidden="false" customHeight="false" outlineLevel="0" collapsed="false">
      <c r="B195" s="0" t="s">
        <v>335</v>
      </c>
      <c r="C195" s="0" t="n">
        <v>26.0219967538247</v>
      </c>
      <c r="D195" s="0" t="n">
        <v>2.3740291595459</v>
      </c>
    </row>
    <row r="196" customFormat="false" ht="16" hidden="false" customHeight="false" outlineLevel="0" collapsed="false">
      <c r="B196" s="0" t="s">
        <v>336</v>
      </c>
      <c r="C196" s="0" t="n">
        <v>8.60406054439054</v>
      </c>
      <c r="D196" s="0" t="n">
        <v>0.331708908081051</v>
      </c>
    </row>
    <row r="197" customFormat="false" ht="16" hidden="false" customHeight="false" outlineLevel="0" collapsed="false">
      <c r="B197" s="0" t="s">
        <v>339</v>
      </c>
      <c r="C197" s="0" t="n">
        <v>22.4771565388523</v>
      </c>
      <c r="D197" s="0" t="n">
        <v>0.113695144653303</v>
      </c>
    </row>
    <row r="198" customFormat="false" ht="16" hidden="false" customHeight="false" outlineLevel="0" collapsed="false">
      <c r="B198" s="0" t="s">
        <v>343</v>
      </c>
      <c r="C198" s="0" t="n">
        <v>23.9805856975407</v>
      </c>
      <c r="D198" s="0" t="n">
        <v>0.838485717773501</v>
      </c>
    </row>
    <row r="199" customFormat="false" ht="16" hidden="false" customHeight="false" outlineLevel="0" collapsed="false">
      <c r="B199" s="0" t="s">
        <v>347</v>
      </c>
      <c r="C199" s="0" t="n">
        <v>17.7154509846043</v>
      </c>
      <c r="D199" s="0" t="n">
        <v>2.8988542556763</v>
      </c>
    </row>
    <row r="200" customFormat="false" ht="16" hidden="false" customHeight="false" outlineLevel="0" collapsed="false">
      <c r="B200" s="0" t="s">
        <v>350</v>
      </c>
      <c r="C200" s="0" t="n">
        <v>20.4397485929179</v>
      </c>
      <c r="D200" s="0" t="n">
        <v>3.0231380462646</v>
      </c>
    </row>
    <row r="201" customFormat="false" ht="16" hidden="false" customHeight="false" outlineLevel="0" collapsed="false">
      <c r="B201" s="0" t="s">
        <v>352</v>
      </c>
      <c r="C201" s="0" t="n">
        <v>18.6245978216662</v>
      </c>
      <c r="D201" s="0" t="n">
        <v>2.928279876709</v>
      </c>
    </row>
    <row r="202" customFormat="false" ht="16" hidden="false" customHeight="false" outlineLevel="0" collapsed="false">
      <c r="B202" s="0" t="s">
        <v>354</v>
      </c>
      <c r="C202" s="0" t="n">
        <v>22.8933195291853</v>
      </c>
      <c r="D202" s="0" t="n">
        <v>2.678581237793</v>
      </c>
    </row>
    <row r="203" customFormat="false" ht="16" hidden="false" customHeight="false" outlineLevel="0" collapsed="false">
      <c r="B203" s="0" t="s">
        <v>556</v>
      </c>
      <c r="C203" s="0" t="n">
        <v>10.1</v>
      </c>
      <c r="D203" s="0" t="n">
        <v>0.291</v>
      </c>
    </row>
    <row r="204" customFormat="false" ht="16" hidden="false" customHeight="false" outlineLevel="0" collapsed="false">
      <c r="B204" s="0" t="s">
        <v>559</v>
      </c>
      <c r="C204" s="0" t="n">
        <v>10.1</v>
      </c>
      <c r="D204" s="0" t="n">
        <v>0.291</v>
      </c>
    </row>
    <row r="205" customFormat="false" ht="16" hidden="false" customHeight="false" outlineLevel="0" collapsed="false">
      <c r="B205" s="0" t="s">
        <v>560</v>
      </c>
      <c r="C205" s="0" t="n">
        <v>7.7</v>
      </c>
      <c r="D205" s="0" t="n">
        <v>0.239</v>
      </c>
    </row>
    <row r="206" customFormat="false" ht="16" hidden="false" customHeight="false" outlineLevel="0" collapsed="false">
      <c r="B206" s="0" t="s">
        <v>576</v>
      </c>
      <c r="C206" s="0" t="n">
        <v>11.4</v>
      </c>
      <c r="D206" s="0" t="n">
        <v>0.171</v>
      </c>
    </row>
    <row r="207" customFormat="false" ht="16" hidden="false" customHeight="false" outlineLevel="0" collapsed="false">
      <c r="B207" s="0" t="s">
        <v>578</v>
      </c>
      <c r="C207" s="0" t="n">
        <v>9.9</v>
      </c>
      <c r="D207" s="0" t="n">
        <v>0.407</v>
      </c>
    </row>
    <row r="208" customFormat="false" ht="16" hidden="false" customHeight="false" outlineLevel="0" collapsed="false">
      <c r="B208" s="0" t="s">
        <v>590</v>
      </c>
      <c r="C208" s="0" t="n">
        <v>6.7</v>
      </c>
      <c r="D208" s="0" t="n">
        <v>0.337</v>
      </c>
    </row>
    <row r="209" customFormat="false" ht="16" hidden="false" customHeight="false" outlineLevel="0" collapsed="false">
      <c r="B209" s="0" t="s">
        <v>591</v>
      </c>
      <c r="C209" s="0" t="n">
        <v>7.4</v>
      </c>
      <c r="D209" s="0" t="n">
        <v>0.309</v>
      </c>
    </row>
    <row r="210" customFormat="false" ht="16" hidden="false" customHeight="false" outlineLevel="0" collapsed="false">
      <c r="B210" s="0" t="s">
        <v>594</v>
      </c>
      <c r="C210" s="0" t="n">
        <v>16.6</v>
      </c>
      <c r="D210" s="0" t="n">
        <v>0.909</v>
      </c>
    </row>
    <row r="211" customFormat="false" ht="16" hidden="false" customHeight="false" outlineLevel="0" collapsed="false">
      <c r="B211" s="0" t="s">
        <v>595</v>
      </c>
      <c r="C211" s="0" t="n">
        <v>19.3</v>
      </c>
      <c r="D211" s="0" t="n">
        <v>3.046</v>
      </c>
    </row>
    <row r="212" customFormat="false" ht="16" hidden="false" customHeight="false" outlineLevel="0" collapsed="false">
      <c r="B212" s="0" t="s">
        <v>580</v>
      </c>
      <c r="C212" s="0" t="n">
        <v>18</v>
      </c>
      <c r="D212" s="0" t="n">
        <v>0.273</v>
      </c>
    </row>
    <row r="213" customFormat="false" ht="16" hidden="false" customHeight="false" outlineLevel="0" collapsed="false">
      <c r="B213" s="0" t="s">
        <v>569</v>
      </c>
      <c r="C213" s="0" t="n">
        <v>-1.7</v>
      </c>
      <c r="D213" s="0" t="n">
        <v>0.045</v>
      </c>
    </row>
    <row r="214" customFormat="false" ht="16" hidden="false" customHeight="false" outlineLevel="0" collapsed="false">
      <c r="B214" s="0" t="s">
        <v>573</v>
      </c>
      <c r="C214" s="0" t="n">
        <v>2.4</v>
      </c>
      <c r="D214" s="0" t="n">
        <v>0.0329983495175839</v>
      </c>
    </row>
    <row r="215" customFormat="false" ht="16" hidden="false" customHeight="false" outlineLevel="0" collapsed="false">
      <c r="B215" s="0" t="s">
        <v>584</v>
      </c>
      <c r="C215" s="0" t="n">
        <v>19.7</v>
      </c>
      <c r="D215" s="0" t="n">
        <v>0.293</v>
      </c>
    </row>
    <row r="216" customFormat="false" ht="16" hidden="false" customHeight="false" outlineLevel="0" collapsed="false">
      <c r="B216" s="0" t="s">
        <v>585</v>
      </c>
      <c r="C216" s="0" t="n">
        <v>16.5</v>
      </c>
      <c r="D216" s="0" t="n">
        <v>0.634</v>
      </c>
    </row>
    <row r="217" customFormat="false" ht="16" hidden="false" customHeight="false" outlineLevel="0" collapsed="false">
      <c r="B217" s="0" t="s">
        <v>587</v>
      </c>
      <c r="C217" s="0" t="n">
        <v>13.2</v>
      </c>
      <c r="D217" s="0" t="n">
        <v>0.085</v>
      </c>
    </row>
    <row r="218" customFormat="false" ht="16" hidden="false" customHeight="false" outlineLevel="0" collapsed="false">
      <c r="B218" s="0" t="s">
        <v>589</v>
      </c>
      <c r="C218" s="0" t="n">
        <v>15.6</v>
      </c>
      <c r="D218" s="0" t="n">
        <v>0.4</v>
      </c>
    </row>
    <row r="219" customFormat="false" ht="16" hidden="false" customHeight="false" outlineLevel="0" collapsed="false">
      <c r="B219" s="0" t="s">
        <v>562</v>
      </c>
      <c r="C219" s="0" t="n">
        <v>28.4</v>
      </c>
      <c r="D219" s="0" t="n">
        <v>0.454</v>
      </c>
    </row>
    <row r="220" customFormat="false" ht="16" hidden="false" customHeight="false" outlineLevel="0" collapsed="false">
      <c r="B220" s="0" t="s">
        <v>564</v>
      </c>
      <c r="C220" s="0" t="n">
        <v>16.9</v>
      </c>
      <c r="D220" s="0" t="n">
        <v>0.0768061131238937</v>
      </c>
    </row>
    <row r="221" customFormat="false" ht="16" hidden="false" customHeight="false" outlineLevel="0" collapsed="false">
      <c r="B221" s="0" t="s">
        <v>567</v>
      </c>
      <c r="C221" s="0" t="n">
        <v>19.8</v>
      </c>
      <c r="D221" s="0" t="n">
        <v>0.633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G11" activeCellId="0" sqref="G11"/>
    </sheetView>
  </sheetViews>
  <sheetFormatPr defaultColWidth="8.84375" defaultRowHeight="16" zeroHeight="false" outlineLevelRow="0" outlineLevelCol="0"/>
  <cols>
    <col collapsed="false" customWidth="true" hidden="false" outlineLevel="0" max="1" min="1" style="0" width="32.83"/>
    <col collapsed="false" customWidth="true" hidden="false" outlineLevel="0" max="2" min="2" style="0" width="10"/>
    <col collapsed="false" customWidth="true" hidden="false" outlineLevel="0" max="3" min="3" style="0" width="9.5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6" hidden="false" customHeight="false" outlineLevel="0" collapsed="false">
      <c r="A1" s="0" t="s">
        <v>756</v>
      </c>
      <c r="B1" s="0" t="s">
        <v>757</v>
      </c>
      <c r="C1" s="0" t="s">
        <v>31</v>
      </c>
      <c r="D1" s="0" t="s">
        <v>758</v>
      </c>
      <c r="E1" s="0" t="s">
        <v>31</v>
      </c>
      <c r="F1" s="0" t="s">
        <v>759</v>
      </c>
      <c r="G1" s="0" t="s">
        <v>760</v>
      </c>
    </row>
    <row r="2" customFormat="false" ht="16" hidden="false" customHeight="false" outlineLevel="0" collapsed="false">
      <c r="A2" s="25" t="s">
        <v>171</v>
      </c>
      <c r="B2" s="27" t="n">
        <v>11.919355124455</v>
      </c>
      <c r="C2" s="27" t="n">
        <v>0</v>
      </c>
      <c r="D2" s="68" t="n">
        <v>11.986771778665</v>
      </c>
      <c r="E2" s="68" t="n">
        <v>0.0810295638350933</v>
      </c>
      <c r="F2" s="0" t="n">
        <v>0.615666666666666</v>
      </c>
      <c r="G2" s="0" t="n">
        <v>0.00465528916091334</v>
      </c>
    </row>
    <row r="3" customFormat="false" ht="16" hidden="false" customHeight="false" outlineLevel="0" collapsed="false">
      <c r="A3" s="25" t="s">
        <v>173</v>
      </c>
      <c r="B3" s="27" t="n">
        <v>11.919355124455</v>
      </c>
      <c r="C3" s="27" t="n">
        <v>0</v>
      </c>
      <c r="D3" s="68" t="n">
        <v>11.6578039107913</v>
      </c>
      <c r="E3" s="68" t="n">
        <v>0.0696167747286278</v>
      </c>
      <c r="F3" s="0" t="n">
        <v>0.627666666666667</v>
      </c>
      <c r="G3" s="0" t="n">
        <v>0.0139323763626709</v>
      </c>
    </row>
    <row r="4" customFormat="false" ht="16" hidden="false" customHeight="false" outlineLevel="0" collapsed="false">
      <c r="A4" s="25" t="s">
        <v>179</v>
      </c>
      <c r="B4" s="27" t="n">
        <v>11.919355124455</v>
      </c>
      <c r="C4" s="27" t="n">
        <v>0</v>
      </c>
      <c r="D4" s="68" t="n">
        <v>11.9892033831422</v>
      </c>
      <c r="E4" s="68" t="n">
        <v>0.0791789283901601</v>
      </c>
      <c r="F4" s="0" t="n">
        <v>0.6308</v>
      </c>
      <c r="G4" s="0" t="n">
        <v>0.0107861021689951</v>
      </c>
    </row>
    <row r="5" customFormat="false" ht="16" hidden="false" customHeight="false" outlineLevel="0" collapsed="false">
      <c r="A5" s="25" t="s">
        <v>187</v>
      </c>
      <c r="B5" s="27" t="n">
        <v>11.919355124455</v>
      </c>
      <c r="C5" s="27" t="n">
        <v>0</v>
      </c>
      <c r="D5" s="68" t="n">
        <v>12.0618999310927</v>
      </c>
      <c r="E5" s="68" t="n">
        <v>0.0789980553917662</v>
      </c>
      <c r="F5" s="0" t="n">
        <v>0.622454545454546</v>
      </c>
      <c r="G5" s="0" t="n">
        <v>0.0105091852779657</v>
      </c>
    </row>
    <row r="6" customFormat="false" ht="16" hidden="false" customHeight="false" outlineLevel="0" collapsed="false">
      <c r="A6" s="25" t="s">
        <v>171</v>
      </c>
      <c r="B6" s="27" t="n">
        <v>12.7640999404495</v>
      </c>
      <c r="C6" s="27" t="n">
        <v>0</v>
      </c>
      <c r="D6" s="68" t="n">
        <v>12.9042701262756</v>
      </c>
      <c r="E6" s="68" t="n">
        <v>0.0796244657027891</v>
      </c>
      <c r="F6" s="0" t="n">
        <v>0.671777777777778</v>
      </c>
      <c r="G6" s="0" t="n">
        <v>0.00752731650903298</v>
      </c>
    </row>
    <row r="7" customFormat="false" ht="16" hidden="false" customHeight="false" outlineLevel="0" collapsed="false">
      <c r="A7" s="25" t="s">
        <v>173</v>
      </c>
      <c r="B7" s="27" t="n">
        <v>12.7640999404495</v>
      </c>
      <c r="C7" s="27" t="n">
        <v>0</v>
      </c>
      <c r="D7" s="68" t="n">
        <v>12.434663886032</v>
      </c>
      <c r="E7" s="68" t="n">
        <v>0.074139135541138</v>
      </c>
      <c r="F7" s="0" t="n">
        <v>0.6422</v>
      </c>
      <c r="G7" s="0" t="n">
        <v>0.00780000000000001</v>
      </c>
    </row>
    <row r="8" customFormat="false" ht="16" hidden="false" customHeight="false" outlineLevel="0" collapsed="false">
      <c r="A8" s="25" t="s">
        <v>187</v>
      </c>
      <c r="B8" s="27" t="n">
        <v>12.7640999404495</v>
      </c>
      <c r="C8" s="27" t="n">
        <v>0</v>
      </c>
      <c r="D8" s="68" t="n">
        <v>12.9561267726431</v>
      </c>
      <c r="E8" s="68" t="n">
        <v>0.0817706897003276</v>
      </c>
      <c r="F8" s="0" t="n">
        <v>0.662625</v>
      </c>
      <c r="G8" s="0" t="n">
        <v>0.00977412308817815</v>
      </c>
    </row>
    <row r="9" customFormat="false" ht="16" hidden="false" customHeight="false" outlineLevel="0" collapsed="false">
      <c r="A9" s="25" t="s">
        <v>171</v>
      </c>
      <c r="B9" s="27" t="n">
        <v>12.6726489361301</v>
      </c>
      <c r="C9" s="27" t="n">
        <v>0</v>
      </c>
      <c r="D9" s="68" t="n">
        <v>12.8425926739012</v>
      </c>
      <c r="E9" s="68" t="n">
        <v>0.0791661144979035</v>
      </c>
      <c r="F9" s="0" t="n">
        <v>0.6612</v>
      </c>
      <c r="G9" s="0" t="n">
        <v>0.00721387551874858</v>
      </c>
    </row>
    <row r="10" customFormat="false" ht="16" hidden="false" customHeight="false" outlineLevel="0" collapsed="false">
      <c r="A10" s="25" t="s">
        <v>173</v>
      </c>
      <c r="B10" s="27" t="n">
        <v>12.6726489361301</v>
      </c>
      <c r="C10" s="27" t="n">
        <v>0</v>
      </c>
      <c r="D10" s="68" t="n">
        <v>12.4747574358631</v>
      </c>
      <c r="E10" s="68" t="n">
        <v>0.0743730280615687</v>
      </c>
      <c r="F10" s="0" t="n">
        <v>0.6635</v>
      </c>
      <c r="G10" s="0" t="n">
        <v>0.00870344759276461</v>
      </c>
    </row>
    <row r="11" customFormat="false" ht="16" hidden="false" customHeight="false" outlineLevel="0" collapsed="false">
      <c r="A11" s="25" t="s">
        <v>187</v>
      </c>
      <c r="B11" s="27" t="n">
        <v>12.6726489361301</v>
      </c>
      <c r="C11" s="27" t="n">
        <v>0</v>
      </c>
      <c r="D11" s="68" t="n">
        <v>12.8750160009578</v>
      </c>
      <c r="E11" s="68" t="n">
        <v>0.0784961997144418</v>
      </c>
      <c r="F11" s="0" t="n">
        <v>0.661714285714286</v>
      </c>
      <c r="G11" s="0" t="n">
        <v>0.0171112804420752</v>
      </c>
    </row>
    <row r="12" customFormat="false" ht="16" hidden="false" customHeight="false" outlineLevel="0" collapsed="false">
      <c r="A12" s="25" t="s">
        <v>171</v>
      </c>
      <c r="B12" s="27" t="n">
        <v>12.6726489361301</v>
      </c>
      <c r="C12" s="27" t="n">
        <v>0</v>
      </c>
      <c r="D12" s="68" t="n">
        <v>12.8581978684326</v>
      </c>
      <c r="E12" s="68" t="n">
        <v>0.079381226756011</v>
      </c>
      <c r="F12" s="0" t="n">
        <v>0.640833333333333</v>
      </c>
      <c r="G12" s="0" t="n">
        <v>0.00723609778203081</v>
      </c>
    </row>
    <row r="13" customFormat="false" ht="16" hidden="false" customHeight="false" outlineLevel="0" collapsed="false">
      <c r="A13" s="25" t="s">
        <v>464</v>
      </c>
      <c r="B13" s="27" t="n">
        <v>13.1556152536248</v>
      </c>
      <c r="C13" s="27" t="n">
        <v>0</v>
      </c>
      <c r="D13" s="68" t="n">
        <v>12.8369339176812</v>
      </c>
      <c r="E13" s="68" t="n">
        <v>0.0790477781248757</v>
      </c>
      <c r="F13" s="0" t="n">
        <v>0.664008279</v>
      </c>
      <c r="G13" s="0" t="s">
        <v>761</v>
      </c>
    </row>
    <row r="14" customFormat="false" ht="16" hidden="false" customHeight="false" outlineLevel="0" collapsed="false">
      <c r="A14" s="25" t="s">
        <v>469</v>
      </c>
      <c r="B14" s="27" t="n">
        <v>13.1556152536248</v>
      </c>
      <c r="C14" s="27" t="n">
        <v>0</v>
      </c>
      <c r="D14" s="68" t="n">
        <v>12.9222689436687</v>
      </c>
      <c r="E14" s="68" t="n">
        <v>0.0791707466792051</v>
      </c>
      <c r="F14" s="0" t="n">
        <v>0.63233105</v>
      </c>
      <c r="G14" s="0" t="n">
        <v>0.020260123</v>
      </c>
    </row>
    <row r="15" customFormat="false" ht="16" hidden="false" customHeight="false" outlineLevel="0" collapsed="false">
      <c r="A15" s="25" t="s">
        <v>474</v>
      </c>
      <c r="B15" s="27" t="n">
        <v>13.1556152536248</v>
      </c>
      <c r="C15" s="27" t="n">
        <v>0</v>
      </c>
      <c r="D15" s="68" t="n">
        <v>12.844867719471</v>
      </c>
      <c r="E15" s="68" t="n">
        <v>0.0775880270379954</v>
      </c>
      <c r="F15" s="0" t="n">
        <v>0.651848893</v>
      </c>
      <c r="G15" s="0" t="s">
        <v>762</v>
      </c>
    </row>
    <row r="16" customFormat="false" ht="16" hidden="false" customHeight="false" outlineLevel="0" collapsed="false">
      <c r="A16" s="25" t="s">
        <v>489</v>
      </c>
      <c r="B16" s="27" t="n">
        <v>11.7142098999841</v>
      </c>
      <c r="C16" s="27" t="n">
        <v>0</v>
      </c>
      <c r="D16" s="68" t="n">
        <v>11.8196868358406</v>
      </c>
      <c r="E16" s="68" t="n">
        <v>0.0809730335481316</v>
      </c>
      <c r="F16" s="0" t="n">
        <v>0.61457637225</v>
      </c>
      <c r="G16" s="0" t="n">
        <v>0.00996289391054091</v>
      </c>
    </row>
    <row r="17" customFormat="false" ht="16" hidden="false" customHeight="false" outlineLevel="0" collapsed="false">
      <c r="A17" s="25" t="s">
        <v>489</v>
      </c>
      <c r="B17" s="27" t="n">
        <v>11.9987404074637</v>
      </c>
      <c r="C17" s="27" t="n">
        <v>0</v>
      </c>
      <c r="D17" s="68" t="n">
        <v>11.8137747452352</v>
      </c>
      <c r="E17" s="68" t="n">
        <v>0.0908220934159694</v>
      </c>
      <c r="F17" s="0" t="n">
        <v>0.6133554835</v>
      </c>
      <c r="G17" s="0" t="n">
        <v>0.0325023165</v>
      </c>
    </row>
    <row r="18" customFormat="false" ht="16" hidden="false" customHeight="false" outlineLevel="0" collapsed="false">
      <c r="A18" s="25" t="s">
        <v>489</v>
      </c>
      <c r="B18" s="27" t="n">
        <v>12.2282090905852</v>
      </c>
      <c r="C18" s="27" t="n">
        <v>0</v>
      </c>
      <c r="D18" s="68" t="n">
        <v>12.0810835077595</v>
      </c>
      <c r="E18" s="68" t="n">
        <v>0.0767581710229308</v>
      </c>
      <c r="F18" s="0" t="n">
        <v>0.595724654</v>
      </c>
      <c r="G18" s="0" t="s">
        <v>763</v>
      </c>
    </row>
    <row r="19" customFormat="false" ht="16" hidden="false" customHeight="false" outlineLevel="0" collapsed="false">
      <c r="A19" s="25" t="s">
        <v>173</v>
      </c>
      <c r="B19" s="27" t="n">
        <v>13.1211685988183</v>
      </c>
      <c r="C19" s="27" t="n">
        <v>0</v>
      </c>
      <c r="D19" s="68" t="n">
        <v>12.6703720335051</v>
      </c>
      <c r="E19" s="68" t="n">
        <v>0.0878155702870664</v>
      </c>
      <c r="F19" s="0" t="n">
        <v>0.668088557</v>
      </c>
      <c r="G19" s="0" t="n">
        <v>0.018800993</v>
      </c>
    </row>
    <row r="20" customFormat="false" ht="16" hidden="false" customHeight="false" outlineLevel="0" collapsed="false">
      <c r="A20" s="25" t="s">
        <v>372</v>
      </c>
      <c r="B20" s="27" t="n">
        <v>13.2571533820997</v>
      </c>
      <c r="C20" s="27" t="n">
        <v>0</v>
      </c>
      <c r="D20" s="68" t="n">
        <v>12.9370759374106</v>
      </c>
      <c r="E20" s="68" t="n">
        <v>0.0790836175737564</v>
      </c>
      <c r="F20" s="0" t="n">
        <v>0.651781561</v>
      </c>
      <c r="G20" s="0" t="s">
        <v>764</v>
      </c>
    </row>
    <row r="21" customFormat="false" ht="16" hidden="false" customHeight="false" outlineLevel="0" collapsed="false">
      <c r="A21" s="25" t="s">
        <v>474</v>
      </c>
      <c r="B21" s="27" t="n">
        <v>13.4936062642889</v>
      </c>
      <c r="C21" s="27" t="n">
        <v>0</v>
      </c>
      <c r="D21" s="68" t="n">
        <v>13.3197231474457</v>
      </c>
      <c r="E21" s="68" t="n">
        <v>0.082901397631197</v>
      </c>
      <c r="F21" s="0" t="n">
        <v>0.6679332595</v>
      </c>
      <c r="G21" s="0" t="n">
        <v>0.0238908885</v>
      </c>
    </row>
    <row r="22" customFormat="false" ht="16" hidden="false" customHeight="false" outlineLevel="0" collapsed="false">
      <c r="A22" s="25" t="s">
        <v>538</v>
      </c>
      <c r="B22" s="27" t="n">
        <v>13.4936062642889</v>
      </c>
      <c r="C22" s="27" t="n">
        <v>0</v>
      </c>
      <c r="D22" s="68" t="n">
        <v>13.4799362364134</v>
      </c>
      <c r="E22" s="68" t="n">
        <v>0.0798824164612366</v>
      </c>
      <c r="F22" s="0" t="n">
        <v>0.691824148</v>
      </c>
      <c r="G22" s="0" t="s">
        <v>765</v>
      </c>
    </row>
    <row r="23" customFormat="false" ht="16" hidden="false" customHeight="false" outlineLevel="0" collapsed="false">
      <c r="A23" s="35" t="s">
        <v>469</v>
      </c>
      <c r="B23" s="27" t="n">
        <v>13.4838102497244</v>
      </c>
      <c r="C23" s="27" t="n">
        <v>0</v>
      </c>
      <c r="D23" s="68" t="n">
        <v>13.5899603707848</v>
      </c>
      <c r="E23" s="68" t="n">
        <v>0.0825474515887592</v>
      </c>
      <c r="F23" s="0" t="n">
        <v>0.686137986882838</v>
      </c>
      <c r="G23" s="0" t="n">
        <v>0.00349623988910218</v>
      </c>
    </row>
    <row r="24" customFormat="false" ht="16" hidden="false" customHeight="false" outlineLevel="0" collapsed="false">
      <c r="A24" s="35" t="s">
        <v>675</v>
      </c>
      <c r="B24" s="27" t="n">
        <v>12.4194451642598</v>
      </c>
      <c r="C24" s="27" t="n">
        <v>0</v>
      </c>
      <c r="D24" s="68" t="n">
        <v>12.5668854167963</v>
      </c>
      <c r="E24" s="68" t="n">
        <v>0.0774406658849554</v>
      </c>
      <c r="F24" s="0" t="n">
        <v>0.646760917448803</v>
      </c>
      <c r="G24" s="0" t="n">
        <v>0.00181660542465745</v>
      </c>
    </row>
    <row r="25" customFormat="false" ht="16" hidden="false" customHeight="false" outlineLevel="0" collapsed="false">
      <c r="A25" s="65" t="s">
        <v>372</v>
      </c>
      <c r="B25" s="27" t="n">
        <v>12.4993558925667</v>
      </c>
      <c r="C25" s="27" t="n">
        <v>0</v>
      </c>
      <c r="D25" s="68" t="n">
        <v>12.3931514290629</v>
      </c>
      <c r="E25" s="68" t="n">
        <v>0.0654533769347232</v>
      </c>
      <c r="F25" s="0" t="n">
        <v>0.653312886572814</v>
      </c>
      <c r="G25" s="0" t="n">
        <v>0.00360395665918189</v>
      </c>
    </row>
    <row r="26" customFormat="false" ht="16" hidden="false" customHeight="false" outlineLevel="0" collapsed="false">
      <c r="A26" s="65" t="s">
        <v>372</v>
      </c>
      <c r="B26" s="27" t="n">
        <v>12.2383707864704</v>
      </c>
      <c r="C26" s="27" t="n">
        <v>0</v>
      </c>
      <c r="D26" s="68" t="n">
        <v>11.9733397402359</v>
      </c>
      <c r="E26" s="68" t="n">
        <v>0.121779199816583</v>
      </c>
      <c r="F26" s="0" t="n">
        <v>0.635434239698093</v>
      </c>
      <c r="G26" s="0" t="n">
        <v>0.00464495009287112</v>
      </c>
    </row>
    <row r="27" customFormat="false" ht="16" hidden="false" customHeight="false" outlineLevel="0" collapsed="false">
      <c r="A27" s="65" t="s">
        <v>372</v>
      </c>
      <c r="B27" s="27" t="n">
        <v>12.2899097536564</v>
      </c>
      <c r="C27" s="27" t="n">
        <v>0</v>
      </c>
      <c r="D27" s="68" t="n">
        <v>12.1850038515136</v>
      </c>
      <c r="E27" s="68" t="n">
        <v>0.0309248284031867</v>
      </c>
      <c r="F27" s="0" t="n">
        <v>0.654343856830557</v>
      </c>
      <c r="G27" s="0" t="n">
        <v>0.00484071572011643</v>
      </c>
    </row>
    <row r="28" customFormat="false" ht="16" hidden="false" customHeight="false" outlineLevel="0" collapsed="false">
      <c r="A28" s="65" t="s">
        <v>372</v>
      </c>
      <c r="B28" s="27" t="n">
        <v>12.47288356136</v>
      </c>
      <c r="C28" s="27" t="n">
        <v>0</v>
      </c>
      <c r="D28" s="68" t="n">
        <v>12.4405516253989</v>
      </c>
      <c r="E28" s="68" t="n">
        <v>0.0943492323937782</v>
      </c>
      <c r="F28" s="0" t="n">
        <v>0.657746925964077</v>
      </c>
      <c r="G28" s="0" t="n">
        <v>0.00356988933105502</v>
      </c>
    </row>
    <row r="29" customFormat="false" ht="16" hidden="false" customHeight="false" outlineLevel="0" collapsed="false">
      <c r="A29" s="65" t="s">
        <v>372</v>
      </c>
      <c r="B29" s="27" t="n">
        <v>11.8130835866329</v>
      </c>
      <c r="C29" s="27" t="n">
        <v>0</v>
      </c>
      <c r="D29" s="68" t="n">
        <v>11.7686350480967</v>
      </c>
      <c r="E29" s="68" t="n">
        <v>0.164930758465564</v>
      </c>
      <c r="F29" s="0" t="n">
        <v>0.619833591087895</v>
      </c>
      <c r="G29" s="0" t="n">
        <v>0.0055269269204516</v>
      </c>
    </row>
    <row r="30" customFormat="false" ht="16" hidden="false" customHeight="false" outlineLevel="0" collapsed="false">
      <c r="A30" s="65" t="s">
        <v>372</v>
      </c>
      <c r="B30" s="27" t="n">
        <v>11.7564455962104</v>
      </c>
      <c r="C30" s="27" t="n">
        <v>0</v>
      </c>
      <c r="D30" s="68" t="n">
        <v>11.4856306810814</v>
      </c>
      <c r="E30" s="68" t="n">
        <v>0.138378948275696</v>
      </c>
      <c r="F30" s="0" t="n">
        <v>0.612179159022147</v>
      </c>
      <c r="G30" s="0" t="n">
        <v>0.00405846018540289</v>
      </c>
    </row>
    <row r="31" customFormat="false" ht="16" hidden="false" customHeight="false" outlineLevel="0" collapsed="false">
      <c r="A31" s="67" t="s">
        <v>729</v>
      </c>
      <c r="B31" s="27" t="n">
        <v>13.4757798548683</v>
      </c>
      <c r="C31" s="27" t="n">
        <v>0</v>
      </c>
      <c r="D31" s="68" t="n">
        <v>13.3494662763997</v>
      </c>
      <c r="E31" s="68" t="n">
        <v>0.0791604368503069</v>
      </c>
      <c r="F31" s="0" t="n">
        <v>0.694231753226371</v>
      </c>
      <c r="G31" s="0" t="n">
        <v>0.00794406834447259</v>
      </c>
    </row>
    <row r="32" customFormat="false" ht="16" hidden="false" customHeight="false" outlineLevel="0" collapsed="false">
      <c r="A32" s="67" t="s">
        <v>735</v>
      </c>
      <c r="B32" s="27" t="n">
        <v>13.0028219868524</v>
      </c>
      <c r="C32" s="27" t="n">
        <v>0</v>
      </c>
      <c r="D32" s="68" t="n">
        <v>13.2927735307492</v>
      </c>
      <c r="E32" s="68" t="n">
        <v>0.0855689940298792</v>
      </c>
      <c r="F32" s="0" t="n">
        <v>0.674338172439294</v>
      </c>
      <c r="G32" s="0" t="n">
        <v>0.00527453028347412</v>
      </c>
    </row>
    <row r="33" customFormat="false" ht="16" hidden="false" customHeight="false" outlineLevel="0" collapsed="false">
      <c r="A33" s="65" t="s">
        <v>372</v>
      </c>
      <c r="B33" s="27" t="n">
        <v>12.8273830188495</v>
      </c>
      <c r="C33" s="27" t="n">
        <v>0</v>
      </c>
      <c r="D33" s="68" t="n">
        <v>12.9437802729956</v>
      </c>
      <c r="E33" s="68" t="n">
        <v>0.0442000548635804</v>
      </c>
      <c r="F33" s="0" t="n">
        <v>0.67013447830797</v>
      </c>
      <c r="G33" s="0" t="n">
        <v>0.0046535642855676</v>
      </c>
    </row>
    <row r="34" customFormat="false" ht="16" hidden="false" customHeight="false" outlineLevel="0" collapsed="false">
      <c r="A34" s="67" t="s">
        <v>675</v>
      </c>
      <c r="B34" s="27" t="n">
        <v>12.1362607167354</v>
      </c>
      <c r="C34" s="27" t="n">
        <v>0</v>
      </c>
      <c r="D34" s="68" t="n">
        <v>12.0948262639774</v>
      </c>
      <c r="E34" s="68" t="n">
        <v>0.0771367063457085</v>
      </c>
      <c r="F34" s="0" t="n">
        <v>0.633739192954961</v>
      </c>
      <c r="G34" s="0" t="n">
        <v>0.00740481489158498</v>
      </c>
    </row>
    <row r="35" customFormat="false" ht="16" hidden="false" customHeight="false" outlineLevel="0" collapsed="false">
      <c r="A35" s="65" t="s">
        <v>372</v>
      </c>
      <c r="B35" s="27" t="n">
        <v>12.1362607167354</v>
      </c>
      <c r="C35" s="27" t="n">
        <v>0</v>
      </c>
      <c r="D35" s="68" t="n">
        <v>12.0377335135265</v>
      </c>
      <c r="E35" s="68" t="n">
        <v>0.0442579275473953</v>
      </c>
      <c r="F35" s="0" t="n">
        <v>0.64420963005462</v>
      </c>
      <c r="G35" s="0" t="n">
        <v>0.00397852055575346</v>
      </c>
    </row>
    <row r="36" customFormat="false" ht="16" hidden="false" customHeight="false" outlineLevel="0" collapsed="false">
      <c r="A36" s="67" t="s">
        <v>748</v>
      </c>
      <c r="B36" s="27" t="n">
        <v>13.2645900552113</v>
      </c>
      <c r="C36" s="27" t="n">
        <v>0</v>
      </c>
      <c r="D36" s="68" t="n">
        <v>13.2811025815097</v>
      </c>
      <c r="E36" s="68" t="n">
        <v>0.080130864838349</v>
      </c>
      <c r="F36" s="0" t="n">
        <v>0.66439474525224</v>
      </c>
      <c r="G36" s="0" t="n">
        <v>0.0112407407606238</v>
      </c>
    </row>
    <row r="37" customFormat="false" ht="16" hidden="false" customHeight="false" outlineLevel="0" collapsed="false">
      <c r="A37" s="65" t="s">
        <v>372</v>
      </c>
      <c r="B37" s="27" t="n">
        <v>13.0404132421411</v>
      </c>
      <c r="C37" s="27" t="n">
        <v>0</v>
      </c>
      <c r="D37" s="68" t="n">
        <v>13.294508819491</v>
      </c>
      <c r="E37" s="68" t="n">
        <v>0.410844785408131</v>
      </c>
      <c r="F37" s="0" t="n">
        <v>0.663991774344051</v>
      </c>
      <c r="G37" s="0" t="n">
        <v>0.00517983581421235</v>
      </c>
    </row>
  </sheetData>
  <conditionalFormatting sqref="C25:C37 B2:C24">
    <cfRule type="cellIs" priority="2" operator="equal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5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3" activeCellId="0" sqref="F23"/>
    </sheetView>
  </sheetViews>
  <sheetFormatPr defaultColWidth="8.84375" defaultRowHeight="16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69" width="9.5"/>
  </cols>
  <sheetData>
    <row r="1" customFormat="false" ht="32" hidden="false" customHeight="false" outlineLevel="0" collapsed="false">
      <c r="A1" s="70" t="s">
        <v>766</v>
      </c>
      <c r="B1" s="71" t="s">
        <v>767</v>
      </c>
      <c r="C1" s="71" t="s">
        <v>31</v>
      </c>
    </row>
    <row r="2" customFormat="false" ht="16" hidden="false" customHeight="false" outlineLevel="0" collapsed="false">
      <c r="A2" s="0" t="s">
        <v>594</v>
      </c>
      <c r="B2" s="69" t="n">
        <v>19.5833569694968</v>
      </c>
      <c r="C2" s="69" t="n">
        <v>1.8166203088905</v>
      </c>
      <c r="D2" s="0" t="s">
        <v>557</v>
      </c>
    </row>
    <row r="3" customFormat="false" ht="16" hidden="false" customHeight="false" outlineLevel="0" collapsed="false">
      <c r="A3" s="0" t="s">
        <v>580</v>
      </c>
      <c r="B3" s="69" t="n">
        <v>19.3941742579142</v>
      </c>
      <c r="C3" s="69" t="n">
        <v>1.93654512933949</v>
      </c>
      <c r="D3" s="0" t="s">
        <v>557</v>
      </c>
    </row>
    <row r="4" customFormat="false" ht="16" hidden="false" customHeight="false" outlineLevel="0" collapsed="false">
      <c r="A4" s="0" t="s">
        <v>584</v>
      </c>
      <c r="B4" s="69" t="n">
        <v>19.1836474067287</v>
      </c>
      <c r="C4" s="69" t="n">
        <v>2.09379362613852</v>
      </c>
      <c r="D4" s="0" t="s">
        <v>557</v>
      </c>
    </row>
    <row r="5" customFormat="false" ht="16" hidden="false" customHeight="false" outlineLevel="0" collapsed="false">
      <c r="A5" s="0" t="s">
        <v>768</v>
      </c>
      <c r="B5" s="72" t="n">
        <v>20.229706627982</v>
      </c>
      <c r="C5" s="72" t="n">
        <v>0.718561958644068</v>
      </c>
      <c r="D5" s="0" t="s">
        <v>557</v>
      </c>
    </row>
    <row r="6" customFormat="false" ht="16" hidden="false" customHeight="false" outlineLevel="0" collapsed="false">
      <c r="A6" s="0" t="s">
        <v>769</v>
      </c>
      <c r="B6" s="72" t="n">
        <v>-1.46266771782012</v>
      </c>
      <c r="C6" s="72" t="n">
        <v>0.2610641134567</v>
      </c>
      <c r="D6" s="0" t="s">
        <v>557</v>
      </c>
    </row>
    <row r="7" customFormat="false" ht="16" hidden="false" customHeight="false" outlineLevel="0" collapsed="false">
      <c r="A7" s="0" t="s">
        <v>569</v>
      </c>
      <c r="B7" s="72" t="n">
        <v>-1.51457794070244</v>
      </c>
      <c r="C7" s="72" t="n">
        <v>0.382948623698388</v>
      </c>
      <c r="D7" s="0" t="s">
        <v>557</v>
      </c>
    </row>
    <row r="8" customFormat="false" ht="16" hidden="false" customHeight="false" outlineLevel="0" collapsed="false">
      <c r="A8" s="0" t="s">
        <v>573</v>
      </c>
      <c r="B8" s="72" t="n">
        <v>1.85196682529524</v>
      </c>
      <c r="C8" s="72" t="n">
        <v>2.77530859538754</v>
      </c>
      <c r="D8" s="0" t="s">
        <v>557</v>
      </c>
    </row>
    <row r="9" customFormat="false" ht="16" hidden="false" customHeight="false" outlineLevel="0" collapsed="false">
      <c r="A9" s="0" t="s">
        <v>562</v>
      </c>
      <c r="B9" s="72" t="n">
        <v>24.5091653303667</v>
      </c>
      <c r="C9" s="72" t="n">
        <v>1.81517952448127</v>
      </c>
      <c r="D9" s="0" t="s">
        <v>557</v>
      </c>
    </row>
    <row r="10" customFormat="false" ht="16" hidden="false" customHeight="false" outlineLevel="0" collapsed="false">
      <c r="A10" s="0" t="s">
        <v>595</v>
      </c>
      <c r="B10" s="69" t="n">
        <v>25.7346838782815</v>
      </c>
      <c r="C10" s="69" t="n">
        <v>2.23881709019944</v>
      </c>
      <c r="D10" s="0" t="s">
        <v>557</v>
      </c>
    </row>
    <row r="11" customFormat="false" ht="16" hidden="false" customHeight="false" outlineLevel="0" collapsed="false">
      <c r="A11" s="0" t="s">
        <v>770</v>
      </c>
      <c r="B11" s="69" t="n">
        <v>25.1667596031638</v>
      </c>
      <c r="C11" s="69" t="n">
        <v>2.72485608986874</v>
      </c>
      <c r="D11" s="0" t="s">
        <v>557</v>
      </c>
    </row>
    <row r="12" customFormat="false" ht="16" hidden="false" customHeight="false" outlineLevel="0" collapsed="false">
      <c r="A12" s="0" t="s">
        <v>585</v>
      </c>
      <c r="B12" s="69" t="n">
        <v>14.6372412129452</v>
      </c>
      <c r="C12" s="69" t="n">
        <v>1.09842113677567</v>
      </c>
      <c r="D12" s="0" t="s">
        <v>557</v>
      </c>
    </row>
    <row r="13" customFormat="false" ht="16" hidden="false" customHeight="false" outlineLevel="0" collapsed="false">
      <c r="A13" s="0" t="s">
        <v>564</v>
      </c>
      <c r="B13" s="72" t="n">
        <v>17.4650920521129</v>
      </c>
      <c r="C13" s="72" t="n">
        <v>0.400634457602914</v>
      </c>
      <c r="D13" s="0" t="s">
        <v>557</v>
      </c>
    </row>
    <row r="14" customFormat="false" ht="16" hidden="false" customHeight="false" outlineLevel="0" collapsed="false">
      <c r="A14" s="0" t="s">
        <v>576</v>
      </c>
      <c r="B14" s="69" t="n">
        <v>14.4466262250333</v>
      </c>
      <c r="C14" s="69" t="n">
        <v>1.88807623564032</v>
      </c>
      <c r="D14" s="0" t="s">
        <v>557</v>
      </c>
    </row>
    <row r="15" customFormat="false" ht="16" hidden="false" customHeight="false" outlineLevel="0" collapsed="false">
      <c r="A15" s="0" t="s">
        <v>567</v>
      </c>
      <c r="B15" s="72" t="n">
        <v>19.1954513896595</v>
      </c>
      <c r="C15" s="72" t="n">
        <v>0.613969898510832</v>
      </c>
      <c r="D15" s="0" t="s">
        <v>557</v>
      </c>
    </row>
    <row r="16" customFormat="false" ht="16" hidden="false" customHeight="false" outlineLevel="0" collapsed="false">
      <c r="A16" s="0" t="s">
        <v>556</v>
      </c>
      <c r="B16" s="69" t="n">
        <v>11.8234142121814</v>
      </c>
      <c r="C16" s="69" t="n">
        <v>0.477374522234881</v>
      </c>
      <c r="D16" s="0" t="s">
        <v>557</v>
      </c>
    </row>
    <row r="17" customFormat="false" ht="16" hidden="false" customHeight="false" outlineLevel="0" collapsed="false">
      <c r="A17" s="0" t="s">
        <v>559</v>
      </c>
      <c r="B17" s="69" t="n">
        <v>11.8234142121814</v>
      </c>
      <c r="C17" s="69" t="n">
        <v>0.477374522234881</v>
      </c>
      <c r="D17" s="0" t="s">
        <v>557</v>
      </c>
    </row>
    <row r="18" customFormat="false" ht="16" hidden="false" customHeight="false" outlineLevel="0" collapsed="false">
      <c r="A18" s="0" t="s">
        <v>771</v>
      </c>
      <c r="B18" s="69" t="n">
        <v>18.5217219904849</v>
      </c>
      <c r="C18" s="69" t="n">
        <v>1.22062355749012</v>
      </c>
      <c r="D18" s="0" t="s">
        <v>557</v>
      </c>
    </row>
    <row r="19" customFormat="false" ht="16" hidden="false" customHeight="false" outlineLevel="0" collapsed="false">
      <c r="A19" s="0" t="s">
        <v>560</v>
      </c>
      <c r="B19" s="69" t="n">
        <v>9.75970159258161</v>
      </c>
      <c r="C19" s="69" t="n">
        <v>0.353237550320552</v>
      </c>
      <c r="D19" s="0" t="s">
        <v>557</v>
      </c>
    </row>
    <row r="20" customFormat="false" ht="16" hidden="false" customHeight="false" outlineLevel="0" collapsed="false">
      <c r="A20" s="0" t="s">
        <v>590</v>
      </c>
      <c r="B20" s="69" t="n">
        <v>9.4574493408203</v>
      </c>
      <c r="C20" s="69" t="n">
        <v>0.694612121822182</v>
      </c>
      <c r="D20" s="0" t="s">
        <v>557</v>
      </c>
    </row>
    <row r="21" customFormat="false" ht="16" hidden="false" customHeight="false" outlineLevel="0" collapsed="false">
      <c r="A21" s="0" t="s">
        <v>587</v>
      </c>
      <c r="B21" s="69" t="n">
        <v>13.3764349284925</v>
      </c>
      <c r="C21" s="69" t="n">
        <v>0.598908217077686</v>
      </c>
      <c r="D21" s="0" t="s">
        <v>557</v>
      </c>
    </row>
    <row r="22" customFormat="false" ht="16" hidden="false" customHeight="false" outlineLevel="0" collapsed="false">
      <c r="A22" s="0" t="s">
        <v>578</v>
      </c>
      <c r="B22" s="69" t="n">
        <v>13.0241778863443</v>
      </c>
      <c r="C22" s="69" t="n">
        <v>1.28336366567763</v>
      </c>
      <c r="D22" s="0" t="s">
        <v>557</v>
      </c>
    </row>
    <row r="23" customFormat="false" ht="16" hidden="false" customHeight="false" outlineLevel="0" collapsed="false">
      <c r="A23" s="0" t="s">
        <v>591</v>
      </c>
      <c r="B23" s="69" t="n">
        <v>9.86676769256593</v>
      </c>
      <c r="C23" s="69" t="n">
        <v>0.776761478843393</v>
      </c>
      <c r="D23" s="0" t="s">
        <v>557</v>
      </c>
    </row>
    <row r="24" customFormat="false" ht="16" hidden="false" customHeight="false" outlineLevel="0" collapsed="false">
      <c r="A24" s="0" t="s">
        <v>589</v>
      </c>
      <c r="B24" s="69" t="n">
        <v>20.5711719111392</v>
      </c>
      <c r="C24" s="69" t="n">
        <v>1.54637297670146</v>
      </c>
      <c r="D24" s="0" t="s">
        <v>557</v>
      </c>
    </row>
    <row r="25" customFormat="false" ht="16" hidden="false" customHeight="false" outlineLevel="0" collapsed="false">
      <c r="A25" s="0" t="s">
        <v>598</v>
      </c>
      <c r="B25" s="72" t="n">
        <v>11.982</v>
      </c>
      <c r="C25" s="72" t="n">
        <v>0.494409</v>
      </c>
      <c r="D25" s="0" t="s">
        <v>597</v>
      </c>
    </row>
    <row r="26" customFormat="false" ht="16" hidden="false" customHeight="false" outlineLevel="0" collapsed="false">
      <c r="A26" s="0" t="s">
        <v>662</v>
      </c>
      <c r="B26" s="72" t="n">
        <v>9.6999</v>
      </c>
      <c r="C26" s="72" t="n">
        <v>0.395162</v>
      </c>
      <c r="D26" s="0" t="s">
        <v>597</v>
      </c>
    </row>
    <row r="27" customFormat="false" ht="16" hidden="false" customHeight="false" outlineLevel="0" collapsed="false">
      <c r="A27" s="0" t="s">
        <v>664</v>
      </c>
      <c r="B27" s="72" t="n">
        <v>10.5258</v>
      </c>
      <c r="C27" s="72" t="n">
        <v>0.241888</v>
      </c>
      <c r="D27" s="0" t="s">
        <v>597</v>
      </c>
    </row>
    <row r="28" customFormat="false" ht="16" hidden="false" customHeight="false" outlineLevel="0" collapsed="false">
      <c r="A28" s="0" t="s">
        <v>87</v>
      </c>
      <c r="B28" s="72" t="n">
        <v>11.7682</v>
      </c>
      <c r="C28" s="72" t="n">
        <v>0.478945</v>
      </c>
      <c r="D28" s="0" t="s">
        <v>597</v>
      </c>
    </row>
    <row r="29" customFormat="false" ht="16" hidden="false" customHeight="false" outlineLevel="0" collapsed="false">
      <c r="A29" s="0" t="s">
        <v>655</v>
      </c>
      <c r="B29" s="72" t="n">
        <v>23.8745</v>
      </c>
      <c r="C29" s="72" t="n">
        <v>1.550499</v>
      </c>
      <c r="D29" s="0" t="s">
        <v>597</v>
      </c>
    </row>
    <row r="30" customFormat="false" ht="16" hidden="false" customHeight="false" outlineLevel="0" collapsed="false">
      <c r="A30" s="0" t="s">
        <v>599</v>
      </c>
      <c r="B30" s="72" t="n">
        <v>12.8894</v>
      </c>
      <c r="C30" s="72" t="n">
        <v>0.780495</v>
      </c>
      <c r="D30" s="0" t="s">
        <v>597</v>
      </c>
      <c r="F30" s="0" t="s">
        <v>599</v>
      </c>
    </row>
    <row r="31" customFormat="false" ht="16" hidden="false" customHeight="false" outlineLevel="0" collapsed="false">
      <c r="A31" s="0" t="s">
        <v>651</v>
      </c>
      <c r="B31" s="72" t="n">
        <v>12.1201</v>
      </c>
      <c r="C31" s="72" t="n">
        <v>0.737977</v>
      </c>
      <c r="D31" s="0" t="s">
        <v>597</v>
      </c>
    </row>
    <row r="32" customFormat="false" ht="16" hidden="false" customHeight="false" outlineLevel="0" collapsed="false">
      <c r="A32" s="0" t="s">
        <v>665</v>
      </c>
      <c r="B32" s="72" t="n">
        <v>11.0158</v>
      </c>
      <c r="C32" s="72" t="n">
        <v>0.224276</v>
      </c>
      <c r="D32" s="0" t="s">
        <v>597</v>
      </c>
    </row>
    <row r="33" customFormat="false" ht="16" hidden="false" customHeight="false" outlineLevel="0" collapsed="false">
      <c r="A33" s="0" t="s">
        <v>658</v>
      </c>
      <c r="B33" s="72" t="n">
        <v>12.5415</v>
      </c>
      <c r="C33" s="72" t="n">
        <v>1.082262</v>
      </c>
      <c r="D33" s="0" t="s">
        <v>597</v>
      </c>
    </row>
    <row r="34" customFormat="false" ht="16" hidden="false" customHeight="false" outlineLevel="0" collapsed="false">
      <c r="A34" s="0" t="s">
        <v>601</v>
      </c>
      <c r="B34" s="72" t="n">
        <v>8.4802</v>
      </c>
      <c r="C34" s="72" t="n">
        <v>0.406524</v>
      </c>
      <c r="D34" s="0" t="s">
        <v>597</v>
      </c>
      <c r="F34" s="0" t="s">
        <v>621</v>
      </c>
    </row>
    <row r="35" customFormat="false" ht="16" hidden="false" customHeight="false" outlineLevel="0" collapsed="false">
      <c r="A35" s="0" t="s">
        <v>652</v>
      </c>
      <c r="B35" s="72" t="n">
        <v>7.3791</v>
      </c>
      <c r="C35" s="72" t="n">
        <v>1.709729</v>
      </c>
      <c r="D35" s="0" t="s">
        <v>597</v>
      </c>
      <c r="F35" s="0" t="s">
        <v>622</v>
      </c>
    </row>
    <row r="36" customFormat="false" ht="16" hidden="false" customHeight="false" outlineLevel="0" collapsed="false">
      <c r="A36" s="0" t="s">
        <v>634</v>
      </c>
      <c r="B36" s="69" t="n">
        <v>-0.2621</v>
      </c>
      <c r="C36" s="69" t="n">
        <v>0.56735</v>
      </c>
      <c r="D36" s="0" t="s">
        <v>597</v>
      </c>
      <c r="F36" s="0" t="s">
        <v>623</v>
      </c>
    </row>
    <row r="37" customFormat="false" ht="16" hidden="false" customHeight="false" outlineLevel="0" collapsed="false">
      <c r="A37" s="0" t="s">
        <v>636</v>
      </c>
      <c r="B37" s="69" t="n">
        <v>0.6231</v>
      </c>
      <c r="C37" s="69" t="n">
        <v>0.775154</v>
      </c>
      <c r="D37" s="0" t="s">
        <v>597</v>
      </c>
      <c r="F37" s="0" t="s">
        <v>625</v>
      </c>
    </row>
    <row r="38" customFormat="false" ht="16" hidden="false" customHeight="false" outlineLevel="0" collapsed="false">
      <c r="A38" s="0" t="s">
        <v>630</v>
      </c>
      <c r="B38" s="69" t="n">
        <v>4.1341</v>
      </c>
      <c r="C38" s="69" t="n">
        <v>0.5727</v>
      </c>
      <c r="D38" s="0" t="s">
        <v>597</v>
      </c>
      <c r="F38" s="0" t="s">
        <v>628</v>
      </c>
    </row>
    <row r="39" customFormat="false" ht="16" hidden="false" customHeight="false" outlineLevel="0" collapsed="false">
      <c r="A39" s="0" t="s">
        <v>603</v>
      </c>
      <c r="B39" s="72" t="n">
        <v>19.1487</v>
      </c>
      <c r="C39" s="72" t="n">
        <v>1.192915</v>
      </c>
      <c r="D39" s="0" t="s">
        <v>597</v>
      </c>
    </row>
    <row r="40" customFormat="false" ht="16" hidden="false" customHeight="false" outlineLevel="0" collapsed="false">
      <c r="A40" s="0" t="s">
        <v>619</v>
      </c>
      <c r="B40" s="72" t="n">
        <v>19.655</v>
      </c>
      <c r="C40" s="72" t="n">
        <v>0.374369</v>
      </c>
      <c r="D40" s="0" t="s">
        <v>597</v>
      </c>
    </row>
    <row r="41" customFormat="false" ht="16" hidden="false" customHeight="false" outlineLevel="0" collapsed="false">
      <c r="A41" s="0" t="s">
        <v>653</v>
      </c>
      <c r="B41" s="72" t="n">
        <v>17.0456</v>
      </c>
      <c r="C41" s="72" t="n">
        <v>2.75897</v>
      </c>
      <c r="D41" s="0" t="s">
        <v>597</v>
      </c>
      <c r="F41" s="0" t="s">
        <v>641</v>
      </c>
    </row>
    <row r="42" customFormat="false" ht="16" hidden="false" customHeight="false" outlineLevel="0" collapsed="false">
      <c r="A42" s="0" t="s">
        <v>666</v>
      </c>
      <c r="B42" s="72" t="n">
        <v>13.8158</v>
      </c>
      <c r="C42" s="72" t="n">
        <v>1.118595</v>
      </c>
      <c r="D42" s="0" t="s">
        <v>597</v>
      </c>
      <c r="F42" s="0" t="s">
        <v>642</v>
      </c>
    </row>
    <row r="43" customFormat="false" ht="16" hidden="false" customHeight="false" outlineLevel="0" collapsed="false">
      <c r="A43" s="0" t="s">
        <v>646</v>
      </c>
      <c r="B43" s="72" t="n">
        <v>26.9071</v>
      </c>
      <c r="C43" s="72" t="n">
        <v>2.018456</v>
      </c>
      <c r="D43" s="0" t="s">
        <v>597</v>
      </c>
      <c r="F43" s="0" t="s">
        <v>644</v>
      </c>
    </row>
    <row r="44" customFormat="false" ht="16" hidden="false" customHeight="false" outlineLevel="0" collapsed="false">
      <c r="A44" s="0" t="s">
        <v>610</v>
      </c>
      <c r="B44" s="72" t="n">
        <v>25.5079</v>
      </c>
      <c r="C44" s="72" t="n">
        <v>0.783823</v>
      </c>
      <c r="D44" s="0" t="s">
        <v>597</v>
      </c>
      <c r="F44" s="0" t="s">
        <v>646</v>
      </c>
    </row>
    <row r="45" customFormat="false" ht="16" hidden="false" customHeight="false" outlineLevel="0" collapsed="false">
      <c r="A45" s="0" t="s">
        <v>621</v>
      </c>
      <c r="B45" s="72" t="n">
        <v>27.3473</v>
      </c>
      <c r="C45" s="72" t="n">
        <v>0.13363</v>
      </c>
      <c r="D45" s="0" t="s">
        <v>597</v>
      </c>
    </row>
    <row r="46" customFormat="false" ht="16" hidden="false" customHeight="false" outlineLevel="0" collapsed="false">
      <c r="A46" s="0" t="s">
        <v>622</v>
      </c>
      <c r="B46" s="72" t="n">
        <v>27.2402</v>
      </c>
      <c r="C46" s="72" t="n">
        <v>0.133551</v>
      </c>
      <c r="D46" s="0" t="s">
        <v>597</v>
      </c>
      <c r="F46" s="0" t="s">
        <v>650</v>
      </c>
    </row>
    <row r="47" customFormat="false" ht="16" hidden="false" customHeight="false" outlineLevel="0" collapsed="false">
      <c r="A47" s="0" t="s">
        <v>623</v>
      </c>
      <c r="B47" s="72" t="n">
        <v>27.4258</v>
      </c>
      <c r="C47" s="72" t="n">
        <v>0.034088</v>
      </c>
      <c r="D47" s="0" t="s">
        <v>597</v>
      </c>
      <c r="F47" s="0" t="s">
        <v>651</v>
      </c>
    </row>
    <row r="48" customFormat="false" ht="16" hidden="false" customHeight="false" outlineLevel="0" collapsed="false">
      <c r="A48" s="0" t="s">
        <v>638</v>
      </c>
      <c r="B48" s="72" t="n">
        <v>24.5893</v>
      </c>
      <c r="C48" s="72" t="n">
        <v>0.985775</v>
      </c>
      <c r="D48" s="0" t="s">
        <v>597</v>
      </c>
    </row>
    <row r="49" customFormat="false" ht="16" hidden="false" customHeight="false" outlineLevel="0" collapsed="false">
      <c r="A49" s="0" t="s">
        <v>648</v>
      </c>
      <c r="B49" s="72" t="n">
        <v>26.2173</v>
      </c>
      <c r="C49" s="72" t="n">
        <v>0.587287</v>
      </c>
      <c r="D49" s="0" t="s">
        <v>597</v>
      </c>
      <c r="F49" s="0" t="s">
        <v>655</v>
      </c>
    </row>
    <row r="50" customFormat="false" ht="16" hidden="false" customHeight="false" outlineLevel="0" collapsed="false">
      <c r="A50" s="0" t="s">
        <v>606</v>
      </c>
      <c r="B50" s="72" t="n">
        <v>7.7927</v>
      </c>
      <c r="C50" s="72" t="n">
        <v>0.245063</v>
      </c>
      <c r="D50" s="0" t="s">
        <v>597</v>
      </c>
      <c r="F50" s="0" t="s">
        <v>656</v>
      </c>
    </row>
    <row r="51" customFormat="false" ht="16" hidden="false" customHeight="false" outlineLevel="0" collapsed="false">
      <c r="A51" s="0" t="s">
        <v>654</v>
      </c>
      <c r="B51" s="72" t="n">
        <v>8.5087</v>
      </c>
      <c r="C51" s="72" t="n">
        <v>1.408134</v>
      </c>
      <c r="D51" s="0" t="s">
        <v>597</v>
      </c>
    </row>
    <row r="52" customFormat="false" ht="16" hidden="false" customHeight="false" outlineLevel="0" collapsed="false">
      <c r="A52" s="0" t="s">
        <v>667</v>
      </c>
      <c r="B52" s="72" t="n">
        <v>7.0839</v>
      </c>
      <c r="C52" s="72" t="n">
        <v>0.364001</v>
      </c>
      <c r="D52" s="0" t="s">
        <v>597</v>
      </c>
      <c r="F52" s="0" t="s">
        <v>658</v>
      </c>
    </row>
    <row r="53" customFormat="false" ht="16" hidden="false" customHeight="false" outlineLevel="0" collapsed="false">
      <c r="A53" s="0" t="s">
        <v>615</v>
      </c>
      <c r="B53" s="72" t="n">
        <v>24.7713</v>
      </c>
      <c r="C53" s="72" t="n">
        <v>1.941156</v>
      </c>
      <c r="D53" s="0" t="s">
        <v>597</v>
      </c>
    </row>
    <row r="54" customFormat="false" ht="16" hidden="false" customHeight="false" outlineLevel="0" collapsed="false">
      <c r="A54" s="0" t="s">
        <v>625</v>
      </c>
      <c r="B54" s="72" t="n">
        <v>27.532</v>
      </c>
      <c r="C54" s="72" t="n">
        <v>1.04582</v>
      </c>
      <c r="D54" s="0" t="s">
        <v>597</v>
      </c>
      <c r="F54" s="0" t="s">
        <v>661</v>
      </c>
    </row>
    <row r="55" customFormat="false" ht="16" hidden="false" customHeight="false" outlineLevel="0" collapsed="false">
      <c r="A55" s="0" t="s">
        <v>668</v>
      </c>
      <c r="B55" s="72" t="n">
        <v>21.4212</v>
      </c>
      <c r="C55" s="72" t="n">
        <v>3.383406</v>
      </c>
      <c r="D55" s="0" t="s">
        <v>597</v>
      </c>
      <c r="F55" s="0" t="s">
        <v>662</v>
      </c>
    </row>
    <row r="56" customFormat="false" ht="16" hidden="false" customHeight="false" outlineLevel="0" collapsed="false">
      <c r="A56" s="0" t="s">
        <v>659</v>
      </c>
      <c r="B56" s="72" t="n">
        <v>26.9178</v>
      </c>
      <c r="C56" s="72" t="n">
        <v>1.902705</v>
      </c>
      <c r="D56" s="0" t="s">
        <v>597</v>
      </c>
      <c r="F56" s="0" t="s">
        <v>663</v>
      </c>
    </row>
    <row r="57" customFormat="false" ht="16" hidden="false" customHeight="false" outlineLevel="0" collapsed="false">
      <c r="A57" s="0" t="s">
        <v>639</v>
      </c>
      <c r="B57" s="72" t="n">
        <v>23.539</v>
      </c>
      <c r="C57" s="72" t="n">
        <v>1.232275</v>
      </c>
      <c r="D57" s="0" t="s">
        <v>597</v>
      </c>
      <c r="F57" s="0" t="s">
        <v>664</v>
      </c>
    </row>
    <row r="58" customFormat="false" ht="16" hidden="false" customHeight="false" outlineLevel="0" collapsed="false">
      <c r="A58" s="0" t="s">
        <v>642</v>
      </c>
      <c r="B58" s="72" t="n">
        <v>27.0732</v>
      </c>
      <c r="C58" s="72" t="n">
        <v>1.115197</v>
      </c>
      <c r="D58" s="0" t="s">
        <v>597</v>
      </c>
      <c r="F58" s="0" t="s">
        <v>665</v>
      </c>
    </row>
    <row r="59" customFormat="false" ht="16" hidden="false" customHeight="false" outlineLevel="0" collapsed="false">
      <c r="A59" s="0" t="s">
        <v>649</v>
      </c>
      <c r="B59" s="72" t="n">
        <v>27.0732</v>
      </c>
      <c r="C59" s="72" t="n">
        <v>1.115197</v>
      </c>
      <c r="D59" s="0" t="s">
        <v>597</v>
      </c>
    </row>
    <row r="60" customFormat="false" ht="16" hidden="false" customHeight="false" outlineLevel="0" collapsed="false">
      <c r="A60" s="0" t="s">
        <v>628</v>
      </c>
      <c r="B60" s="72" t="n">
        <v>21.4148</v>
      </c>
      <c r="C60" s="72" t="n">
        <v>2.708527</v>
      </c>
      <c r="D60" s="0" t="s">
        <v>597</v>
      </c>
    </row>
    <row r="61" customFormat="false" ht="16" hidden="false" customHeight="false" outlineLevel="0" collapsed="false">
      <c r="A61" s="0" t="s">
        <v>663</v>
      </c>
      <c r="B61" s="72" t="n">
        <v>24.077</v>
      </c>
      <c r="C61" s="72" t="n">
        <v>2.374013</v>
      </c>
      <c r="D61" s="0" t="s">
        <v>597</v>
      </c>
    </row>
    <row r="62" customFormat="false" ht="16" hidden="false" customHeight="false" outlineLevel="0" collapsed="false">
      <c r="A62" s="0" t="s">
        <v>669</v>
      </c>
      <c r="B62" s="72" t="n">
        <v>14.097</v>
      </c>
      <c r="C62" s="72" t="n">
        <v>2.260405</v>
      </c>
      <c r="D62" s="0" t="s">
        <v>597</v>
      </c>
    </row>
    <row r="63" customFormat="false" ht="16" hidden="false" customHeight="false" outlineLevel="0" collapsed="false">
      <c r="A63" s="0" t="s">
        <v>656</v>
      </c>
      <c r="B63" s="72" t="n">
        <v>23.7359</v>
      </c>
      <c r="C63" s="72" t="n">
        <v>2.720152</v>
      </c>
      <c r="D63" s="0" t="s">
        <v>597</v>
      </c>
    </row>
    <row r="64" customFormat="false" ht="16" hidden="false" customHeight="false" outlineLevel="0" collapsed="false">
      <c r="A64" s="0" t="s">
        <v>661</v>
      </c>
      <c r="B64" s="72" t="n">
        <v>23.3534</v>
      </c>
      <c r="C64" s="72" t="n">
        <v>3.125287</v>
      </c>
      <c r="D64" s="0" t="s">
        <v>597</v>
      </c>
    </row>
    <row r="65" customFormat="false" ht="16" hidden="false" customHeight="false" outlineLevel="0" collapsed="false">
      <c r="A65" s="0" t="s">
        <v>641</v>
      </c>
      <c r="B65" s="72" t="n">
        <v>18.9503</v>
      </c>
      <c r="C65" s="72" t="n">
        <v>1.433712</v>
      </c>
      <c r="D65" s="0" t="s">
        <v>597</v>
      </c>
    </row>
    <row r="66" customFormat="false" ht="16" hidden="false" customHeight="false" outlineLevel="0" collapsed="false">
      <c r="A66" s="0" t="s">
        <v>644</v>
      </c>
      <c r="B66" s="72" t="n">
        <v>22.7538</v>
      </c>
      <c r="C66" s="72" t="n">
        <v>1.865783</v>
      </c>
      <c r="D66" s="0" t="s">
        <v>597</v>
      </c>
    </row>
    <row r="67" customFormat="false" ht="16" hidden="false" customHeight="false" outlineLevel="0" collapsed="false">
      <c r="A67" s="0" t="s">
        <v>650</v>
      </c>
      <c r="B67" s="72" t="n">
        <v>22.7538</v>
      </c>
      <c r="C67" s="72" t="n">
        <v>1.865783</v>
      </c>
      <c r="D67" s="0" t="s">
        <v>597</v>
      </c>
    </row>
    <row r="68" customFormat="false" ht="16" hidden="false" customHeight="false" outlineLevel="0" collapsed="false">
      <c r="A68" s="0" t="s">
        <v>673</v>
      </c>
      <c r="B68" s="69" t="n">
        <v>10.6085151290894</v>
      </c>
      <c r="C68" s="69" t="n">
        <v>0.0165095422416925</v>
      </c>
      <c r="D68" s="0" t="s">
        <v>671</v>
      </c>
    </row>
    <row r="69" customFormat="false" ht="16" hidden="false" customHeight="false" outlineLevel="0" collapsed="false">
      <c r="A69" s="0" t="s">
        <v>685</v>
      </c>
      <c r="B69" s="69" t="n">
        <v>24.252854607322</v>
      </c>
      <c r="C69" s="69" t="n">
        <v>0.793527778774114</v>
      </c>
      <c r="D69" s="0" t="s">
        <v>671</v>
      </c>
    </row>
    <row r="70" customFormat="false" ht="16" hidden="false" customHeight="false" outlineLevel="0" collapsed="false">
      <c r="A70" s="0" t="s">
        <v>708</v>
      </c>
      <c r="B70" s="69" t="n">
        <v>22.1494361653047</v>
      </c>
      <c r="C70" s="69" t="n">
        <v>1.66880893989951</v>
      </c>
      <c r="D70" s="0" t="s">
        <v>671</v>
      </c>
    </row>
    <row r="71" customFormat="false" ht="16" hidden="false" customHeight="false" outlineLevel="0" collapsed="false">
      <c r="A71" s="0" t="s">
        <v>704</v>
      </c>
      <c r="B71" s="69" t="n">
        <v>21.7021486382735</v>
      </c>
      <c r="C71" s="69" t="n">
        <v>2.07547674624043</v>
      </c>
      <c r="D71" s="0" t="s">
        <v>671</v>
      </c>
    </row>
    <row r="72" customFormat="false" ht="16" hidden="false" customHeight="false" outlineLevel="0" collapsed="false">
      <c r="A72" s="0" t="s">
        <v>688</v>
      </c>
      <c r="B72" s="69" t="n">
        <v>25.0802152807062</v>
      </c>
      <c r="C72" s="69" t="n">
        <v>0.361609354416863</v>
      </c>
      <c r="D72" s="0" t="s">
        <v>671</v>
      </c>
    </row>
    <row r="73" customFormat="false" ht="16" hidden="false" customHeight="false" outlineLevel="0" collapsed="false">
      <c r="A73" s="0" t="s">
        <v>709</v>
      </c>
      <c r="B73" s="69" t="n">
        <v>23.9880253286923</v>
      </c>
      <c r="C73" s="69" t="n">
        <v>0.895109418414241</v>
      </c>
      <c r="D73" s="0" t="s">
        <v>671</v>
      </c>
    </row>
    <row r="74" customFormat="false" ht="16" hidden="false" customHeight="false" outlineLevel="0" collapsed="false">
      <c r="A74" s="0" t="s">
        <v>705</v>
      </c>
      <c r="B74" s="69" t="n">
        <v>23.7193059419331</v>
      </c>
      <c r="C74" s="69" t="n">
        <v>1.17486061906775</v>
      </c>
      <c r="D74" s="0" t="s">
        <v>671</v>
      </c>
    </row>
    <row r="75" customFormat="false" ht="16" hidden="false" customHeight="false" outlineLevel="0" collapsed="false">
      <c r="A75" s="0" t="s">
        <v>692</v>
      </c>
      <c r="B75" s="69" t="n">
        <v>8.61396821975708</v>
      </c>
      <c r="C75" s="69" t="n">
        <v>0.397827585232852</v>
      </c>
      <c r="D75" s="0" t="s">
        <v>671</v>
      </c>
    </row>
    <row r="76" customFormat="false" ht="16" hidden="false" customHeight="false" outlineLevel="0" collapsed="false">
      <c r="A76" s="0" t="s">
        <v>694</v>
      </c>
      <c r="B76" s="69" t="n">
        <v>2.84822259426117</v>
      </c>
      <c r="C76" s="69" t="n">
        <v>0.355581094731922</v>
      </c>
      <c r="D76" s="0" t="s">
        <v>671</v>
      </c>
    </row>
    <row r="77" customFormat="false" ht="16" hidden="false" customHeight="false" outlineLevel="0" collapsed="false">
      <c r="A77" s="0" t="s">
        <v>690</v>
      </c>
      <c r="B77" s="69" t="n">
        <v>19.3521525643089</v>
      </c>
      <c r="C77" s="69" t="n">
        <v>0.625649340360933</v>
      </c>
      <c r="D77" s="0" t="s">
        <v>671</v>
      </c>
    </row>
    <row r="78" customFormat="false" ht="16" hidden="false" customHeight="false" outlineLevel="0" collapsed="false">
      <c r="A78" s="0" t="s">
        <v>698</v>
      </c>
      <c r="B78" s="69" t="n">
        <v>16.2989029497714</v>
      </c>
      <c r="C78" s="69" t="n">
        <v>2.65211113328482</v>
      </c>
      <c r="D78" s="0" t="s">
        <v>671</v>
      </c>
    </row>
    <row r="79" customFormat="false" ht="16" hidden="false" customHeight="false" outlineLevel="0" collapsed="false">
      <c r="A79" s="0" t="s">
        <v>699</v>
      </c>
      <c r="B79" s="69" t="n">
        <v>16.2989029497714</v>
      </c>
      <c r="C79" s="69" t="n">
        <v>2.65211113328482</v>
      </c>
      <c r="D79" s="0" t="s">
        <v>671</v>
      </c>
    </row>
    <row r="80" customFormat="false" ht="16" hidden="false" customHeight="false" outlineLevel="0" collapsed="false">
      <c r="A80" s="0" t="s">
        <v>700</v>
      </c>
      <c r="B80" s="69" t="n">
        <v>16.2989029497714</v>
      </c>
      <c r="C80" s="69" t="n">
        <v>2.65211113328482</v>
      </c>
      <c r="D80" s="0" t="s">
        <v>671</v>
      </c>
    </row>
    <row r="81" customFormat="false" ht="16" hidden="false" customHeight="false" outlineLevel="0" collapsed="false">
      <c r="A81" s="0" t="s">
        <v>701</v>
      </c>
      <c r="B81" s="69" t="n">
        <v>16.2989029497714</v>
      </c>
      <c r="C81" s="69" t="n">
        <v>2.65211113328482</v>
      </c>
      <c r="D81" s="0" t="s">
        <v>671</v>
      </c>
    </row>
    <row r="82" customFormat="false" ht="16" hidden="false" customHeight="false" outlineLevel="0" collapsed="false">
      <c r="A82" s="0" t="s">
        <v>702</v>
      </c>
      <c r="B82" s="69" t="n">
        <v>16.2989029497714</v>
      </c>
      <c r="C82" s="69" t="n">
        <v>2.65211113328482</v>
      </c>
      <c r="D82" s="0" t="s">
        <v>671</v>
      </c>
    </row>
    <row r="83" customFormat="false" ht="16" hidden="false" customHeight="false" outlineLevel="0" collapsed="false">
      <c r="A83" s="0" t="s">
        <v>703</v>
      </c>
      <c r="B83" s="69" t="n">
        <v>16.2989029497714</v>
      </c>
      <c r="C83" s="69" t="n">
        <v>2.65211113328482</v>
      </c>
      <c r="D83" s="0" t="s">
        <v>671</v>
      </c>
    </row>
    <row r="84" customFormat="false" ht="16" hidden="false" customHeight="false" outlineLevel="0" collapsed="false">
      <c r="A84" s="0" t="s">
        <v>711</v>
      </c>
      <c r="B84" s="69" t="n">
        <v>13.2224457080548</v>
      </c>
      <c r="C84" s="69" t="n">
        <v>0.976959504030841</v>
      </c>
      <c r="D84" s="0" t="s">
        <v>671</v>
      </c>
    </row>
    <row r="85" customFormat="false" ht="16" hidden="false" customHeight="false" outlineLevel="0" collapsed="false">
      <c r="A85" s="0" t="s">
        <v>711</v>
      </c>
      <c r="B85" s="69" t="n">
        <v>13.2224457080548</v>
      </c>
      <c r="C85" s="69" t="n">
        <v>0.976959504030841</v>
      </c>
      <c r="D85" s="0" t="s">
        <v>671</v>
      </c>
    </row>
    <row r="86" customFormat="false" ht="16" hidden="false" customHeight="false" outlineLevel="0" collapsed="false">
      <c r="A86" s="0" t="s">
        <v>677</v>
      </c>
      <c r="B86" s="69" t="n">
        <v>7.6076994850522</v>
      </c>
      <c r="C86" s="69" t="n">
        <v>0.799041033527809</v>
      </c>
      <c r="D86" s="0" t="s">
        <v>671</v>
      </c>
    </row>
    <row r="87" customFormat="false" ht="16" hidden="false" customHeight="false" outlineLevel="0" collapsed="false">
      <c r="A87" s="0" t="s">
        <v>696</v>
      </c>
      <c r="B87" s="69" t="n">
        <v>7.31017951965332</v>
      </c>
      <c r="C87" s="69" t="n">
        <v>1.01221487656688</v>
      </c>
      <c r="D87" s="0" t="s">
        <v>671</v>
      </c>
    </row>
    <row r="88" customFormat="false" ht="16" hidden="false" customHeight="false" outlineLevel="0" collapsed="false">
      <c r="A88" s="0" t="s">
        <v>679</v>
      </c>
      <c r="B88" s="69" t="n">
        <v>8.01495838165283</v>
      </c>
      <c r="C88" s="69" t="n">
        <v>0.0657678365179799</v>
      </c>
      <c r="D88" s="0" t="s">
        <v>671</v>
      </c>
    </row>
    <row r="89" customFormat="false" ht="16" hidden="false" customHeight="false" outlineLevel="0" collapsed="false">
      <c r="A89" s="0" t="s">
        <v>710</v>
      </c>
      <c r="B89" s="69" t="n">
        <v>23.1979991688448</v>
      </c>
      <c r="C89" s="69" t="n">
        <v>1.93448333945117</v>
      </c>
      <c r="D89" s="0" t="s">
        <v>671</v>
      </c>
    </row>
    <row r="90" customFormat="false" ht="16" hidden="false" customHeight="false" outlineLevel="0" collapsed="false">
      <c r="A90" s="0" t="s">
        <v>706</v>
      </c>
      <c r="B90" s="69" t="n">
        <v>22.62483185216</v>
      </c>
      <c r="C90" s="69" t="n">
        <v>2.51878239619022</v>
      </c>
      <c r="D90" s="0" t="s">
        <v>671</v>
      </c>
    </row>
    <row r="91" customFormat="false" ht="16" hidden="false" customHeight="false" outlineLevel="0" collapsed="false">
      <c r="A91" s="0" t="s">
        <v>754</v>
      </c>
      <c r="B91" s="69" t="n">
        <v>7.25594250361125</v>
      </c>
      <c r="C91" s="69" t="n">
        <v>0.211726801204339</v>
      </c>
      <c r="D91" s="0" t="s">
        <v>671</v>
      </c>
    </row>
    <row r="92" customFormat="false" ht="16" hidden="false" customHeight="false" outlineLevel="0" collapsed="false">
      <c r="A92" s="0" t="s">
        <v>681</v>
      </c>
      <c r="B92" s="69" t="n">
        <v>9.11820443471273</v>
      </c>
      <c r="C92" s="69" t="n">
        <v>0.356859314383153</v>
      </c>
      <c r="D92" s="0" t="s">
        <v>671</v>
      </c>
    </row>
    <row r="93" customFormat="false" ht="16" hidden="false" customHeight="false" outlineLevel="0" collapsed="false">
      <c r="A93" s="0" t="s">
        <v>670</v>
      </c>
      <c r="B93" s="69" t="n">
        <v>-0.821130096912384</v>
      </c>
      <c r="D93" s="0" t="s">
        <v>671</v>
      </c>
    </row>
    <row r="94" customFormat="false" ht="16" hidden="false" customHeight="false" outlineLevel="0" collapsed="false">
      <c r="A94" s="0" t="s">
        <v>697</v>
      </c>
      <c r="B94" s="69" t="n">
        <v>0.123845034629121</v>
      </c>
      <c r="C94" s="69" t="n">
        <v>0.365910387547531</v>
      </c>
      <c r="D94" s="0" t="s">
        <v>671</v>
      </c>
    </row>
    <row r="95" customFormat="false" ht="16" hidden="false" customHeight="false" outlineLevel="0" collapsed="false">
      <c r="A95" s="0" t="s">
        <v>683</v>
      </c>
      <c r="B95" s="69" t="n">
        <v>16.7695804323469</v>
      </c>
      <c r="C95" s="69" t="n">
        <v>1.09224134431821</v>
      </c>
      <c r="D95" s="0" t="s">
        <v>671</v>
      </c>
    </row>
    <row r="96" customFormat="false" ht="16" hidden="false" customHeight="false" outlineLevel="0" collapsed="false">
      <c r="A96" s="0" t="s">
        <v>772</v>
      </c>
      <c r="B96" s="69" t="n">
        <v>17.2583122253418</v>
      </c>
      <c r="C96" s="69" t="n">
        <v>4.81785628436477</v>
      </c>
      <c r="D96" s="0" t="s">
        <v>773</v>
      </c>
    </row>
    <row r="97" customFormat="false" ht="16" hidden="false" customHeight="false" outlineLevel="0" collapsed="false">
      <c r="A97" s="0" t="s">
        <v>439</v>
      </c>
      <c r="B97" s="69" t="n">
        <v>17.2583122253418</v>
      </c>
      <c r="C97" s="69" t="n">
        <v>4.81785628436477</v>
      </c>
      <c r="D97" s="0" t="s">
        <v>773</v>
      </c>
    </row>
    <row r="98" customFormat="false" ht="16" hidden="false" customHeight="false" outlineLevel="0" collapsed="false">
      <c r="A98" s="0" t="s">
        <v>442</v>
      </c>
      <c r="B98" s="69" t="n">
        <v>28.5254958759654</v>
      </c>
      <c r="C98" s="69" t="n">
        <v>0.562432777016302</v>
      </c>
      <c r="D98" s="0" t="s">
        <v>773</v>
      </c>
    </row>
    <row r="99" customFormat="false" ht="16" hidden="false" customHeight="false" outlineLevel="0" collapsed="false">
      <c r="A99" s="0" t="s">
        <v>445</v>
      </c>
      <c r="B99" s="69" t="n">
        <v>17.1850528717041</v>
      </c>
      <c r="C99" s="69" t="n">
        <v>4.89682398535433</v>
      </c>
      <c r="D99" s="0" t="s">
        <v>773</v>
      </c>
    </row>
    <row r="100" customFormat="false" ht="16" hidden="false" customHeight="false" outlineLevel="0" collapsed="false">
      <c r="A100" s="0" t="s">
        <v>448</v>
      </c>
      <c r="B100" s="69" t="n">
        <v>17.1850528717041</v>
      </c>
      <c r="C100" s="69" t="n">
        <v>4.89682398535433</v>
      </c>
      <c r="D100" s="0" t="s">
        <v>773</v>
      </c>
    </row>
    <row r="101" customFormat="false" ht="16" hidden="false" customHeight="false" outlineLevel="0" collapsed="false">
      <c r="A101" s="0" t="s">
        <v>451</v>
      </c>
      <c r="B101" s="69" t="n">
        <v>17.312336564064</v>
      </c>
      <c r="C101" s="69" t="n">
        <v>4.98144429220822</v>
      </c>
      <c r="D101" s="0" t="s">
        <v>773</v>
      </c>
    </row>
    <row r="102" customFormat="false" ht="16" hidden="false" customHeight="false" outlineLevel="0" collapsed="false">
      <c r="A102" s="0" t="s">
        <v>454</v>
      </c>
      <c r="B102" s="69" t="n">
        <v>17.312336564064</v>
      </c>
      <c r="C102" s="69" t="n">
        <v>4.98144429220822</v>
      </c>
      <c r="D102" s="0" t="s">
        <v>773</v>
      </c>
    </row>
    <row r="103" customFormat="false" ht="16" hidden="false" customHeight="false" outlineLevel="0" collapsed="false">
      <c r="A103" s="0" t="s">
        <v>457</v>
      </c>
      <c r="B103" s="69" t="n">
        <v>29.1717536232688</v>
      </c>
      <c r="C103" s="69" t="n">
        <v>0.0745472101679626</v>
      </c>
      <c r="D103" s="0" t="s">
        <v>773</v>
      </c>
    </row>
    <row r="104" customFormat="false" ht="16" hidden="false" customHeight="false" outlineLevel="0" collapsed="false">
      <c r="A104" s="0" t="s">
        <v>460</v>
      </c>
      <c r="B104" s="69" t="n">
        <v>28.4809353568337</v>
      </c>
      <c r="C104" s="69" t="n">
        <v>0.523423315129924</v>
      </c>
      <c r="D104" s="0" t="s">
        <v>773</v>
      </c>
    </row>
    <row r="105" customFormat="false" ht="16" hidden="false" customHeight="false" outlineLevel="0" collapsed="false">
      <c r="A105" s="0" t="s">
        <v>463</v>
      </c>
      <c r="B105" s="69" t="n">
        <v>12.6696994954889</v>
      </c>
      <c r="C105" s="69" t="n">
        <v>0.268859927856824</v>
      </c>
      <c r="D105" s="0" t="s">
        <v>773</v>
      </c>
    </row>
    <row r="106" customFormat="false" ht="16" hidden="false" customHeight="false" outlineLevel="0" collapsed="false">
      <c r="A106" s="0" t="s">
        <v>517</v>
      </c>
      <c r="B106" s="69" t="n">
        <v>29.2</v>
      </c>
      <c r="C106" s="69" t="n">
        <v>0.4</v>
      </c>
      <c r="D106" s="0" t="s">
        <v>773</v>
      </c>
    </row>
    <row r="107" customFormat="false" ht="16" hidden="false" customHeight="false" outlineLevel="0" collapsed="false">
      <c r="A107" s="0" t="s">
        <v>466</v>
      </c>
      <c r="B107" s="69" t="n">
        <v>2.55485773086548</v>
      </c>
      <c r="D107" s="0" t="s">
        <v>773</v>
      </c>
    </row>
    <row r="108" customFormat="false" ht="16" hidden="false" customHeight="false" outlineLevel="0" collapsed="false">
      <c r="A108" s="0" t="s">
        <v>476</v>
      </c>
      <c r="B108" s="69" t="n">
        <v>2.55485773086548</v>
      </c>
      <c r="D108" s="0" t="s">
        <v>773</v>
      </c>
    </row>
    <row r="109" customFormat="false" ht="16" hidden="false" customHeight="false" outlineLevel="0" collapsed="false">
      <c r="A109" s="0" t="s">
        <v>471</v>
      </c>
      <c r="B109" s="69" t="n">
        <v>2.55485773086548</v>
      </c>
      <c r="D109" s="0" t="s">
        <v>773</v>
      </c>
    </row>
    <row r="110" customFormat="false" ht="16" hidden="false" customHeight="false" outlineLevel="0" collapsed="false">
      <c r="A110" s="0" t="s">
        <v>488</v>
      </c>
      <c r="B110" s="69" t="n">
        <v>26.6045317216353</v>
      </c>
      <c r="C110" s="69" t="n">
        <v>0.515820764341336</v>
      </c>
      <c r="D110" s="0" t="s">
        <v>773</v>
      </c>
    </row>
    <row r="111" customFormat="false" ht="16" hidden="false" customHeight="false" outlineLevel="0" collapsed="false">
      <c r="A111" s="0" t="s">
        <v>481</v>
      </c>
      <c r="B111" s="69" t="n">
        <v>12.0539562225342</v>
      </c>
      <c r="C111" s="69" t="n">
        <v>0.61967899934956</v>
      </c>
      <c r="D111" s="0" t="s">
        <v>773</v>
      </c>
    </row>
    <row r="112" customFormat="false" ht="16" hidden="false" customHeight="false" outlineLevel="0" collapsed="false">
      <c r="A112" s="0" t="s">
        <v>491</v>
      </c>
      <c r="B112" s="69" t="n">
        <v>19.0253003692627</v>
      </c>
      <c r="D112" s="0" t="s">
        <v>773</v>
      </c>
    </row>
    <row r="113" customFormat="false" ht="16" hidden="false" customHeight="false" outlineLevel="0" collapsed="false">
      <c r="A113" s="0" t="s">
        <v>494</v>
      </c>
      <c r="B113" s="69" t="n">
        <v>26.1679019927978</v>
      </c>
      <c r="C113" s="69" t="n">
        <v>0.903531893099738</v>
      </c>
      <c r="D113" s="0" t="s">
        <v>773</v>
      </c>
    </row>
    <row r="114" customFormat="false" ht="16" hidden="false" customHeight="false" outlineLevel="0" collapsed="false">
      <c r="A114" s="0" t="s">
        <v>497</v>
      </c>
      <c r="B114" s="69" t="n">
        <v>15.5402863311767</v>
      </c>
      <c r="D114" s="0" t="s">
        <v>773</v>
      </c>
    </row>
    <row r="115" customFormat="false" ht="16" hidden="false" customHeight="false" outlineLevel="0" collapsed="false">
      <c r="A115" s="0" t="s">
        <v>500</v>
      </c>
      <c r="B115" s="69" t="n">
        <v>26.1679019927978</v>
      </c>
      <c r="C115" s="69" t="n">
        <v>13.3220597218278</v>
      </c>
      <c r="D115" s="0" t="s">
        <v>773</v>
      </c>
    </row>
    <row r="116" customFormat="false" ht="16" hidden="false" customHeight="false" outlineLevel="0" collapsed="false">
      <c r="A116" s="0" t="s">
        <v>503</v>
      </c>
      <c r="B116" s="69" t="n">
        <v>21.6820392608643</v>
      </c>
      <c r="C116" s="69" t="n">
        <v>0.837083615896682</v>
      </c>
      <c r="D116" s="0" t="s">
        <v>773</v>
      </c>
    </row>
    <row r="117" customFormat="false" ht="16" hidden="false" customHeight="false" outlineLevel="0" collapsed="false">
      <c r="A117" s="0" t="s">
        <v>505</v>
      </c>
      <c r="B117" s="69" t="n">
        <v>12.8187466430664</v>
      </c>
      <c r="D117" s="0" t="s">
        <v>773</v>
      </c>
    </row>
    <row r="118" customFormat="false" ht="16" hidden="false" customHeight="false" outlineLevel="0" collapsed="false">
      <c r="A118" s="0" t="s">
        <v>507</v>
      </c>
      <c r="B118" s="69" t="n">
        <v>21.3750671039928</v>
      </c>
      <c r="C118" s="69" t="n">
        <v>0.465848889727038</v>
      </c>
      <c r="D118" s="0" t="s">
        <v>773</v>
      </c>
    </row>
    <row r="119" customFormat="false" ht="16" hidden="false" customHeight="false" outlineLevel="0" collapsed="false">
      <c r="A119" s="0" t="s">
        <v>509</v>
      </c>
      <c r="B119" s="69" t="n">
        <v>26.2130274339156</v>
      </c>
      <c r="C119" s="69" t="n">
        <v>0.218686238276243</v>
      </c>
      <c r="D119" s="0" t="s">
        <v>773</v>
      </c>
    </row>
    <row r="120" customFormat="false" ht="16" hidden="false" customHeight="false" outlineLevel="0" collapsed="false">
      <c r="A120" s="0" t="s">
        <v>774</v>
      </c>
      <c r="B120" s="69" t="n">
        <v>24.8832164091222</v>
      </c>
      <c r="C120" s="69" t="n">
        <v>1.40454707368599</v>
      </c>
      <c r="D120" s="0" t="s">
        <v>773</v>
      </c>
    </row>
    <row r="121" customFormat="false" ht="16" hidden="false" customHeight="false" outlineLevel="0" collapsed="false">
      <c r="A121" s="0" t="s">
        <v>515</v>
      </c>
      <c r="B121" s="69" t="n">
        <v>27.5700262243098</v>
      </c>
      <c r="C121" s="69" t="n">
        <v>0.103172931192688</v>
      </c>
      <c r="D121" s="0" t="s">
        <v>773</v>
      </c>
    </row>
    <row r="122" customFormat="false" ht="16" hidden="false" customHeight="false" outlineLevel="0" collapsed="false">
      <c r="A122" s="0" t="s">
        <v>512</v>
      </c>
      <c r="B122" s="69" t="n">
        <v>26.8023844326244</v>
      </c>
      <c r="C122" s="69" t="n">
        <v>0.895215847833901</v>
      </c>
      <c r="D122" s="0" t="s">
        <v>773</v>
      </c>
    </row>
    <row r="123" customFormat="false" ht="16" hidden="false" customHeight="false" outlineLevel="0" collapsed="false">
      <c r="A123" s="0" t="s">
        <v>520</v>
      </c>
      <c r="B123" s="69" t="n">
        <v>29.280460357666</v>
      </c>
      <c r="C123" s="69" t="n">
        <v>0.0729726067977647</v>
      </c>
      <c r="D123" s="0" t="s">
        <v>773</v>
      </c>
    </row>
    <row r="124" customFormat="false" ht="16" hidden="false" customHeight="false" outlineLevel="0" collapsed="false">
      <c r="A124" s="0" t="s">
        <v>523</v>
      </c>
      <c r="B124" s="69" t="n">
        <v>2.91652083396912</v>
      </c>
      <c r="D124" s="0" t="s">
        <v>773</v>
      </c>
    </row>
    <row r="125" customFormat="false" ht="16" hidden="false" customHeight="false" outlineLevel="0" collapsed="false">
      <c r="A125" s="0" t="s">
        <v>526</v>
      </c>
      <c r="B125" s="69" t="n">
        <v>8.79733303615025</v>
      </c>
      <c r="C125" s="69" t="n">
        <v>0.335859590704696</v>
      </c>
      <c r="D125" s="0" t="s">
        <v>773</v>
      </c>
    </row>
    <row r="126" customFormat="false" ht="16" hidden="false" customHeight="false" outlineLevel="0" collapsed="false">
      <c r="A126" s="0" t="s">
        <v>529</v>
      </c>
      <c r="B126" s="69" t="n">
        <v>9.1</v>
      </c>
      <c r="C126" s="69" t="n">
        <v>1</v>
      </c>
      <c r="D126" s="0" t="s">
        <v>773</v>
      </c>
    </row>
    <row r="127" customFormat="false" ht="16" hidden="false" customHeight="false" outlineLevel="0" collapsed="false">
      <c r="A127" s="0" t="s">
        <v>531</v>
      </c>
      <c r="B127" s="69" t="n">
        <v>1.49699997901917</v>
      </c>
      <c r="D127" s="0" t="s">
        <v>773</v>
      </c>
    </row>
    <row r="128" customFormat="false" ht="16" hidden="false" customHeight="false" outlineLevel="0" collapsed="false">
      <c r="A128" s="0" t="s">
        <v>534</v>
      </c>
      <c r="B128" s="69" t="n">
        <v>-0.919999957084656</v>
      </c>
      <c r="D128" s="0" t="s">
        <v>773</v>
      </c>
    </row>
    <row r="129" customFormat="false" ht="16" hidden="false" customHeight="false" outlineLevel="0" collapsed="false">
      <c r="A129" s="0" t="s">
        <v>537</v>
      </c>
      <c r="B129" s="69" t="n">
        <v>-0.919999957084656</v>
      </c>
      <c r="D129" s="0" t="s">
        <v>773</v>
      </c>
    </row>
    <row r="130" customFormat="false" ht="16" hidden="false" customHeight="false" outlineLevel="0" collapsed="false">
      <c r="A130" s="0" t="s">
        <v>549</v>
      </c>
      <c r="B130" s="69" t="n">
        <v>10.0684711456299</v>
      </c>
      <c r="C130" s="69" t="n">
        <v>0.906111593702757</v>
      </c>
      <c r="D130" s="0" t="s">
        <v>773</v>
      </c>
    </row>
    <row r="131" customFormat="false" ht="16" hidden="false" customHeight="false" outlineLevel="0" collapsed="false">
      <c r="A131" s="0" t="s">
        <v>544</v>
      </c>
      <c r="B131" s="69" t="n">
        <v>12.4196441356952</v>
      </c>
      <c r="C131" s="69" t="n">
        <v>0.748436895988383</v>
      </c>
      <c r="D131" s="0" t="s">
        <v>773</v>
      </c>
    </row>
    <row r="132" customFormat="false" ht="16" hidden="false" customHeight="false" outlineLevel="0" collapsed="false">
      <c r="A132" s="0" t="s">
        <v>540</v>
      </c>
      <c r="B132" s="69" t="n">
        <v>15.0062301726568</v>
      </c>
      <c r="C132" s="69" t="n">
        <v>0.667863357173431</v>
      </c>
      <c r="D132" s="0" t="s">
        <v>773</v>
      </c>
    </row>
    <row r="133" customFormat="false" ht="16" hidden="false" customHeight="false" outlineLevel="0" collapsed="false">
      <c r="A133" s="0" t="s">
        <v>552</v>
      </c>
      <c r="B133" s="69" t="n">
        <v>29.1717536232688</v>
      </c>
      <c r="C133" s="69" t="n">
        <v>0.0745472101679626</v>
      </c>
      <c r="D133" s="0" t="s">
        <v>773</v>
      </c>
    </row>
    <row r="134" customFormat="false" ht="16" hidden="false" customHeight="false" outlineLevel="0" collapsed="false">
      <c r="A134" s="0" t="s">
        <v>555</v>
      </c>
      <c r="B134" s="69" t="n">
        <v>28.4809353568337</v>
      </c>
      <c r="C134" s="69" t="n">
        <v>0.523423315129924</v>
      </c>
      <c r="D134" s="0" t="s">
        <v>773</v>
      </c>
    </row>
    <row r="135" customFormat="false" ht="16" hidden="false" customHeight="false" outlineLevel="0" collapsed="false">
      <c r="A135" s="0" t="s">
        <v>775</v>
      </c>
      <c r="B135" s="69" t="n">
        <v>24.0332650271329</v>
      </c>
      <c r="C135" s="69" t="n">
        <v>2.96600066327132</v>
      </c>
      <c r="D135" s="0" t="s">
        <v>773</v>
      </c>
    </row>
    <row r="136" customFormat="false" ht="16" hidden="false" customHeight="false" outlineLevel="0" collapsed="false">
      <c r="A136" s="0" t="s">
        <v>776</v>
      </c>
      <c r="B136" s="69" t="n">
        <v>23.787389235063</v>
      </c>
      <c r="C136" s="69" t="n">
        <v>2.19824880198661</v>
      </c>
      <c r="D136" s="0" t="s">
        <v>53</v>
      </c>
    </row>
    <row r="137" customFormat="false" ht="16" hidden="false" customHeight="false" outlineLevel="0" collapsed="false">
      <c r="A137" s="0" t="s">
        <v>66</v>
      </c>
      <c r="B137" s="69" t="n">
        <v>23.787389235063</v>
      </c>
      <c r="C137" s="69" t="n">
        <v>2.19824880198661</v>
      </c>
      <c r="D137" s="0" t="s">
        <v>53</v>
      </c>
    </row>
    <row r="138" customFormat="false" ht="16" hidden="false" customHeight="false" outlineLevel="0" collapsed="false">
      <c r="A138" s="0" t="s">
        <v>54</v>
      </c>
      <c r="B138" s="69" t="n">
        <v>25.3513699699851</v>
      </c>
      <c r="C138" s="69" t="n">
        <v>2.802273257524</v>
      </c>
      <c r="D138" s="0" t="s">
        <v>53</v>
      </c>
    </row>
    <row r="139" customFormat="false" ht="16" hidden="false" customHeight="false" outlineLevel="0" collapsed="false">
      <c r="A139" s="0" t="s">
        <v>54</v>
      </c>
      <c r="B139" s="69" t="n">
        <v>25.3513699699851</v>
      </c>
      <c r="C139" s="69" t="n">
        <v>2.802273257524</v>
      </c>
      <c r="D139" s="0" t="s">
        <v>53</v>
      </c>
    </row>
    <row r="140" customFormat="false" ht="16" hidden="false" customHeight="false" outlineLevel="0" collapsed="false">
      <c r="A140" s="0" t="s">
        <v>777</v>
      </c>
      <c r="B140" s="69" t="n">
        <v>19.6945762634277</v>
      </c>
      <c r="C140" s="69" t="n">
        <v>11.3359306222767</v>
      </c>
      <c r="D140" s="0" t="s">
        <v>53</v>
      </c>
    </row>
    <row r="141" customFormat="false" ht="16" hidden="false" customHeight="false" outlineLevel="0" collapsed="false">
      <c r="A141" s="0" t="s">
        <v>76</v>
      </c>
      <c r="B141" s="69" t="n">
        <v>11.8298603057861</v>
      </c>
      <c r="C141" s="69" t="n">
        <v>0.57634974197418</v>
      </c>
      <c r="D141" s="0" t="s">
        <v>53</v>
      </c>
    </row>
    <row r="142" customFormat="false" ht="16" hidden="false" customHeight="false" outlineLevel="0" collapsed="false">
      <c r="A142" s="0" t="s">
        <v>95</v>
      </c>
      <c r="B142" s="69" t="n">
        <v>11.3968804591411</v>
      </c>
      <c r="C142" s="69" t="n">
        <v>0.79889199320919</v>
      </c>
      <c r="D142" s="0" t="s">
        <v>53</v>
      </c>
    </row>
    <row r="143" customFormat="false" ht="16" hidden="false" customHeight="false" outlineLevel="0" collapsed="false">
      <c r="A143" s="0" t="s">
        <v>95</v>
      </c>
      <c r="B143" s="69" t="n">
        <v>11.3968804591411</v>
      </c>
      <c r="C143" s="69" t="n">
        <v>0.79889199320919</v>
      </c>
      <c r="D143" s="0" t="s">
        <v>53</v>
      </c>
    </row>
    <row r="144" customFormat="false" ht="16" hidden="false" customHeight="false" outlineLevel="0" collapsed="false">
      <c r="A144" s="0" t="s">
        <v>87</v>
      </c>
      <c r="B144" s="69" t="n">
        <v>11.7681763297633</v>
      </c>
      <c r="C144" s="69" t="n">
        <v>0.478944546547061</v>
      </c>
      <c r="D144" s="0" t="s">
        <v>53</v>
      </c>
    </row>
    <row r="145" customFormat="false" ht="16" hidden="false" customHeight="false" outlineLevel="0" collapsed="false">
      <c r="A145" s="0" t="s">
        <v>102</v>
      </c>
      <c r="B145" s="69" t="n">
        <v>5.07696446918306</v>
      </c>
      <c r="C145" s="69" t="n">
        <v>0.671147192649546</v>
      </c>
      <c r="D145" s="0" t="s">
        <v>53</v>
      </c>
    </row>
    <row r="146" customFormat="false" ht="16" hidden="false" customHeight="false" outlineLevel="0" collapsed="false">
      <c r="A146" s="0" t="s">
        <v>109</v>
      </c>
      <c r="B146" s="69" t="n">
        <v>8.32444940294538</v>
      </c>
      <c r="C146" s="69" t="n">
        <v>0.0405101782816313</v>
      </c>
      <c r="D146" s="0" t="s">
        <v>53</v>
      </c>
    </row>
    <row r="147" customFormat="false" ht="16" hidden="false" customHeight="false" outlineLevel="0" collapsed="false">
      <c r="A147" s="0" t="s">
        <v>112</v>
      </c>
      <c r="B147" s="69" t="n">
        <v>8.32444940294538</v>
      </c>
      <c r="C147" s="69" t="n">
        <v>0.0405101782816313</v>
      </c>
      <c r="D147" s="0" t="s">
        <v>53</v>
      </c>
    </row>
    <row r="148" customFormat="false" ht="16" hidden="false" customHeight="false" outlineLevel="0" collapsed="false">
      <c r="A148" s="0" t="s">
        <v>115</v>
      </c>
      <c r="B148" s="69" t="n">
        <v>8.32444940294538</v>
      </c>
      <c r="C148" s="69" t="n">
        <v>0.414495997533471</v>
      </c>
      <c r="D148" s="0" t="s">
        <v>53</v>
      </c>
    </row>
    <row r="149" customFormat="false" ht="16" hidden="false" customHeight="false" outlineLevel="0" collapsed="false">
      <c r="A149" s="0" t="s">
        <v>118</v>
      </c>
      <c r="B149" s="69" t="n">
        <v>25.0609136469224</v>
      </c>
      <c r="C149" s="69" t="n">
        <v>1.50341550156977</v>
      </c>
      <c r="D149" s="0" t="s">
        <v>53</v>
      </c>
    </row>
    <row r="150" customFormat="false" ht="16" hidden="false" customHeight="false" outlineLevel="0" collapsed="false">
      <c r="A150" s="0" t="s">
        <v>127</v>
      </c>
      <c r="B150" s="69" t="n">
        <v>23.2379514520819</v>
      </c>
      <c r="C150" s="69" t="n">
        <v>0.704713829882255</v>
      </c>
      <c r="D150" s="0" t="s">
        <v>53</v>
      </c>
    </row>
    <row r="151" customFormat="false" ht="16" hidden="false" customHeight="false" outlineLevel="0" collapsed="false">
      <c r="A151" s="0" t="s">
        <v>127</v>
      </c>
      <c r="B151" s="69" t="n">
        <v>23.2379514520819</v>
      </c>
      <c r="C151" s="69" t="n">
        <v>0.704713829882255</v>
      </c>
      <c r="D151" s="0" t="s">
        <v>53</v>
      </c>
    </row>
    <row r="152" customFormat="false" ht="16" hidden="false" customHeight="false" outlineLevel="0" collapsed="false">
      <c r="A152" s="0" t="s">
        <v>123</v>
      </c>
      <c r="B152" s="69" t="n">
        <v>23.8186233922055</v>
      </c>
      <c r="C152" s="69" t="n">
        <v>1.85407197266517</v>
      </c>
      <c r="D152" s="0" t="s">
        <v>53</v>
      </c>
    </row>
    <row r="153" customFormat="false" ht="16" hidden="false" customHeight="false" outlineLevel="0" collapsed="false">
      <c r="A153" s="0" t="s">
        <v>132</v>
      </c>
      <c r="B153" s="69" t="n">
        <v>24.0330189598931</v>
      </c>
      <c r="C153" s="69" t="n">
        <v>1.64774899407222</v>
      </c>
      <c r="D153" s="0" t="s">
        <v>53</v>
      </c>
    </row>
    <row r="154" customFormat="false" ht="16" hidden="false" customHeight="false" outlineLevel="0" collapsed="false">
      <c r="A154" s="0" t="s">
        <v>137</v>
      </c>
      <c r="B154" s="69" t="n">
        <v>10.7087024507069</v>
      </c>
      <c r="C154" s="69" t="n">
        <v>0.403429550005036</v>
      </c>
      <c r="D154" s="0" t="s">
        <v>53</v>
      </c>
    </row>
    <row r="155" customFormat="false" ht="16" hidden="false" customHeight="false" outlineLevel="0" collapsed="false">
      <c r="A155" s="0" t="s">
        <v>141</v>
      </c>
      <c r="B155" s="69" t="n">
        <v>19.676251411438</v>
      </c>
      <c r="C155" s="69" t="n">
        <v>0.324020925254294</v>
      </c>
      <c r="D155" s="0" t="s">
        <v>53</v>
      </c>
    </row>
    <row r="156" customFormat="false" ht="16" hidden="false" customHeight="false" outlineLevel="0" collapsed="false">
      <c r="A156" s="0" t="s">
        <v>153</v>
      </c>
      <c r="B156" s="69" t="n">
        <v>2.57459985256195</v>
      </c>
      <c r="C156" s="69" t="n">
        <v>0.489552000728121</v>
      </c>
      <c r="D156" s="0" t="s">
        <v>53</v>
      </c>
    </row>
    <row r="157" customFormat="false" ht="16" hidden="false" customHeight="false" outlineLevel="0" collapsed="false">
      <c r="A157" s="0" t="s">
        <v>156</v>
      </c>
      <c r="B157" s="69" t="n">
        <v>26.6725117076527</v>
      </c>
      <c r="C157" s="69" t="n">
        <v>0.315001585725403</v>
      </c>
      <c r="D157" s="0" t="s">
        <v>53</v>
      </c>
    </row>
    <row r="158" customFormat="false" ht="16" hidden="false" customHeight="false" outlineLevel="0" collapsed="false">
      <c r="A158" s="0" t="s">
        <v>165</v>
      </c>
      <c r="B158" s="69" t="n">
        <v>25.1756154840643</v>
      </c>
      <c r="C158" s="69" t="n">
        <v>0.630925684651956</v>
      </c>
      <c r="D158" s="0" t="s">
        <v>53</v>
      </c>
    </row>
    <row r="159" customFormat="false" ht="16" hidden="false" customHeight="false" outlineLevel="0" collapsed="false">
      <c r="A159" s="0" t="s">
        <v>168</v>
      </c>
      <c r="B159" s="69" t="n">
        <v>16.5000583648682</v>
      </c>
      <c r="D159" s="0" t="s">
        <v>53</v>
      </c>
    </row>
    <row r="160" customFormat="false" ht="16" hidden="false" customHeight="false" outlineLevel="0" collapsed="false">
      <c r="A160" s="0" t="s">
        <v>175</v>
      </c>
      <c r="B160" s="69" t="n">
        <v>16.5000583648682</v>
      </c>
      <c r="D160" s="0" t="s">
        <v>53</v>
      </c>
    </row>
    <row r="161" customFormat="false" ht="16" hidden="false" customHeight="false" outlineLevel="0" collapsed="false">
      <c r="A161" s="0" t="s">
        <v>181</v>
      </c>
      <c r="B161" s="69" t="n">
        <v>16.5000583648682</v>
      </c>
      <c r="D161" s="0" t="s">
        <v>53</v>
      </c>
    </row>
    <row r="162" customFormat="false" ht="16" hidden="false" customHeight="false" outlineLevel="0" collapsed="false">
      <c r="A162" s="0" t="s">
        <v>186</v>
      </c>
      <c r="B162" s="69" t="n">
        <v>16.5000583648682</v>
      </c>
      <c r="D162" s="0" t="s">
        <v>53</v>
      </c>
    </row>
    <row r="163" customFormat="false" ht="16" hidden="false" customHeight="false" outlineLevel="0" collapsed="false">
      <c r="A163" s="0" t="s">
        <v>189</v>
      </c>
      <c r="B163" s="69" t="n">
        <v>6.75129127502441</v>
      </c>
      <c r="D163" s="0" t="s">
        <v>53</v>
      </c>
    </row>
    <row r="164" customFormat="false" ht="16" hidden="false" customHeight="false" outlineLevel="0" collapsed="false">
      <c r="A164" s="0" t="s">
        <v>193</v>
      </c>
      <c r="B164" s="69" t="n">
        <v>6.75129127502441</v>
      </c>
      <c r="D164" s="0" t="s">
        <v>53</v>
      </c>
    </row>
    <row r="165" customFormat="false" ht="16" hidden="false" customHeight="false" outlineLevel="0" collapsed="false">
      <c r="A165" s="0" t="s">
        <v>195</v>
      </c>
      <c r="B165" s="69" t="n">
        <v>6.75129127502441</v>
      </c>
      <c r="D165" s="0" t="s">
        <v>53</v>
      </c>
    </row>
    <row r="166" customFormat="false" ht="16" hidden="false" customHeight="false" outlineLevel="0" collapsed="false">
      <c r="A166" s="0" t="s">
        <v>197</v>
      </c>
      <c r="B166" s="69" t="n">
        <v>7.75941673278809</v>
      </c>
      <c r="D166" s="0" t="s">
        <v>53</v>
      </c>
    </row>
    <row r="167" customFormat="false" ht="16" hidden="false" customHeight="false" outlineLevel="0" collapsed="false">
      <c r="A167" s="0" t="s">
        <v>200</v>
      </c>
      <c r="B167" s="69" t="n">
        <v>7.75941673278809</v>
      </c>
      <c r="D167" s="0" t="s">
        <v>53</v>
      </c>
    </row>
    <row r="168" customFormat="false" ht="16" hidden="false" customHeight="false" outlineLevel="0" collapsed="false">
      <c r="A168" s="0" t="s">
        <v>203</v>
      </c>
      <c r="B168" s="69" t="n">
        <v>7.75941673278809</v>
      </c>
      <c r="D168" s="0" t="s">
        <v>53</v>
      </c>
    </row>
    <row r="169" customFormat="false" ht="16" hidden="false" customHeight="false" outlineLevel="0" collapsed="false">
      <c r="A169" s="0" t="s">
        <v>197</v>
      </c>
      <c r="B169" s="69" t="n">
        <v>7.75941673278809</v>
      </c>
      <c r="D169" s="0" t="s">
        <v>53</v>
      </c>
    </row>
    <row r="170" customFormat="false" ht="16" hidden="false" customHeight="false" outlineLevel="0" collapsed="false">
      <c r="A170" s="0" t="s">
        <v>206</v>
      </c>
      <c r="B170" s="69" t="n">
        <v>27.0522008375688</v>
      </c>
      <c r="C170" s="69" t="n">
        <v>0.0931819674294649</v>
      </c>
      <c r="D170" s="0" t="s">
        <v>53</v>
      </c>
    </row>
    <row r="171" customFormat="false" ht="16" hidden="false" customHeight="false" outlineLevel="0" collapsed="false">
      <c r="A171" s="0" t="s">
        <v>206</v>
      </c>
      <c r="B171" s="69" t="n">
        <v>27.0522008375688</v>
      </c>
      <c r="C171" s="69" t="n">
        <v>0.0931819674294649</v>
      </c>
      <c r="D171" s="0" t="s">
        <v>53</v>
      </c>
    </row>
    <row r="172" customFormat="false" ht="16" hidden="false" customHeight="false" outlineLevel="0" collapsed="false">
      <c r="A172" s="0" t="s">
        <v>211</v>
      </c>
      <c r="B172" s="69" t="n">
        <v>26.3530342795632</v>
      </c>
      <c r="C172" s="69" t="n">
        <v>0.501473293025532</v>
      </c>
      <c r="D172" s="0" t="s">
        <v>53</v>
      </c>
    </row>
    <row r="173" customFormat="false" ht="16" hidden="false" customHeight="false" outlineLevel="0" collapsed="false">
      <c r="A173" s="0" t="s">
        <v>211</v>
      </c>
      <c r="B173" s="69" t="n">
        <v>26.3530342795632</v>
      </c>
      <c r="C173" s="69" t="n">
        <v>0.501473293025532</v>
      </c>
      <c r="D173" s="0" t="s">
        <v>53</v>
      </c>
    </row>
    <row r="174" customFormat="false" ht="16" hidden="false" customHeight="false" outlineLevel="0" collapsed="false">
      <c r="A174" s="0" t="s">
        <v>214</v>
      </c>
      <c r="B174" s="69" t="n">
        <v>27.869815826416</v>
      </c>
      <c r="C174" s="69" t="n">
        <v>0.0379710596368685</v>
      </c>
      <c r="D174" s="0" t="s">
        <v>53</v>
      </c>
    </row>
    <row r="175" customFormat="false" ht="16" hidden="false" customHeight="false" outlineLevel="0" collapsed="false">
      <c r="A175" s="0" t="s">
        <v>214</v>
      </c>
      <c r="B175" s="69" t="n">
        <v>27.869815826416</v>
      </c>
      <c r="C175" s="69" t="n">
        <v>0.0379710596368685</v>
      </c>
      <c r="D175" s="0" t="s">
        <v>53</v>
      </c>
    </row>
    <row r="176" customFormat="false" ht="16" hidden="false" customHeight="false" outlineLevel="0" collapsed="false">
      <c r="A176" s="0" t="s">
        <v>218</v>
      </c>
      <c r="B176" s="69" t="n">
        <v>26.909346147017</v>
      </c>
      <c r="C176" s="69" t="n">
        <v>0.845391489817126</v>
      </c>
      <c r="D176" s="0" t="s">
        <v>53</v>
      </c>
    </row>
    <row r="177" customFormat="false" ht="16" hidden="false" customHeight="false" outlineLevel="0" collapsed="false">
      <c r="A177" s="0" t="s">
        <v>218</v>
      </c>
      <c r="B177" s="69" t="n">
        <v>26.909346147017</v>
      </c>
      <c r="C177" s="69" t="n">
        <v>0.845391489817126</v>
      </c>
      <c r="D177" s="0" t="s">
        <v>53</v>
      </c>
    </row>
    <row r="178" customFormat="false" ht="16" hidden="false" customHeight="false" outlineLevel="0" collapsed="false">
      <c r="A178" s="0" t="s">
        <v>778</v>
      </c>
      <c r="B178" s="69" t="n">
        <v>28.5023571361195</v>
      </c>
      <c r="C178" s="69" t="n">
        <v>0.555061269892677</v>
      </c>
      <c r="D178" s="0" t="s">
        <v>53</v>
      </c>
    </row>
    <row r="179" customFormat="false" ht="16" hidden="false" customHeight="false" outlineLevel="0" collapsed="false">
      <c r="A179" s="0" t="s">
        <v>778</v>
      </c>
      <c r="B179" s="69" t="n">
        <v>28.5023571361195</v>
      </c>
      <c r="C179" s="69" t="n">
        <v>0.555061269892677</v>
      </c>
      <c r="D179" s="0" t="s">
        <v>53</v>
      </c>
    </row>
    <row r="180" customFormat="false" ht="16" hidden="false" customHeight="false" outlineLevel="0" collapsed="false">
      <c r="A180" s="0" t="s">
        <v>779</v>
      </c>
      <c r="B180" s="69" t="n">
        <v>17.302487373352</v>
      </c>
      <c r="C180" s="69" t="n">
        <v>5.98384420626632</v>
      </c>
      <c r="D180" s="0" t="s">
        <v>53</v>
      </c>
    </row>
    <row r="181" customFormat="false" ht="16" hidden="false" customHeight="false" outlineLevel="0" collapsed="false">
      <c r="A181" s="0" t="s">
        <v>780</v>
      </c>
      <c r="B181" s="69" t="n">
        <v>20.9899876912435</v>
      </c>
      <c r="C181" s="69" t="n">
        <v>3.3381035758626</v>
      </c>
      <c r="D181" s="0" t="s">
        <v>53</v>
      </c>
    </row>
    <row r="182" customFormat="false" ht="16" hidden="false" customHeight="false" outlineLevel="0" collapsed="false">
      <c r="A182" s="0" t="s">
        <v>781</v>
      </c>
      <c r="B182" s="69" t="n">
        <v>28.5023571361195</v>
      </c>
      <c r="C182" s="69" t="n">
        <v>0.555061269892677</v>
      </c>
      <c r="D182" s="0" t="s">
        <v>53</v>
      </c>
    </row>
    <row r="183" customFormat="false" ht="16" hidden="false" customHeight="false" outlineLevel="0" collapsed="false">
      <c r="A183" s="0" t="s">
        <v>247</v>
      </c>
      <c r="B183" s="69" t="n">
        <v>28.3114140250466</v>
      </c>
      <c r="C183" s="69" t="n">
        <v>0.677832230716473</v>
      </c>
      <c r="D183" s="0" t="s">
        <v>53</v>
      </c>
    </row>
    <row r="184" customFormat="false" ht="16" hidden="false" customHeight="false" outlineLevel="0" collapsed="false">
      <c r="A184" s="0" t="s">
        <v>252</v>
      </c>
      <c r="B184" s="69" t="n">
        <v>16.8201615810394</v>
      </c>
      <c r="C184" s="69" t="n">
        <v>5.32427134601853</v>
      </c>
      <c r="D184" s="0" t="s">
        <v>53</v>
      </c>
    </row>
    <row r="185" customFormat="false" ht="16" hidden="false" customHeight="false" outlineLevel="0" collapsed="false">
      <c r="A185" s="0" t="s">
        <v>254</v>
      </c>
      <c r="B185" s="69" t="n">
        <v>25.9675970077514</v>
      </c>
      <c r="C185" s="69" t="n">
        <v>1.23600050247924</v>
      </c>
      <c r="D185" s="0" t="s">
        <v>53</v>
      </c>
    </row>
    <row r="186" customFormat="false" ht="16" hidden="false" customHeight="false" outlineLevel="0" collapsed="false">
      <c r="A186" s="0" t="s">
        <v>256</v>
      </c>
      <c r="B186" s="69" t="n">
        <v>28.3114140250466</v>
      </c>
      <c r="C186" s="69" t="n">
        <v>0.677832230716473</v>
      </c>
      <c r="D186" s="0" t="s">
        <v>53</v>
      </c>
    </row>
    <row r="187" customFormat="false" ht="16" hidden="false" customHeight="false" outlineLevel="0" collapsed="false">
      <c r="A187" s="0" t="s">
        <v>256</v>
      </c>
      <c r="B187" s="69" t="n">
        <v>28.3114140250466</v>
      </c>
      <c r="C187" s="69" t="n">
        <v>0.677832230716473</v>
      </c>
      <c r="D187" s="0" t="s">
        <v>53</v>
      </c>
    </row>
    <row r="188" customFormat="false" ht="16" hidden="false" customHeight="false" outlineLevel="0" collapsed="false">
      <c r="A188" s="0" t="s">
        <v>263</v>
      </c>
      <c r="B188" s="69" t="n">
        <v>28.4809353568337</v>
      </c>
      <c r="C188" s="69" t="n">
        <v>0.523423315129924</v>
      </c>
      <c r="D188" s="0" t="s">
        <v>53</v>
      </c>
    </row>
    <row r="189" customFormat="false" ht="16" hidden="false" customHeight="false" outlineLevel="0" collapsed="false">
      <c r="A189" s="0" t="s">
        <v>266</v>
      </c>
      <c r="B189" s="69" t="n">
        <v>17.2450672388077</v>
      </c>
      <c r="C189" s="69" t="n">
        <v>4.94471501370271</v>
      </c>
      <c r="D189" s="0" t="s">
        <v>53</v>
      </c>
    </row>
    <row r="190" customFormat="false" ht="16" hidden="false" customHeight="false" outlineLevel="0" collapsed="false">
      <c r="A190" s="0" t="s">
        <v>268</v>
      </c>
      <c r="B190" s="69" t="n">
        <v>26.4055786132812</v>
      </c>
      <c r="C190" s="69" t="n">
        <v>1.55532255988676</v>
      </c>
      <c r="D190" s="0" t="s">
        <v>53</v>
      </c>
    </row>
    <row r="191" customFormat="false" ht="16" hidden="false" customHeight="false" outlineLevel="0" collapsed="false">
      <c r="A191" s="0" t="s">
        <v>273</v>
      </c>
      <c r="B191" s="69" t="n">
        <v>26.2691173553466</v>
      </c>
      <c r="C191" s="69" t="n">
        <v>1.64222464106916</v>
      </c>
      <c r="D191" s="0" t="s">
        <v>53</v>
      </c>
    </row>
    <row r="192" customFormat="false" ht="16" hidden="false" customHeight="false" outlineLevel="0" collapsed="false">
      <c r="A192" s="0" t="s">
        <v>284</v>
      </c>
      <c r="B192" s="69" t="n">
        <v>28.4809353568337</v>
      </c>
      <c r="C192" s="69" t="n">
        <v>0.523423315129924</v>
      </c>
      <c r="D192" s="0" t="s">
        <v>53</v>
      </c>
    </row>
    <row r="193" customFormat="false" ht="16" hidden="false" customHeight="false" outlineLevel="0" collapsed="false">
      <c r="A193" s="0" t="s">
        <v>287</v>
      </c>
      <c r="B193" s="69" t="n">
        <v>17.2450672388077</v>
      </c>
      <c r="C193" s="69" t="n">
        <v>4.94471501370271</v>
      </c>
      <c r="D193" s="0" t="s">
        <v>53</v>
      </c>
    </row>
    <row r="194" customFormat="false" ht="16" hidden="false" customHeight="false" outlineLevel="0" collapsed="false">
      <c r="A194" s="0" t="s">
        <v>289</v>
      </c>
      <c r="B194" s="69" t="n">
        <v>26.4055786132812</v>
      </c>
      <c r="C194" s="69" t="n">
        <v>1.55532255988676</v>
      </c>
      <c r="D194" s="0" t="s">
        <v>53</v>
      </c>
    </row>
    <row r="195" customFormat="false" ht="16" hidden="false" customHeight="false" outlineLevel="0" collapsed="false">
      <c r="A195" s="0" t="s">
        <v>291</v>
      </c>
      <c r="B195" s="69" t="n">
        <v>26.3229598999024</v>
      </c>
      <c r="C195" s="69" t="n">
        <v>1.62225040662285</v>
      </c>
      <c r="D195" s="0" t="s">
        <v>53</v>
      </c>
    </row>
    <row r="196" customFormat="false" ht="16" hidden="false" customHeight="false" outlineLevel="0" collapsed="false">
      <c r="A196" s="0" t="s">
        <v>291</v>
      </c>
      <c r="B196" s="69" t="n">
        <v>26.3229598999024</v>
      </c>
      <c r="C196" s="69" t="n">
        <v>1.62225040662285</v>
      </c>
      <c r="D196" s="0" t="s">
        <v>53</v>
      </c>
    </row>
    <row r="197" customFormat="false" ht="16" hidden="false" customHeight="false" outlineLevel="0" collapsed="false">
      <c r="A197" s="0" t="s">
        <v>294</v>
      </c>
      <c r="B197" s="69" t="n">
        <v>26.3229598999024</v>
      </c>
      <c r="C197" s="69" t="n">
        <v>1.62225040662285</v>
      </c>
      <c r="D197" s="0" t="s">
        <v>53</v>
      </c>
    </row>
    <row r="198" customFormat="false" ht="16" hidden="false" customHeight="false" outlineLevel="0" collapsed="false">
      <c r="A198" s="0" t="s">
        <v>300</v>
      </c>
      <c r="B198" s="69" t="n">
        <v>17.1850528717041</v>
      </c>
      <c r="C198" s="69" t="n">
        <v>2.77545429651281</v>
      </c>
      <c r="D198" s="0" t="s">
        <v>53</v>
      </c>
    </row>
    <row r="199" customFormat="false" ht="16" hidden="false" customHeight="false" outlineLevel="0" collapsed="false">
      <c r="A199" s="0" t="s">
        <v>302</v>
      </c>
      <c r="B199" s="69" t="n">
        <v>26.3229598999024</v>
      </c>
      <c r="C199" s="69" t="n">
        <v>1.62225040662285</v>
      </c>
      <c r="D199" s="0" t="s">
        <v>53</v>
      </c>
    </row>
    <row r="200" customFormat="false" ht="16" hidden="false" customHeight="false" outlineLevel="0" collapsed="false">
      <c r="A200" s="0" t="s">
        <v>782</v>
      </c>
      <c r="B200" s="69" t="n">
        <v>26.3229598999024</v>
      </c>
      <c r="C200" s="69" t="n">
        <v>1.62225040662285</v>
      </c>
      <c r="D200" s="0" t="s">
        <v>53</v>
      </c>
    </row>
    <row r="201" customFormat="false" ht="16" hidden="false" customHeight="false" outlineLevel="0" collapsed="false">
      <c r="A201" s="0" t="s">
        <v>312</v>
      </c>
      <c r="B201" s="69" t="n">
        <v>26.5969934463501</v>
      </c>
      <c r="C201" s="69" t="n">
        <v>1.57392246989679</v>
      </c>
      <c r="D201" s="0" t="s">
        <v>53</v>
      </c>
    </row>
    <row r="202" customFormat="false" ht="16" hidden="false" customHeight="false" outlineLevel="0" collapsed="false">
      <c r="A202" s="0" t="s">
        <v>312</v>
      </c>
      <c r="B202" s="69" t="n">
        <v>26.5969934463501</v>
      </c>
      <c r="C202" s="69" t="n">
        <v>1.57392246989679</v>
      </c>
      <c r="D202" s="0" t="s">
        <v>53</v>
      </c>
    </row>
    <row r="203" customFormat="false" ht="16" hidden="false" customHeight="false" outlineLevel="0" collapsed="false">
      <c r="A203" s="0" t="s">
        <v>783</v>
      </c>
      <c r="B203" s="69" t="n">
        <v>26.1240111264316</v>
      </c>
      <c r="C203" s="69" t="n">
        <v>0.323863708532471</v>
      </c>
      <c r="D203" s="0" t="s">
        <v>53</v>
      </c>
    </row>
    <row r="204" customFormat="false" ht="16" hidden="false" customHeight="false" outlineLevel="0" collapsed="false">
      <c r="A204" s="0" t="s">
        <v>317</v>
      </c>
      <c r="B204" s="69" t="n">
        <v>12.6512912544044</v>
      </c>
      <c r="C204" s="69" t="n">
        <v>1.87420589257112</v>
      </c>
      <c r="D204" s="0" t="s">
        <v>53</v>
      </c>
    </row>
    <row r="205" customFormat="false" ht="16" hidden="false" customHeight="false" outlineLevel="0" collapsed="false">
      <c r="A205" s="0" t="s">
        <v>321</v>
      </c>
      <c r="B205" s="69" t="n">
        <v>19.6505543845041</v>
      </c>
      <c r="C205" s="69" t="n">
        <v>0.83615771474875</v>
      </c>
      <c r="D205" s="0" t="s">
        <v>53</v>
      </c>
    </row>
    <row r="206" customFormat="false" ht="16" hidden="false" customHeight="false" outlineLevel="0" collapsed="false">
      <c r="A206" s="0" t="s">
        <v>325</v>
      </c>
      <c r="B206" s="69" t="n">
        <v>13.0738903681437</v>
      </c>
      <c r="C206" s="69" t="n">
        <v>0.375704201280508</v>
      </c>
      <c r="D206" s="0" t="s">
        <v>53</v>
      </c>
    </row>
    <row r="207" customFormat="false" ht="16" hidden="false" customHeight="false" outlineLevel="0" collapsed="false">
      <c r="A207" s="0" t="s">
        <v>329</v>
      </c>
      <c r="B207" s="69" t="n">
        <v>13.3564502171108</v>
      </c>
      <c r="C207" s="69" t="n">
        <v>0.345390838440576</v>
      </c>
      <c r="D207" s="0" t="s">
        <v>53</v>
      </c>
    </row>
    <row r="208" customFormat="false" ht="16" hidden="false" customHeight="false" outlineLevel="0" collapsed="false">
      <c r="A208" s="0" t="s">
        <v>331</v>
      </c>
      <c r="B208" s="69" t="n">
        <v>29.5769797238437</v>
      </c>
      <c r="C208" s="69" t="n">
        <v>0.025905385019413</v>
      </c>
      <c r="D208" s="0" t="s">
        <v>53</v>
      </c>
    </row>
    <row r="209" customFormat="false" ht="16" hidden="false" customHeight="false" outlineLevel="0" collapsed="false">
      <c r="A209" s="0" t="s">
        <v>334</v>
      </c>
      <c r="B209" s="69" t="n">
        <v>29.2287835207852</v>
      </c>
      <c r="C209" s="69" t="n">
        <v>0.275518206927353</v>
      </c>
      <c r="D209" s="0" t="s">
        <v>53</v>
      </c>
    </row>
    <row r="210" customFormat="false" ht="16" hidden="false" customHeight="false" outlineLevel="0" collapsed="false">
      <c r="A210" s="0" t="s">
        <v>334</v>
      </c>
      <c r="B210" s="69" t="n">
        <v>29.2287835207852</v>
      </c>
      <c r="C210" s="69" t="n">
        <v>0.275518206927353</v>
      </c>
      <c r="D210" s="0" t="s">
        <v>53</v>
      </c>
    </row>
    <row r="211" customFormat="false" ht="16" hidden="false" customHeight="false" outlineLevel="0" collapsed="false">
      <c r="A211" s="0" t="s">
        <v>337</v>
      </c>
      <c r="B211" s="69" t="n">
        <v>15.1947893662886</v>
      </c>
      <c r="C211" s="69" t="n">
        <v>0.182127281819609</v>
      </c>
      <c r="D211" s="0" t="s">
        <v>53</v>
      </c>
    </row>
    <row r="212" customFormat="false" ht="16" hidden="false" customHeight="false" outlineLevel="0" collapsed="false">
      <c r="A212" s="0" t="s">
        <v>340</v>
      </c>
      <c r="B212" s="69" t="n">
        <v>20.1604333357377</v>
      </c>
      <c r="C212" s="69" t="n">
        <v>0.87499928202944</v>
      </c>
      <c r="D212" s="0" t="s">
        <v>53</v>
      </c>
    </row>
    <row r="213" customFormat="false" ht="16" hidden="false" customHeight="false" outlineLevel="0" collapsed="false">
      <c r="A213" s="0" t="s">
        <v>344</v>
      </c>
      <c r="B213" s="69" t="n">
        <v>22.7537625052712</v>
      </c>
      <c r="C213" s="69" t="n">
        <v>1.86578283762149</v>
      </c>
      <c r="D213" s="0" t="s">
        <v>53</v>
      </c>
    </row>
    <row r="214" customFormat="false" ht="16" hidden="false" customHeight="false" outlineLevel="0" collapsed="false">
      <c r="A214" s="0" t="s">
        <v>348</v>
      </c>
      <c r="B214" s="69" t="n">
        <v>28.6195034700281</v>
      </c>
      <c r="C214" s="69" t="n">
        <v>0.578024004936658</v>
      </c>
      <c r="D214" s="0" t="s">
        <v>53</v>
      </c>
    </row>
    <row r="215" customFormat="false" ht="16" hidden="false" customHeight="false" outlineLevel="0" collapsed="false">
      <c r="A215" s="0" t="s">
        <v>351</v>
      </c>
      <c r="B215" s="69" t="n">
        <v>17.8231718540192</v>
      </c>
      <c r="C215" s="69" t="n">
        <v>5.80620327937593</v>
      </c>
      <c r="D215" s="0" t="s">
        <v>53</v>
      </c>
    </row>
    <row r="216" customFormat="false" ht="16" hidden="false" customHeight="false" outlineLevel="0" collapsed="false">
      <c r="A216" s="0" t="s">
        <v>353</v>
      </c>
      <c r="B216" s="69" t="n">
        <v>28.482523282369</v>
      </c>
      <c r="C216" s="69" t="n">
        <v>0.807590496795228</v>
      </c>
      <c r="D216" s="0" t="s">
        <v>53</v>
      </c>
    </row>
    <row r="217" customFormat="false" ht="16" hidden="false" customHeight="false" outlineLevel="0" collapsed="false">
      <c r="A217" s="0" t="s">
        <v>355</v>
      </c>
      <c r="B217" s="69" t="n">
        <v>26.8171615600586</v>
      </c>
      <c r="C217" s="69" t="n">
        <v>0.938049931839799</v>
      </c>
      <c r="D217" s="0" t="s">
        <v>53</v>
      </c>
    </row>
    <row r="218" customFormat="false" ht="16" hidden="false" customHeight="false" outlineLevel="0" collapsed="false">
      <c r="A218" s="0" t="s">
        <v>148</v>
      </c>
      <c r="B218" s="69" t="n">
        <v>2.769453729902</v>
      </c>
      <c r="C218" s="69" t="n">
        <v>0.0831228297017378</v>
      </c>
      <c r="D218" s="0" t="s">
        <v>53</v>
      </c>
    </row>
    <row r="219" customFormat="false" ht="16" hidden="false" customHeight="false" outlineLevel="0" collapsed="false">
      <c r="A219" s="0" t="s">
        <v>221</v>
      </c>
      <c r="B219" s="69" t="n">
        <v>28.5023571361195</v>
      </c>
      <c r="C219" s="69" t="n">
        <v>0.555061269892677</v>
      </c>
      <c r="D219" s="0" t="s">
        <v>53</v>
      </c>
    </row>
    <row r="220" customFormat="false" ht="16" hidden="false" customHeight="false" outlineLevel="0" collapsed="false">
      <c r="A220" s="0" t="s">
        <v>225</v>
      </c>
      <c r="B220" s="69" t="n">
        <v>28.5787642935048</v>
      </c>
      <c r="C220" s="69" t="n">
        <v>1.22761404596313</v>
      </c>
      <c r="D220" s="0" t="s">
        <v>53</v>
      </c>
    </row>
    <row r="221" customFormat="false" ht="16" hidden="false" customHeight="false" outlineLevel="0" collapsed="false">
      <c r="A221" s="0" t="s">
        <v>231</v>
      </c>
      <c r="B221" s="69" t="n">
        <v>17.302487373352</v>
      </c>
      <c r="C221" s="69" t="n">
        <v>5.98384420626632</v>
      </c>
      <c r="D221" s="0" t="s">
        <v>53</v>
      </c>
    </row>
    <row r="222" customFormat="false" ht="16" hidden="false" customHeight="false" outlineLevel="0" collapsed="false">
      <c r="A222" s="0" t="s">
        <v>236</v>
      </c>
      <c r="B222" s="69" t="n">
        <v>28.5982984655044</v>
      </c>
      <c r="C222" s="69" t="n">
        <v>0.829347066633247</v>
      </c>
      <c r="D222" s="0" t="s">
        <v>53</v>
      </c>
    </row>
    <row r="223" customFormat="false" ht="16" hidden="false" customHeight="false" outlineLevel="0" collapsed="false">
      <c r="A223" s="0" t="s">
        <v>238</v>
      </c>
      <c r="B223" s="69" t="n">
        <v>20.9899876912435</v>
      </c>
      <c r="C223" s="69" t="n">
        <v>3.3381035758626</v>
      </c>
      <c r="D223" s="0" t="s">
        <v>53</v>
      </c>
    </row>
    <row r="224" customFormat="false" ht="16" hidden="false" customHeight="false" outlineLevel="0" collapsed="false">
      <c r="A224" s="0" t="s">
        <v>240</v>
      </c>
      <c r="B224" s="69" t="n">
        <v>28.5023571361195</v>
      </c>
      <c r="C224" s="69" t="n">
        <v>0.555061269892677</v>
      </c>
      <c r="D224" s="0" t="s">
        <v>53</v>
      </c>
    </row>
    <row r="225" customFormat="false" ht="16" hidden="false" customHeight="false" outlineLevel="0" collapsed="false">
      <c r="A225" s="0" t="s">
        <v>243</v>
      </c>
      <c r="B225" s="69" t="n">
        <v>28.5787642935048</v>
      </c>
      <c r="C225" s="69" t="n">
        <v>1.22761404596313</v>
      </c>
      <c r="D225" s="0" t="s">
        <v>53</v>
      </c>
    </row>
    <row r="226" customFormat="false" ht="16" hidden="false" customHeight="false" outlineLevel="0" collapsed="false">
      <c r="A226" s="0" t="s">
        <v>245</v>
      </c>
      <c r="B226" s="69" t="n">
        <v>20.9899876912435</v>
      </c>
      <c r="C226" s="69" t="n">
        <v>3.3381035758626</v>
      </c>
      <c r="D226" s="0" t="s">
        <v>53</v>
      </c>
    </row>
    <row r="227" customFormat="false" ht="16" hidden="false" customHeight="false" outlineLevel="0" collapsed="false">
      <c r="A227" s="0" t="s">
        <v>250</v>
      </c>
      <c r="B227" s="69" t="n">
        <v>28.3518247189729</v>
      </c>
      <c r="C227" s="69" t="n">
        <v>1.58597760983565</v>
      </c>
      <c r="D227" s="0" t="s">
        <v>53</v>
      </c>
    </row>
    <row r="228" customFormat="false" ht="16" hidden="false" customHeight="false" outlineLevel="0" collapsed="false">
      <c r="A228" s="0" t="s">
        <v>259</v>
      </c>
      <c r="B228" s="69" t="n">
        <v>28.3901118110208</v>
      </c>
      <c r="C228" s="69" t="n">
        <v>1.08976124030161</v>
      </c>
      <c r="D228" s="0" t="s">
        <v>53</v>
      </c>
    </row>
    <row r="229" customFormat="false" ht="16" hidden="false" customHeight="false" outlineLevel="0" collapsed="false">
      <c r="A229" s="0" t="s">
        <v>261</v>
      </c>
      <c r="B229" s="69" t="n">
        <v>25.9675970077514</v>
      </c>
      <c r="C229" s="69" t="n">
        <v>1.23600050247924</v>
      </c>
      <c r="D229" s="0" t="s">
        <v>53</v>
      </c>
    </row>
    <row r="230" customFormat="false" ht="16" hidden="false" customHeight="false" outlineLevel="0" collapsed="false">
      <c r="A230" s="0" t="s">
        <v>270</v>
      </c>
      <c r="B230" s="69" t="n">
        <v>17.2583122253418</v>
      </c>
      <c r="C230" s="69" t="n">
        <v>4.81785628436477</v>
      </c>
      <c r="D230" s="0" t="s">
        <v>53</v>
      </c>
    </row>
    <row r="231" customFormat="false" ht="16" hidden="false" customHeight="false" outlineLevel="0" collapsed="false">
      <c r="A231" s="0" t="s">
        <v>275</v>
      </c>
      <c r="B231" s="69" t="n">
        <v>28.5219873948531</v>
      </c>
      <c r="C231" s="69" t="n">
        <v>0.558640890038323</v>
      </c>
      <c r="D231" s="0" t="s">
        <v>53</v>
      </c>
    </row>
    <row r="232" customFormat="false" ht="16" hidden="false" customHeight="false" outlineLevel="0" collapsed="false">
      <c r="A232" s="0" t="s">
        <v>278</v>
      </c>
      <c r="B232" s="69" t="n">
        <v>17.1850528717041</v>
      </c>
      <c r="C232" s="69" t="n">
        <v>4.89682398535433</v>
      </c>
      <c r="D232" s="0" t="s">
        <v>53</v>
      </c>
    </row>
    <row r="233" customFormat="false" ht="16" hidden="false" customHeight="false" outlineLevel="0" collapsed="false">
      <c r="A233" s="0" t="s">
        <v>280</v>
      </c>
      <c r="B233" s="69" t="n">
        <v>28.5272872027229</v>
      </c>
      <c r="C233" s="69" t="n">
        <v>1.02129919207233</v>
      </c>
      <c r="D233" s="0" t="s">
        <v>53</v>
      </c>
    </row>
    <row r="234" customFormat="false" ht="16" hidden="false" customHeight="false" outlineLevel="0" collapsed="false">
      <c r="A234" s="0" t="s">
        <v>282</v>
      </c>
      <c r="B234" s="69" t="n">
        <v>26.3229598999024</v>
      </c>
      <c r="C234" s="69" t="n">
        <v>1.62225040662285</v>
      </c>
      <c r="D234" s="0" t="s">
        <v>53</v>
      </c>
    </row>
    <row r="235" customFormat="false" ht="16" hidden="false" customHeight="false" outlineLevel="0" collapsed="false">
      <c r="A235" s="0" t="s">
        <v>297</v>
      </c>
      <c r="B235" s="69" t="n">
        <v>28.4552112247633</v>
      </c>
      <c r="C235" s="69" t="n">
        <v>1.58360494441914</v>
      </c>
      <c r="D235" s="0" t="s">
        <v>53</v>
      </c>
    </row>
    <row r="236" customFormat="false" ht="16" hidden="false" customHeight="false" outlineLevel="0" collapsed="false">
      <c r="A236" s="0" t="s">
        <v>304</v>
      </c>
      <c r="B236" s="69" t="n">
        <v>26.3229598999024</v>
      </c>
      <c r="C236" s="69" t="n">
        <v>1.62225040662285</v>
      </c>
      <c r="D236" s="0" t="s">
        <v>53</v>
      </c>
    </row>
    <row r="237" customFormat="false" ht="16" hidden="false" customHeight="false" outlineLevel="0" collapsed="false">
      <c r="A237" s="0" t="s">
        <v>307</v>
      </c>
      <c r="B237" s="69" t="n">
        <v>26.5969934463501</v>
      </c>
      <c r="C237" s="69" t="n">
        <v>1.57392246989679</v>
      </c>
      <c r="D237" s="0" t="s">
        <v>53</v>
      </c>
    </row>
    <row r="238" customFormat="false" ht="16" hidden="false" customHeight="false" outlineLevel="0" collapsed="false">
      <c r="A238" s="0" t="s">
        <v>310</v>
      </c>
      <c r="B238" s="69" t="n">
        <v>17.312336564064</v>
      </c>
      <c r="C238" s="69" t="n">
        <v>4.98144429220822</v>
      </c>
      <c r="D238" s="0" t="s">
        <v>53</v>
      </c>
    </row>
    <row r="239" customFormat="false" ht="16" hidden="false" customHeight="false" outlineLevel="0" collapsed="false">
      <c r="A239" s="0" t="s">
        <v>315</v>
      </c>
      <c r="B239" s="69" t="n">
        <v>17.312336564064</v>
      </c>
      <c r="C239" s="69" t="n">
        <v>4.98144429220822</v>
      </c>
      <c r="D239" s="0" t="s">
        <v>53</v>
      </c>
    </row>
    <row r="240" customFormat="false" ht="16" hidden="false" customHeight="false" outlineLevel="0" collapsed="false">
      <c r="A240" s="0" t="s">
        <v>712</v>
      </c>
      <c r="B240" s="69" t="n">
        <v>9.7</v>
      </c>
      <c r="D240" s="0" t="s">
        <v>784</v>
      </c>
    </row>
    <row r="241" customFormat="false" ht="16" hidden="false" customHeight="false" outlineLevel="0" collapsed="false">
      <c r="A241" s="0" t="s">
        <v>716</v>
      </c>
      <c r="B241" s="69" t="n">
        <v>12.7</v>
      </c>
      <c r="D241" s="0" t="s">
        <v>784</v>
      </c>
    </row>
    <row r="242" customFormat="false" ht="16" hidden="false" customHeight="false" outlineLevel="0" collapsed="false">
      <c r="A242" s="0" t="s">
        <v>718</v>
      </c>
      <c r="B242" s="69" t="n">
        <v>12.1</v>
      </c>
      <c r="D242" s="0" t="s">
        <v>784</v>
      </c>
    </row>
    <row r="243" customFormat="false" ht="16" hidden="false" customHeight="false" outlineLevel="0" collapsed="false">
      <c r="A243" s="0" t="s">
        <v>720</v>
      </c>
      <c r="B243" s="69" t="n">
        <v>10</v>
      </c>
      <c r="D243" s="0" t="s">
        <v>784</v>
      </c>
    </row>
    <row r="244" customFormat="false" ht="16" hidden="false" customHeight="false" outlineLevel="0" collapsed="false">
      <c r="A244" s="0" t="s">
        <v>722</v>
      </c>
      <c r="B244" s="69" t="n">
        <v>17.8</v>
      </c>
      <c r="D244" s="0" t="s">
        <v>784</v>
      </c>
    </row>
    <row r="245" customFormat="false" ht="16" hidden="false" customHeight="false" outlineLevel="0" collapsed="false">
      <c r="A245" s="0" t="s">
        <v>724</v>
      </c>
      <c r="B245" s="69" t="n">
        <v>18.5</v>
      </c>
      <c r="D245" s="0" t="s">
        <v>784</v>
      </c>
    </row>
    <row r="246" customFormat="false" ht="16" hidden="false" customHeight="false" outlineLevel="0" collapsed="false">
      <c r="A246" s="0" t="s">
        <v>727</v>
      </c>
      <c r="B246" s="69" t="n">
        <v>-0.74</v>
      </c>
      <c r="D246" s="0" t="s">
        <v>784</v>
      </c>
    </row>
    <row r="247" customFormat="false" ht="16" hidden="false" customHeight="false" outlineLevel="0" collapsed="false">
      <c r="A247" s="0" t="s">
        <v>733</v>
      </c>
      <c r="B247" s="69" t="n">
        <v>4.17</v>
      </c>
      <c r="D247" s="0" t="s">
        <v>784</v>
      </c>
    </row>
    <row r="248" customFormat="false" ht="16" hidden="false" customHeight="false" outlineLevel="0" collapsed="false">
      <c r="A248" s="0" t="s">
        <v>737</v>
      </c>
      <c r="B248" s="69" t="n">
        <v>6.06</v>
      </c>
      <c r="D248" s="0" t="s">
        <v>784</v>
      </c>
    </row>
    <row r="249" customFormat="false" ht="16" hidden="false" customHeight="false" outlineLevel="0" collapsed="false">
      <c r="A249" s="0" t="s">
        <v>740</v>
      </c>
      <c r="B249" s="69" t="n">
        <v>13.9</v>
      </c>
      <c r="D249" s="0" t="s">
        <v>784</v>
      </c>
    </row>
    <row r="250" customFormat="false" ht="16" hidden="false" customHeight="false" outlineLevel="0" collapsed="false">
      <c r="A250" s="0" t="s">
        <v>743</v>
      </c>
      <c r="B250" s="69" t="n">
        <v>13.9</v>
      </c>
      <c r="D250" s="0" t="s">
        <v>784</v>
      </c>
    </row>
    <row r="251" customFormat="false" ht="16" hidden="false" customHeight="false" outlineLevel="0" collapsed="false">
      <c r="A251" s="0" t="s">
        <v>745</v>
      </c>
      <c r="B251" s="69" t="n">
        <v>1.42</v>
      </c>
      <c r="D251" s="0" t="s">
        <v>784</v>
      </c>
    </row>
    <row r="252" customFormat="false" ht="16" hidden="false" customHeight="false" outlineLevel="0" collapsed="false">
      <c r="A252" s="0" t="s">
        <v>749</v>
      </c>
      <c r="B252" s="69" t="n">
        <v>3.77</v>
      </c>
      <c r="D252" s="0" t="s">
        <v>784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34"/>
  <sheetViews>
    <sheetView showFormulas="false" showGridLines="true" showRowColHeaders="true" showZeros="true" rightToLeft="false" tabSelected="false" showOutlineSymbols="true" defaultGridColor="true" view="normal" topLeftCell="A121" colorId="64" zoomScale="56" zoomScaleNormal="56" zoomScalePageLayoutView="100" workbookViewId="0">
      <selection pane="topLeft" activeCell="E129" activeCellId="0" sqref="E129"/>
    </sheetView>
  </sheetViews>
  <sheetFormatPr defaultColWidth="8.84375" defaultRowHeight="16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.84"/>
  </cols>
  <sheetData>
    <row r="1" customFormat="false" ht="16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</row>
    <row r="2" customFormat="false" ht="68" hidden="false" customHeight="false" outlineLevel="0" collapsed="false">
      <c r="A2" s="73" t="s">
        <v>2</v>
      </c>
      <c r="B2" s="73" t="s">
        <v>3</v>
      </c>
      <c r="C2" s="73" t="s">
        <v>785</v>
      </c>
      <c r="D2" s="73" t="s">
        <v>44</v>
      </c>
      <c r="E2" s="73" t="s">
        <v>786</v>
      </c>
      <c r="F2" s="73" t="s">
        <v>787</v>
      </c>
      <c r="H2" s="73" t="s">
        <v>788</v>
      </c>
      <c r="I2" s="73" t="s">
        <v>44</v>
      </c>
      <c r="J2" s="73" t="s">
        <v>786</v>
      </c>
      <c r="K2" s="73" t="s">
        <v>787</v>
      </c>
      <c r="M2" s="73" t="s">
        <v>789</v>
      </c>
      <c r="N2" s="73" t="s">
        <v>44</v>
      </c>
      <c r="O2" s="73" t="s">
        <v>786</v>
      </c>
      <c r="P2" s="73" t="s">
        <v>787</v>
      </c>
      <c r="R2" s="73" t="s">
        <v>790</v>
      </c>
      <c r="S2" s="73" t="s">
        <v>44</v>
      </c>
      <c r="T2" s="73" t="s">
        <v>791</v>
      </c>
      <c r="U2" s="73" t="s">
        <v>792</v>
      </c>
      <c r="W2" s="73" t="s">
        <v>793</v>
      </c>
      <c r="X2" s="73" t="s">
        <v>44</v>
      </c>
      <c r="Y2" s="73" t="s">
        <v>791</v>
      </c>
      <c r="Z2" s="73" t="s">
        <v>792</v>
      </c>
    </row>
    <row r="3" customFormat="false" ht="16" hidden="false" customHeight="false" outlineLevel="0" collapsed="false">
      <c r="A3" s="0" t="s">
        <v>53</v>
      </c>
      <c r="B3" s="23" t="s">
        <v>343</v>
      </c>
      <c r="C3" s="0" t="n">
        <v>23.2687</v>
      </c>
      <c r="D3" s="0" t="n">
        <v>2.233</v>
      </c>
      <c r="E3" s="0" t="n">
        <v>0.02233</v>
      </c>
      <c r="F3" s="0" t="n">
        <v>0.02233</v>
      </c>
      <c r="H3" s="0" t="n">
        <v>24.3136</v>
      </c>
      <c r="I3" s="0" t="n">
        <v>2.12</v>
      </c>
      <c r="J3" s="0" t="n">
        <v>0.0212</v>
      </c>
      <c r="K3" s="0" t="n">
        <v>0.0212</v>
      </c>
      <c r="M3" s="0" t="n">
        <v>23.868</v>
      </c>
      <c r="N3" s="0" t="n">
        <v>1.913</v>
      </c>
      <c r="O3" s="0" t="n">
        <v>0.01913</v>
      </c>
      <c r="P3" s="0" t="n">
        <v>0.01913</v>
      </c>
      <c r="R3" s="0" t="n">
        <v>23.4311</v>
      </c>
      <c r="S3" s="0" t="n">
        <v>2.436</v>
      </c>
      <c r="T3" s="0" t="n">
        <v>0.02436</v>
      </c>
      <c r="U3" s="0" t="n">
        <v>0.02436</v>
      </c>
      <c r="W3" s="0" t="n">
        <v>25.9306</v>
      </c>
      <c r="X3" s="0" t="n">
        <v>2.197</v>
      </c>
      <c r="Y3" s="0" t="n">
        <v>0.02197</v>
      </c>
      <c r="Z3" s="0" t="n">
        <v>0.02197</v>
      </c>
    </row>
    <row r="4" customFormat="false" ht="16" hidden="false" customHeight="false" outlineLevel="0" collapsed="false">
      <c r="A4" s="0" t="s">
        <v>53</v>
      </c>
      <c r="B4" s="23" t="s">
        <v>339</v>
      </c>
      <c r="C4" s="0" t="n">
        <v>22.4944</v>
      </c>
      <c r="D4" s="0" t="n">
        <v>2.239</v>
      </c>
      <c r="E4" s="0" t="n">
        <v>0.02239</v>
      </c>
      <c r="F4" s="0" t="n">
        <v>0.02239</v>
      </c>
      <c r="H4" s="0" t="n">
        <v>23.3187</v>
      </c>
      <c r="I4" s="0" t="n">
        <v>2.141</v>
      </c>
      <c r="J4" s="0" t="n">
        <v>0.02141</v>
      </c>
      <c r="K4" s="0" t="n">
        <v>0.02141</v>
      </c>
      <c r="M4" s="0" t="n">
        <v>23.058</v>
      </c>
      <c r="N4" s="0" t="n">
        <v>1.886</v>
      </c>
      <c r="O4" s="0" t="n">
        <v>0.01886</v>
      </c>
      <c r="P4" s="0" t="n">
        <v>0.01886</v>
      </c>
      <c r="R4" s="0" t="n">
        <v>22.6612</v>
      </c>
      <c r="S4" s="0" t="n">
        <v>2.429</v>
      </c>
      <c r="T4" s="0" t="n">
        <v>0.02429</v>
      </c>
      <c r="U4" s="0" t="n">
        <v>0.02429</v>
      </c>
      <c r="W4" s="0" t="n">
        <v>25.0261</v>
      </c>
      <c r="X4" s="0" t="n">
        <v>2.216</v>
      </c>
      <c r="Y4" s="0" t="n">
        <v>0.02216</v>
      </c>
      <c r="Z4" s="0" t="n">
        <v>0.02216</v>
      </c>
    </row>
    <row r="5" customFormat="false" ht="16" hidden="false" customHeight="false" outlineLevel="0" collapsed="false">
      <c r="A5" s="0" t="s">
        <v>53</v>
      </c>
      <c r="B5" s="23" t="s">
        <v>136</v>
      </c>
      <c r="C5" s="0" t="n">
        <v>12.5179</v>
      </c>
      <c r="D5" s="0" t="n">
        <v>2.212</v>
      </c>
      <c r="E5" s="0" t="n">
        <v>0.02212</v>
      </c>
      <c r="F5" s="0" t="n">
        <v>0.02212</v>
      </c>
      <c r="H5" s="0" t="n">
        <v>10.6095</v>
      </c>
      <c r="I5" s="0" t="n">
        <v>2.183</v>
      </c>
      <c r="J5" s="0" t="n">
        <v>0.02183</v>
      </c>
      <c r="K5" s="0" t="n">
        <v>0.02253</v>
      </c>
      <c r="M5" s="0" t="n">
        <v>13.243</v>
      </c>
      <c r="N5" s="0" t="n">
        <v>1.933</v>
      </c>
      <c r="O5" s="0" t="n">
        <v>0.01933</v>
      </c>
      <c r="P5" s="0" t="n">
        <v>0.01933</v>
      </c>
      <c r="R5" s="0" t="n">
        <v>12.7913</v>
      </c>
      <c r="S5" s="0" t="n">
        <v>2.405</v>
      </c>
      <c r="T5" s="0" t="n">
        <v>0.02405</v>
      </c>
      <c r="U5" s="0" t="n">
        <v>0.02405</v>
      </c>
      <c r="W5" s="0" t="n">
        <v>13.9267</v>
      </c>
      <c r="X5" s="0" t="n">
        <v>2.171</v>
      </c>
      <c r="Y5" s="0" t="n">
        <v>0.02171</v>
      </c>
      <c r="Z5" s="0" t="n">
        <v>0.02171</v>
      </c>
    </row>
    <row r="6" customFormat="false" ht="16" hidden="false" customHeight="false" outlineLevel="0" collapsed="false">
      <c r="A6" s="0" t="s">
        <v>53</v>
      </c>
      <c r="B6" s="23" t="s">
        <v>122</v>
      </c>
      <c r="C6" s="0" t="n">
        <v>12.6179</v>
      </c>
      <c r="D6" s="0" t="n">
        <v>2.236</v>
      </c>
      <c r="E6" s="0" t="n">
        <v>0.02236</v>
      </c>
      <c r="F6" s="0" t="n">
        <v>0.02236</v>
      </c>
      <c r="H6" s="0" t="n">
        <v>10.8001</v>
      </c>
      <c r="I6" s="0" t="n">
        <v>2.183</v>
      </c>
      <c r="J6" s="0" t="n">
        <v>0.02183</v>
      </c>
      <c r="K6" s="0" t="n">
        <v>0.02243</v>
      </c>
      <c r="M6" s="0" t="n">
        <v>13.338</v>
      </c>
      <c r="N6" s="0" t="n">
        <v>1.922</v>
      </c>
      <c r="O6" s="0" t="n">
        <v>0.01922</v>
      </c>
      <c r="P6" s="0" t="n">
        <v>0.01922</v>
      </c>
      <c r="R6" s="0" t="n">
        <v>12.8958</v>
      </c>
      <c r="S6" s="0" t="n">
        <v>2.416</v>
      </c>
      <c r="T6" s="0" t="n">
        <v>0.02416</v>
      </c>
      <c r="U6" s="0" t="n">
        <v>0.02346</v>
      </c>
      <c r="W6" s="0" t="n">
        <v>14.0483</v>
      </c>
      <c r="X6" s="0" t="n">
        <v>2.142</v>
      </c>
      <c r="Y6" s="0" t="n">
        <v>0.02142</v>
      </c>
      <c r="Z6" s="0" t="n">
        <v>0.0211</v>
      </c>
    </row>
    <row r="7" customFormat="false" ht="16" hidden="false" customHeight="false" outlineLevel="0" collapsed="false">
      <c r="A7" s="0" t="s">
        <v>53</v>
      </c>
      <c r="B7" s="23" t="s">
        <v>126</v>
      </c>
      <c r="C7" s="0" t="n">
        <v>24.6443</v>
      </c>
      <c r="D7" s="0" t="n">
        <v>2.214</v>
      </c>
      <c r="E7" s="0" t="n">
        <v>0.02214</v>
      </c>
      <c r="F7" s="0" t="n">
        <v>0.02214</v>
      </c>
      <c r="H7" s="0" t="n">
        <v>26.0933</v>
      </c>
      <c r="I7" s="0" t="n">
        <v>2.111</v>
      </c>
      <c r="J7" s="0" t="n">
        <v>0.02111</v>
      </c>
      <c r="K7" s="0" t="n">
        <v>0.02111</v>
      </c>
      <c r="M7" s="0" t="n">
        <v>25.224</v>
      </c>
      <c r="N7" s="0" t="n">
        <v>1.909</v>
      </c>
      <c r="O7" s="0" t="n">
        <v>0.01909</v>
      </c>
      <c r="P7" s="0" t="n">
        <v>0.01995</v>
      </c>
      <c r="R7" s="0" t="n">
        <v>24.8024</v>
      </c>
      <c r="S7" s="0" t="n">
        <v>2.403</v>
      </c>
      <c r="T7" s="0" t="n">
        <v>0.02403</v>
      </c>
      <c r="U7" s="0" t="n">
        <v>0.02474</v>
      </c>
      <c r="W7" s="0" t="n">
        <v>27.525</v>
      </c>
      <c r="X7" s="0" t="n">
        <v>2.204</v>
      </c>
      <c r="Y7" s="0" t="n">
        <v>0.02204</v>
      </c>
      <c r="Z7" s="0" t="n">
        <v>0.02204</v>
      </c>
    </row>
    <row r="8" customFormat="false" ht="16" hidden="false" customHeight="false" outlineLevel="0" collapsed="false">
      <c r="A8" s="0" t="s">
        <v>53</v>
      </c>
      <c r="B8" s="23" t="s">
        <v>128</v>
      </c>
      <c r="C8" s="0" t="n">
        <v>23.4116</v>
      </c>
      <c r="D8" s="0" t="n">
        <v>2.227</v>
      </c>
      <c r="E8" s="0" t="n">
        <v>0.02227</v>
      </c>
      <c r="F8" s="0" t="n">
        <v>0.02227</v>
      </c>
      <c r="H8" s="0" t="n">
        <v>24.5218</v>
      </c>
      <c r="I8" s="0" t="n">
        <v>2.088</v>
      </c>
      <c r="J8" s="0" t="n">
        <v>0.02088</v>
      </c>
      <c r="K8" s="0" t="n">
        <v>0.02088</v>
      </c>
      <c r="M8" s="0" t="n">
        <v>23.995</v>
      </c>
      <c r="N8" s="0" t="n">
        <v>1.888</v>
      </c>
      <c r="O8" s="0" t="n">
        <v>0.01888</v>
      </c>
      <c r="P8" s="0" t="n">
        <v>0.01888</v>
      </c>
      <c r="R8" s="0" t="n">
        <v>23.5539</v>
      </c>
      <c r="S8" s="0" t="n">
        <v>2.408</v>
      </c>
      <c r="T8" s="0" t="n">
        <v>0.02408</v>
      </c>
      <c r="U8" s="0" t="n">
        <v>0.02408</v>
      </c>
      <c r="W8" s="0" t="n">
        <v>26.1201</v>
      </c>
      <c r="X8" s="0" t="n">
        <v>2.219</v>
      </c>
      <c r="Y8" s="0" t="n">
        <v>0.02219</v>
      </c>
      <c r="Z8" s="0" t="n">
        <v>0.02177</v>
      </c>
    </row>
    <row r="9" customFormat="false" ht="16" hidden="false" customHeight="false" outlineLevel="0" collapsed="false">
      <c r="A9" s="0" t="s">
        <v>53</v>
      </c>
      <c r="B9" s="23" t="s">
        <v>131</v>
      </c>
      <c r="C9" s="0" t="n">
        <v>22.8622</v>
      </c>
      <c r="D9" s="0" t="n">
        <v>2.231</v>
      </c>
      <c r="E9" s="0" t="n">
        <v>0.02231</v>
      </c>
      <c r="F9" s="0" t="n">
        <v>0.02158</v>
      </c>
      <c r="H9" s="0" t="n">
        <v>23.8015</v>
      </c>
      <c r="I9" s="0" t="n">
        <v>2.141</v>
      </c>
      <c r="J9" s="0" t="n">
        <v>0.02141</v>
      </c>
      <c r="K9" s="0" t="n">
        <v>0.02141</v>
      </c>
      <c r="M9" s="0" t="n">
        <v>23.457</v>
      </c>
      <c r="N9" s="0" t="n">
        <v>1.899</v>
      </c>
      <c r="O9" s="0" t="n">
        <v>0.01899</v>
      </c>
      <c r="P9" s="0" t="n">
        <v>0.01899</v>
      </c>
      <c r="R9" s="0" t="n">
        <v>23.0085</v>
      </c>
      <c r="S9" s="0" t="n">
        <v>2.415</v>
      </c>
      <c r="T9" s="0" t="n">
        <v>0.02415</v>
      </c>
      <c r="U9" s="0" t="n">
        <v>0.02415</v>
      </c>
      <c r="W9" s="0" t="n">
        <v>25.4868</v>
      </c>
      <c r="X9" s="0" t="n">
        <v>2.189</v>
      </c>
      <c r="Y9" s="0" t="n">
        <v>0.02189</v>
      </c>
      <c r="Z9" s="0" t="n">
        <v>0.02189</v>
      </c>
    </row>
    <row r="10" customFormat="false" ht="16" hidden="false" customHeight="false" outlineLevel="0" collapsed="false">
      <c r="A10" s="0" t="s">
        <v>53</v>
      </c>
      <c r="B10" s="23" t="s">
        <v>129</v>
      </c>
      <c r="C10" s="0" t="n">
        <v>23.153</v>
      </c>
      <c r="D10" s="0" t="n">
        <v>2.259</v>
      </c>
      <c r="E10" s="0" t="n">
        <v>0.02259</v>
      </c>
      <c r="F10" s="0" t="n">
        <v>0.02259</v>
      </c>
      <c r="H10" s="0" t="n">
        <v>24.1971</v>
      </c>
      <c r="I10" s="0" t="n">
        <v>2.095</v>
      </c>
      <c r="J10" s="0" t="n">
        <v>0.02095</v>
      </c>
      <c r="K10" s="0" t="n">
        <v>0.02095</v>
      </c>
      <c r="M10" s="0" t="n">
        <v>23.72</v>
      </c>
      <c r="N10" s="0" t="n">
        <v>1.905</v>
      </c>
      <c r="O10" s="0" t="n">
        <v>0.01905</v>
      </c>
      <c r="P10" s="0" t="n">
        <v>0.01905</v>
      </c>
      <c r="R10" s="0" t="n">
        <v>23.2533</v>
      </c>
      <c r="S10" s="0" t="n">
        <v>2.435</v>
      </c>
      <c r="T10" s="0" t="n">
        <v>0.02435</v>
      </c>
      <c r="U10" s="0" t="n">
        <v>0.02489</v>
      </c>
      <c r="W10" s="0" t="n">
        <v>25.7412</v>
      </c>
      <c r="X10" s="0" t="n">
        <v>2.211</v>
      </c>
      <c r="Y10" s="0" t="n">
        <v>0.02211</v>
      </c>
      <c r="Z10" s="0" t="n">
        <v>0.02211</v>
      </c>
    </row>
    <row r="11" customFormat="false" ht="16" hidden="false" customHeight="false" outlineLevel="0" collapsed="false">
      <c r="A11" s="0" t="s">
        <v>53</v>
      </c>
      <c r="B11" s="23" t="s">
        <v>117</v>
      </c>
      <c r="C11" s="0" t="n">
        <v>20.2964</v>
      </c>
      <c r="D11" s="0" t="n">
        <v>2.264</v>
      </c>
      <c r="E11" s="0" t="n">
        <v>0.02264</v>
      </c>
      <c r="F11" s="0" t="n">
        <v>0.02264</v>
      </c>
      <c r="H11" s="0" t="n">
        <v>20.5107</v>
      </c>
      <c r="I11" s="0" t="n">
        <v>2.11</v>
      </c>
      <c r="J11" s="0" t="n">
        <v>0.0211</v>
      </c>
      <c r="K11" s="0" t="n">
        <v>0.0211</v>
      </c>
      <c r="M11" s="0" t="n">
        <v>20.916</v>
      </c>
      <c r="N11" s="0" t="n">
        <v>1.917</v>
      </c>
      <c r="O11" s="0" t="n">
        <v>0.01917</v>
      </c>
      <c r="P11" s="0" t="n">
        <v>0.01917</v>
      </c>
      <c r="R11" s="0" t="n">
        <v>20.4762</v>
      </c>
      <c r="S11" s="0" t="n">
        <v>2.421</v>
      </c>
      <c r="T11" s="0" t="n">
        <v>0.02421</v>
      </c>
      <c r="U11" s="0" t="n">
        <v>0.02421</v>
      </c>
      <c r="W11" s="0" t="n">
        <v>22.5926</v>
      </c>
      <c r="X11" s="0" t="n">
        <v>2.193</v>
      </c>
      <c r="Y11" s="0" t="n">
        <v>0.02193</v>
      </c>
      <c r="Z11" s="0" t="n">
        <v>0.02193</v>
      </c>
    </row>
    <row r="12" customFormat="false" ht="16" hidden="false" customHeight="false" outlineLevel="0" collapsed="false">
      <c r="A12" s="0" t="s">
        <v>53</v>
      </c>
      <c r="B12" s="23" t="s">
        <v>86</v>
      </c>
      <c r="C12" s="0" t="n">
        <v>13.0747</v>
      </c>
      <c r="D12" s="0" t="n">
        <v>2.231</v>
      </c>
      <c r="E12" s="0" t="n">
        <v>0.02231</v>
      </c>
      <c r="F12" s="0" t="n">
        <v>0.02254</v>
      </c>
      <c r="H12" s="0" t="n">
        <v>11.3196</v>
      </c>
      <c r="I12" s="0" t="n">
        <v>2.164</v>
      </c>
      <c r="J12" s="0" t="n">
        <v>0.02164</v>
      </c>
      <c r="K12" s="0" t="n">
        <v>0.02202</v>
      </c>
      <c r="M12" s="0" t="n">
        <v>13.769</v>
      </c>
      <c r="N12" s="0" t="n">
        <v>1.93</v>
      </c>
      <c r="O12" s="0" t="n">
        <v>0.0193</v>
      </c>
      <c r="P12" s="0" t="n">
        <v>0.0193</v>
      </c>
      <c r="R12" s="0" t="n">
        <v>13.3216</v>
      </c>
      <c r="S12" s="0" t="n">
        <v>2.418</v>
      </c>
      <c r="T12" s="0" t="n">
        <v>0.02418</v>
      </c>
      <c r="U12" s="0" t="n">
        <v>0.02418</v>
      </c>
      <c r="W12" s="0" t="n">
        <v>14.5426</v>
      </c>
      <c r="X12" s="0" t="n">
        <v>2.151</v>
      </c>
      <c r="Y12" s="0" t="n">
        <v>0.02151</v>
      </c>
      <c r="Z12" s="0" t="n">
        <v>0.02151</v>
      </c>
    </row>
    <row r="13" customFormat="false" ht="16" hidden="false" customHeight="false" outlineLevel="0" collapsed="false">
      <c r="A13" s="0" t="s">
        <v>53</v>
      </c>
      <c r="B13" s="23" t="s">
        <v>94</v>
      </c>
      <c r="C13" s="0" t="n">
        <v>11.8074</v>
      </c>
      <c r="D13" s="0" t="n">
        <v>2.228</v>
      </c>
      <c r="E13" s="0" t="n">
        <v>0.02228</v>
      </c>
      <c r="F13" s="0" t="n">
        <v>0.02228</v>
      </c>
      <c r="H13" s="0" t="n">
        <v>9.7608</v>
      </c>
      <c r="I13" s="0" t="n">
        <v>2.183</v>
      </c>
      <c r="J13" s="0" t="n">
        <v>0.02183</v>
      </c>
      <c r="K13" s="0" t="n">
        <v>0.02246</v>
      </c>
      <c r="M13" s="0" t="n">
        <v>12.575</v>
      </c>
      <c r="N13" s="0" t="n">
        <v>1.941</v>
      </c>
      <c r="O13" s="0" t="n">
        <v>0.01941</v>
      </c>
      <c r="P13" s="0" t="n">
        <v>0.01975</v>
      </c>
      <c r="R13" s="0" t="n">
        <v>12.1114</v>
      </c>
      <c r="S13" s="0" t="n">
        <v>2.379</v>
      </c>
      <c r="T13" s="0" t="n">
        <v>0.02379</v>
      </c>
      <c r="U13" s="0" t="n">
        <v>0.02379</v>
      </c>
      <c r="W13" s="0" t="n">
        <v>13.1588</v>
      </c>
      <c r="X13" s="0" t="n">
        <v>2.151</v>
      </c>
      <c r="Y13" s="0" t="n">
        <v>0.02151</v>
      </c>
      <c r="Z13" s="0" t="n">
        <v>0.02151</v>
      </c>
    </row>
    <row r="14" customFormat="false" ht="16" hidden="false" customHeight="false" outlineLevel="0" collapsed="false">
      <c r="A14" s="0" t="s">
        <v>53</v>
      </c>
      <c r="B14" s="23" t="s">
        <v>99</v>
      </c>
      <c r="C14" s="0" t="n">
        <v>11.8799</v>
      </c>
      <c r="D14" s="0" t="n">
        <v>2.239</v>
      </c>
      <c r="E14" s="0" t="n">
        <v>0.02239</v>
      </c>
      <c r="F14" s="0" t="n">
        <v>0.02239</v>
      </c>
      <c r="H14" s="0" t="n">
        <v>9.8326</v>
      </c>
      <c r="I14" s="0" t="n">
        <v>2.198</v>
      </c>
      <c r="J14" s="0" t="n">
        <v>0.02198</v>
      </c>
      <c r="K14" s="0" t="n">
        <v>0.02275</v>
      </c>
      <c r="M14" s="0" t="n">
        <v>12.616</v>
      </c>
      <c r="N14" s="0" t="n">
        <v>1.953</v>
      </c>
      <c r="O14" s="0" t="n">
        <v>0.01953</v>
      </c>
      <c r="P14" s="0" t="n">
        <v>0.02102</v>
      </c>
      <c r="R14" s="0" t="n">
        <v>12.1743</v>
      </c>
      <c r="S14" s="0" t="n">
        <v>2.416</v>
      </c>
      <c r="T14" s="0" t="n">
        <v>0.02416</v>
      </c>
      <c r="U14" s="0" t="n">
        <v>0.02466</v>
      </c>
      <c r="W14" s="0" t="n">
        <v>13.1324</v>
      </c>
      <c r="X14" s="0" t="n">
        <v>2.161</v>
      </c>
      <c r="Y14" s="0" t="n">
        <v>0.02161</v>
      </c>
      <c r="Z14" s="0" t="n">
        <v>0.02127</v>
      </c>
    </row>
    <row r="15" customFormat="false" ht="16" hidden="false" customHeight="false" outlineLevel="0" collapsed="false">
      <c r="A15" s="0" t="s">
        <v>53</v>
      </c>
      <c r="B15" s="23" t="s">
        <v>114</v>
      </c>
      <c r="C15" s="0" t="n">
        <v>11.2246</v>
      </c>
      <c r="D15" s="0" t="n">
        <v>2.237</v>
      </c>
      <c r="E15" s="0" t="n">
        <v>0.02237</v>
      </c>
      <c r="F15" s="0" t="n">
        <v>0.02237</v>
      </c>
      <c r="H15" s="0" t="n">
        <v>8.9616</v>
      </c>
      <c r="I15" s="0" t="n">
        <v>2.186</v>
      </c>
      <c r="J15" s="0" t="n">
        <v>0.02186</v>
      </c>
      <c r="K15" s="0" t="n">
        <v>0.0222</v>
      </c>
      <c r="M15" s="0" t="n">
        <v>11.973</v>
      </c>
      <c r="N15" s="0" t="n">
        <v>1.925</v>
      </c>
      <c r="O15" s="0" t="n">
        <v>0.01925</v>
      </c>
      <c r="P15" s="0" t="n">
        <v>0.01925</v>
      </c>
      <c r="R15" s="0" t="n">
        <v>11.4714</v>
      </c>
      <c r="S15" s="0" t="n">
        <v>2.425</v>
      </c>
      <c r="T15" s="0" t="n">
        <v>0.02425</v>
      </c>
      <c r="U15" s="0" t="n">
        <v>0.02425</v>
      </c>
      <c r="W15" s="0" t="n">
        <v>12.4599</v>
      </c>
      <c r="X15" s="0" t="n">
        <v>2.17</v>
      </c>
      <c r="Y15" s="0" t="n">
        <v>0.0217</v>
      </c>
      <c r="Z15" s="0" t="n">
        <v>0.02118</v>
      </c>
    </row>
    <row r="16" customFormat="false" ht="16" hidden="false" customHeight="false" outlineLevel="0" collapsed="false">
      <c r="A16" s="0" t="s">
        <v>53</v>
      </c>
      <c r="B16" s="23" t="s">
        <v>111</v>
      </c>
      <c r="C16" s="0" t="n">
        <v>11.1822</v>
      </c>
      <c r="D16" s="0" t="n">
        <v>2.243</v>
      </c>
      <c r="E16" s="0" t="n">
        <v>0.02243</v>
      </c>
      <c r="F16" s="0" t="n">
        <v>0.02013</v>
      </c>
      <c r="H16" s="0" t="n">
        <v>8.9794</v>
      </c>
      <c r="I16" s="0" t="n">
        <v>2.194</v>
      </c>
      <c r="J16" s="0" t="n">
        <v>0.02194</v>
      </c>
      <c r="K16" s="0" t="n">
        <v>0.02194</v>
      </c>
      <c r="M16" s="0" t="n">
        <v>11.961</v>
      </c>
      <c r="N16" s="0" t="n">
        <v>1.948</v>
      </c>
      <c r="O16" s="0" t="n">
        <v>0.01948</v>
      </c>
      <c r="P16" s="0" t="n">
        <v>0.01948</v>
      </c>
      <c r="R16" s="0" t="n">
        <v>11.4912</v>
      </c>
      <c r="S16" s="0" t="n">
        <v>2.435</v>
      </c>
      <c r="T16" s="0" t="n">
        <v>0.02435</v>
      </c>
      <c r="U16" s="0" t="n">
        <v>0.02435</v>
      </c>
      <c r="W16" s="0" t="n">
        <v>12.4359</v>
      </c>
      <c r="X16" s="0" t="n">
        <v>2.159</v>
      </c>
      <c r="Y16" s="0" t="n">
        <v>0.02159</v>
      </c>
      <c r="Z16" s="0" t="n">
        <v>0.02159</v>
      </c>
    </row>
    <row r="17" customFormat="false" ht="16" hidden="false" customHeight="false" outlineLevel="0" collapsed="false">
      <c r="A17" s="0" t="s">
        <v>53</v>
      </c>
      <c r="B17" s="23" t="s">
        <v>75</v>
      </c>
      <c r="C17" s="0" t="n">
        <v>11.7991</v>
      </c>
      <c r="D17" s="0" t="n">
        <v>2.209</v>
      </c>
      <c r="E17" s="0" t="n">
        <v>0.02209</v>
      </c>
      <c r="F17" s="0" t="n">
        <v>0.02157</v>
      </c>
      <c r="H17" s="0" t="n">
        <v>9.7549</v>
      </c>
      <c r="I17" s="0" t="n">
        <v>2.195</v>
      </c>
      <c r="J17" s="0" t="n">
        <v>0.02195</v>
      </c>
      <c r="K17" s="0" t="n">
        <v>0.02195</v>
      </c>
      <c r="M17" s="0" t="n">
        <v>12.542</v>
      </c>
      <c r="N17" s="0" t="n">
        <v>1.95</v>
      </c>
      <c r="O17" s="0" t="n">
        <v>0.0195</v>
      </c>
      <c r="P17" s="0" t="n">
        <v>0.01988</v>
      </c>
      <c r="R17" s="0" t="n">
        <v>12.0733</v>
      </c>
      <c r="S17" s="0" t="n">
        <v>2.405</v>
      </c>
      <c r="T17" s="0" t="n">
        <v>0.02405</v>
      </c>
      <c r="U17" s="0" t="n">
        <v>0.02405</v>
      </c>
      <c r="W17" s="0" t="n">
        <v>13.1372</v>
      </c>
      <c r="X17" s="0" t="n">
        <v>2.181</v>
      </c>
      <c r="Y17" s="0" t="n">
        <v>0.02181</v>
      </c>
      <c r="Z17" s="0" t="n">
        <v>0.02205</v>
      </c>
    </row>
    <row r="18" customFormat="false" ht="16" hidden="false" customHeight="false" outlineLevel="0" collapsed="false">
      <c r="A18" s="0" t="s">
        <v>53</v>
      </c>
      <c r="B18" s="23" t="s">
        <v>101</v>
      </c>
      <c r="C18" s="0" t="n">
        <v>10.4967</v>
      </c>
      <c r="D18" s="0" t="n">
        <v>2.22</v>
      </c>
      <c r="E18" s="0" t="n">
        <v>0.0222</v>
      </c>
      <c r="F18" s="0" t="n">
        <v>0.0222</v>
      </c>
      <c r="H18" s="0" t="n">
        <v>8.1275</v>
      </c>
      <c r="I18" s="0" t="n">
        <v>2.212</v>
      </c>
      <c r="J18" s="0" t="n">
        <v>0.02212</v>
      </c>
      <c r="K18" s="0" t="n">
        <v>0.02254</v>
      </c>
      <c r="M18" s="0" t="n">
        <v>11.282</v>
      </c>
      <c r="N18" s="0" t="n">
        <v>1.97</v>
      </c>
      <c r="O18" s="0" t="n">
        <v>0.0197</v>
      </c>
      <c r="P18" s="0" t="n">
        <v>0.0201</v>
      </c>
      <c r="R18" s="0" t="n">
        <v>10.8067</v>
      </c>
      <c r="S18" s="0" t="n">
        <v>2.42</v>
      </c>
      <c r="T18" s="0" t="n">
        <v>0.0242</v>
      </c>
      <c r="U18" s="0" t="n">
        <v>0.0242</v>
      </c>
      <c r="W18" s="0" t="n">
        <v>11.6927</v>
      </c>
      <c r="X18" s="0" t="n">
        <v>2.123</v>
      </c>
      <c r="Y18" s="0" t="n">
        <v>0.02123</v>
      </c>
      <c r="Z18" s="0" t="n">
        <v>0.02123</v>
      </c>
    </row>
    <row r="19" customFormat="false" ht="16" hidden="false" customHeight="false" outlineLevel="0" collapsed="false">
      <c r="A19" s="0" t="s">
        <v>53</v>
      </c>
      <c r="B19" s="23" t="s">
        <v>108</v>
      </c>
      <c r="C19" s="0" t="n">
        <v>11.1445</v>
      </c>
      <c r="D19" s="0" t="n">
        <v>2.223</v>
      </c>
      <c r="E19" s="0" t="n">
        <v>0.02223</v>
      </c>
      <c r="F19" s="0" t="n">
        <v>0.02223</v>
      </c>
      <c r="H19" s="0" t="n">
        <v>8.9517</v>
      </c>
      <c r="I19" s="0" t="n">
        <v>2.184</v>
      </c>
      <c r="J19" s="0" t="n">
        <v>0.02184</v>
      </c>
      <c r="K19" s="0" t="n">
        <v>0.02253</v>
      </c>
      <c r="M19" s="0" t="n">
        <v>11.871</v>
      </c>
      <c r="N19" s="0" t="n">
        <v>1.949</v>
      </c>
      <c r="O19" s="0" t="n">
        <v>0.01949</v>
      </c>
      <c r="P19" s="0" t="n">
        <v>0.01949</v>
      </c>
      <c r="R19" s="0" t="n">
        <v>11.4569</v>
      </c>
      <c r="S19" s="0" t="n">
        <v>2.394</v>
      </c>
      <c r="T19" s="0" t="n">
        <v>0.02394</v>
      </c>
      <c r="U19" s="0" t="n">
        <v>0.02394</v>
      </c>
      <c r="W19" s="0" t="n">
        <v>12.3773</v>
      </c>
      <c r="X19" s="0" t="n">
        <v>2.162</v>
      </c>
      <c r="Y19" s="0" t="n">
        <v>0.02162</v>
      </c>
      <c r="Z19" s="0" t="n">
        <v>0.02162</v>
      </c>
    </row>
    <row r="20" customFormat="false" ht="16" hidden="false" customHeight="false" outlineLevel="0" collapsed="false">
      <c r="A20" s="74" t="s">
        <v>53</v>
      </c>
      <c r="B20" s="38" t="s">
        <v>290</v>
      </c>
      <c r="C20" s="0" t="n">
        <v>21.4789</v>
      </c>
      <c r="D20" s="0" t="n">
        <v>2.241</v>
      </c>
      <c r="E20" s="0" t="n">
        <v>0.02241</v>
      </c>
      <c r="F20" s="0" t="n">
        <v>0.02241</v>
      </c>
      <c r="H20" s="0" t="n">
        <v>22.0177</v>
      </c>
      <c r="I20" s="0" t="n">
        <v>2.106</v>
      </c>
      <c r="J20" s="0" t="n">
        <v>0.02106</v>
      </c>
      <c r="K20" s="0" t="n">
        <v>0.02106</v>
      </c>
      <c r="M20" s="0" t="n">
        <v>22.084</v>
      </c>
      <c r="N20" s="0" t="n">
        <v>1.888</v>
      </c>
      <c r="O20" s="0" t="n">
        <v>0.01888</v>
      </c>
      <c r="P20" s="0" t="n">
        <v>0.01859</v>
      </c>
      <c r="R20" s="0" t="n">
        <v>21.6316</v>
      </c>
      <c r="S20" s="0" t="n">
        <v>2.432</v>
      </c>
      <c r="T20" s="0" t="n">
        <v>0.02432</v>
      </c>
      <c r="U20" s="0" t="n">
        <v>0.02432</v>
      </c>
      <c r="W20" s="0" t="n">
        <v>23.9207</v>
      </c>
      <c r="X20" s="0" t="n">
        <v>2.193</v>
      </c>
      <c r="Y20" s="0" t="n">
        <v>0.02193</v>
      </c>
      <c r="Z20" s="0" t="n">
        <v>0.02193</v>
      </c>
    </row>
    <row r="21" customFormat="false" ht="16" hidden="false" customHeight="false" outlineLevel="0" collapsed="false">
      <c r="A21" s="74" t="s">
        <v>53</v>
      </c>
      <c r="B21" s="38" t="s">
        <v>220</v>
      </c>
      <c r="C21" s="0" t="n">
        <v>24.7941</v>
      </c>
      <c r="D21" s="0" t="n">
        <v>2.223</v>
      </c>
      <c r="E21" s="0" t="n">
        <v>0.02223</v>
      </c>
      <c r="F21" s="0" t="n">
        <v>0.02223</v>
      </c>
      <c r="H21" s="0" t="n">
        <v>26.3125</v>
      </c>
      <c r="I21" s="0" t="n">
        <v>2.094</v>
      </c>
      <c r="J21" s="0" t="n">
        <v>0.02094</v>
      </c>
      <c r="K21" s="0" t="n">
        <v>0.02094</v>
      </c>
      <c r="M21" s="0" t="n">
        <v>25.365</v>
      </c>
      <c r="N21" s="0" t="n">
        <v>1.904</v>
      </c>
      <c r="O21" s="0" t="n">
        <v>0.01904</v>
      </c>
      <c r="P21" s="0" t="n">
        <v>0.01904</v>
      </c>
      <c r="R21" s="0" t="n">
        <v>24.9594</v>
      </c>
      <c r="S21" s="0" t="n">
        <v>2.434</v>
      </c>
      <c r="T21" s="0" t="n">
        <v>0.02434</v>
      </c>
      <c r="U21" s="0" t="n">
        <v>0.02449</v>
      </c>
      <c r="W21" s="0" t="n">
        <v>27.6802</v>
      </c>
      <c r="X21" s="0" t="n">
        <v>2.214</v>
      </c>
      <c r="Y21" s="0" t="n">
        <v>0.02214</v>
      </c>
      <c r="Z21" s="0" t="n">
        <v>0.02214</v>
      </c>
    </row>
    <row r="22" customFormat="false" ht="16" hidden="false" customHeight="false" outlineLevel="0" collapsed="false">
      <c r="A22" s="74" t="s">
        <v>53</v>
      </c>
      <c r="B22" s="38" t="s">
        <v>306</v>
      </c>
      <c r="C22" s="0" t="n">
        <v>20.3655</v>
      </c>
      <c r="D22" s="0" t="n">
        <v>2.235</v>
      </c>
      <c r="E22" s="0" t="n">
        <v>0.02235</v>
      </c>
      <c r="F22" s="0" t="n">
        <v>0.02235</v>
      </c>
      <c r="H22" s="0" t="n">
        <v>20.6592</v>
      </c>
      <c r="I22" s="0" t="n">
        <v>2.114</v>
      </c>
      <c r="J22" s="0" t="n">
        <v>0.02114</v>
      </c>
      <c r="K22" s="0" t="n">
        <v>0.02114</v>
      </c>
      <c r="M22" s="0" t="n">
        <v>21.019</v>
      </c>
      <c r="N22" s="0" t="n">
        <v>1.878</v>
      </c>
      <c r="O22" s="0" t="n">
        <v>0.01878</v>
      </c>
      <c r="P22" s="0" t="n">
        <v>0.0193</v>
      </c>
      <c r="R22" s="0" t="n">
        <v>20.5813</v>
      </c>
      <c r="S22" s="0" t="n">
        <v>2.406</v>
      </c>
      <c r="T22" s="0" t="n">
        <v>0.02406</v>
      </c>
      <c r="U22" s="0" t="n">
        <v>0.02405</v>
      </c>
      <c r="W22" s="0" t="n">
        <v>22.741</v>
      </c>
      <c r="X22" s="0" t="n">
        <v>2.194</v>
      </c>
      <c r="Y22" s="0" t="n">
        <v>0.02194</v>
      </c>
      <c r="Z22" s="0" t="n">
        <v>0.02194</v>
      </c>
    </row>
    <row r="23" customFormat="false" ht="16" hidden="false" customHeight="false" outlineLevel="0" collapsed="false">
      <c r="A23" s="0" t="s">
        <v>53</v>
      </c>
      <c r="B23" s="23" t="s">
        <v>293</v>
      </c>
      <c r="C23" s="0" t="n">
        <v>22.0522</v>
      </c>
      <c r="D23" s="0" t="n">
        <v>2.226</v>
      </c>
      <c r="E23" s="0" t="n">
        <v>0.02226</v>
      </c>
      <c r="F23" s="0" t="n">
        <v>0.02226</v>
      </c>
      <c r="H23" s="0" t="n">
        <v>22.7691</v>
      </c>
      <c r="I23" s="0" t="n">
        <v>2.127</v>
      </c>
      <c r="J23" s="0" t="n">
        <v>0.02127</v>
      </c>
      <c r="K23" s="0" t="n">
        <v>0.02127</v>
      </c>
      <c r="M23" s="0" t="n">
        <v>22.653</v>
      </c>
      <c r="N23" s="0" t="n">
        <v>1.901</v>
      </c>
      <c r="O23" s="0" t="n">
        <v>0.01901</v>
      </c>
      <c r="P23" s="0" t="n">
        <v>0.01901</v>
      </c>
      <c r="R23" s="0" t="n">
        <v>22.186</v>
      </c>
      <c r="S23" s="0" t="n">
        <v>2.43</v>
      </c>
      <c r="T23" s="0" t="n">
        <v>0.0243</v>
      </c>
      <c r="U23" s="0" t="n">
        <v>0.0243</v>
      </c>
      <c r="W23" s="0" t="n">
        <v>24.5541</v>
      </c>
      <c r="X23" s="0" t="n">
        <v>2.196</v>
      </c>
      <c r="Y23" s="0" t="n">
        <v>0.02196</v>
      </c>
      <c r="Z23" s="0" t="n">
        <v>0.02266</v>
      </c>
    </row>
    <row r="24" customFormat="false" ht="16" hidden="false" customHeight="false" outlineLevel="0" collapsed="false">
      <c r="A24" s="74" t="s">
        <v>53</v>
      </c>
      <c r="B24" s="38" t="s">
        <v>255</v>
      </c>
      <c r="C24" s="0" t="n">
        <v>24.8326</v>
      </c>
      <c r="D24" s="0" t="n">
        <v>2.238</v>
      </c>
      <c r="E24" s="0" t="n">
        <v>0.02238</v>
      </c>
      <c r="F24" s="0" t="n">
        <v>0.02166</v>
      </c>
      <c r="H24" s="0" t="n">
        <v>26.2777</v>
      </c>
      <c r="I24" s="0" t="n">
        <v>2.112</v>
      </c>
      <c r="J24" s="0" t="n">
        <v>0.02112</v>
      </c>
      <c r="K24" s="0" t="n">
        <v>0.02127</v>
      </c>
      <c r="M24" s="0" t="n">
        <v>25.382</v>
      </c>
      <c r="N24" s="0" t="n">
        <v>1.889</v>
      </c>
      <c r="O24" s="0" t="n">
        <v>0.01889</v>
      </c>
      <c r="P24" s="0" t="n">
        <v>0.01818</v>
      </c>
      <c r="R24" s="0" t="n">
        <v>24.9603</v>
      </c>
      <c r="S24" s="0" t="n">
        <v>2.403</v>
      </c>
      <c r="T24" s="0" t="n">
        <v>0.02403</v>
      </c>
      <c r="U24" s="0" t="n">
        <v>0.02332</v>
      </c>
      <c r="W24" s="0" t="n">
        <v>27.6025</v>
      </c>
      <c r="X24" s="0" t="n">
        <v>2.23</v>
      </c>
      <c r="Y24" s="0" t="n">
        <v>0.0223</v>
      </c>
      <c r="Z24" s="0" t="n">
        <v>0.0223</v>
      </c>
    </row>
    <row r="25" customFormat="false" ht="16" hidden="false" customHeight="false" outlineLevel="0" collapsed="false">
      <c r="A25" s="74" t="s">
        <v>53</v>
      </c>
      <c r="B25" s="38" t="s">
        <v>303</v>
      </c>
      <c r="C25" s="0" t="n">
        <v>20.3362</v>
      </c>
      <c r="D25" s="0" t="n">
        <v>2.216</v>
      </c>
      <c r="E25" s="0" t="n">
        <v>0.02216</v>
      </c>
      <c r="F25" s="0" t="n">
        <v>0.02234</v>
      </c>
      <c r="H25" s="0" t="n">
        <v>20.595</v>
      </c>
      <c r="I25" s="0" t="n">
        <v>2.081</v>
      </c>
      <c r="J25" s="0" t="n">
        <v>0.02081</v>
      </c>
      <c r="K25" s="0" t="n">
        <v>0.02081</v>
      </c>
      <c r="M25" s="0" t="n">
        <v>20.957</v>
      </c>
      <c r="N25" s="0" t="n">
        <v>1.882</v>
      </c>
      <c r="O25" s="0" t="n">
        <v>0.01882</v>
      </c>
      <c r="P25" s="0" t="n">
        <v>0.01882</v>
      </c>
      <c r="R25" s="0" t="n">
        <v>20.5395</v>
      </c>
      <c r="S25" s="0" t="n">
        <v>2.406</v>
      </c>
      <c r="T25" s="0" t="n">
        <v>0.02406</v>
      </c>
      <c r="U25" s="0" t="n">
        <v>0.02406</v>
      </c>
      <c r="W25" s="0" t="n">
        <v>22.6415</v>
      </c>
      <c r="X25" s="0" t="n">
        <v>2.228</v>
      </c>
      <c r="Y25" s="0" t="n">
        <v>0.02228</v>
      </c>
      <c r="Z25" s="0" t="n">
        <v>0.02228</v>
      </c>
    </row>
    <row r="26" customFormat="false" ht="16" hidden="false" customHeight="false" outlineLevel="0" collapsed="false">
      <c r="A26" s="74" t="s">
        <v>53</v>
      </c>
      <c r="B26" s="38" t="s">
        <v>311</v>
      </c>
      <c r="C26" s="0" t="n">
        <v>20.3905</v>
      </c>
      <c r="D26" s="0" t="n">
        <v>2.228</v>
      </c>
      <c r="E26" s="0" t="n">
        <v>0.02228</v>
      </c>
      <c r="F26" s="0" t="n">
        <v>0.02228</v>
      </c>
      <c r="H26" s="0" t="n">
        <v>20.6675</v>
      </c>
      <c r="I26" s="0" t="n">
        <v>2.121</v>
      </c>
      <c r="J26" s="0" t="n">
        <v>0.02121</v>
      </c>
      <c r="K26" s="0" t="n">
        <v>0.02121</v>
      </c>
      <c r="M26" s="0" t="n">
        <v>21.049</v>
      </c>
      <c r="N26" s="0" t="n">
        <v>1.911</v>
      </c>
      <c r="O26" s="0" t="n">
        <v>0.01911</v>
      </c>
      <c r="P26" s="0" t="n">
        <v>0.01962</v>
      </c>
      <c r="R26" s="0" t="n">
        <v>20.5647</v>
      </c>
      <c r="S26" s="0" t="n">
        <v>2.409</v>
      </c>
      <c r="T26" s="0" t="n">
        <v>0.02409</v>
      </c>
      <c r="U26" s="0" t="n">
        <v>0.02409</v>
      </c>
      <c r="W26" s="0" t="n">
        <v>22.7242</v>
      </c>
      <c r="X26" s="0" t="n">
        <v>2.194</v>
      </c>
      <c r="Y26" s="0" t="n">
        <v>0.02194</v>
      </c>
      <c r="Z26" s="0" t="n">
        <v>0.02194</v>
      </c>
    </row>
    <row r="27" customFormat="false" ht="16" hidden="false" customHeight="false" outlineLevel="0" collapsed="false">
      <c r="A27" s="0" t="s">
        <v>53</v>
      </c>
      <c r="B27" s="23" t="s">
        <v>52</v>
      </c>
      <c r="C27" s="0" t="n">
        <v>20.4221</v>
      </c>
      <c r="D27" s="0" t="n">
        <v>2.252</v>
      </c>
      <c r="E27" s="0" t="n">
        <v>0.02252</v>
      </c>
      <c r="F27" s="0" t="n">
        <v>0.02252</v>
      </c>
      <c r="H27" s="0" t="n">
        <v>20.6993</v>
      </c>
      <c r="I27" s="0" t="n">
        <v>2.107</v>
      </c>
      <c r="J27" s="0" t="n">
        <v>0.02107</v>
      </c>
      <c r="K27" s="0" t="n">
        <v>0.02004</v>
      </c>
      <c r="M27" s="0" t="n">
        <v>21.046</v>
      </c>
      <c r="N27" s="0" t="n">
        <v>1.907</v>
      </c>
      <c r="O27" s="0" t="n">
        <v>0.01907</v>
      </c>
      <c r="P27" s="0" t="n">
        <v>0.01907</v>
      </c>
      <c r="R27" s="0" t="n">
        <v>20.6146</v>
      </c>
      <c r="S27" s="0" t="n">
        <v>2.392</v>
      </c>
      <c r="T27" s="0" t="n">
        <v>0.02392</v>
      </c>
      <c r="U27" s="0" t="n">
        <v>0.02392</v>
      </c>
      <c r="W27" s="0" t="n">
        <v>22.7493</v>
      </c>
      <c r="X27" s="0" t="n">
        <v>2.2</v>
      </c>
      <c r="Y27" s="0" t="n">
        <v>0.022</v>
      </c>
      <c r="Z27" s="0" t="n">
        <v>0.02232</v>
      </c>
    </row>
    <row r="28" customFormat="false" ht="16" hidden="false" customHeight="false" outlineLevel="0" collapsed="false">
      <c r="A28" s="0" t="s">
        <v>53</v>
      </c>
      <c r="B28" s="23" t="s">
        <v>65</v>
      </c>
      <c r="C28" s="0" t="n">
        <v>26.3198</v>
      </c>
      <c r="D28" s="0" t="n">
        <v>2.232</v>
      </c>
      <c r="E28" s="0" t="n">
        <v>0.02232</v>
      </c>
      <c r="F28" s="0" t="n">
        <v>0.02232</v>
      </c>
      <c r="H28" s="0" t="n">
        <v>28.2231</v>
      </c>
      <c r="I28" s="0" t="n">
        <v>2.118</v>
      </c>
      <c r="J28" s="0" t="n">
        <v>0.02118</v>
      </c>
      <c r="K28" s="0" t="n">
        <v>0.02118</v>
      </c>
      <c r="M28" s="0" t="n">
        <v>26.856</v>
      </c>
      <c r="N28" s="0" t="n">
        <v>1.905</v>
      </c>
      <c r="O28" s="0" t="n">
        <v>0.01905</v>
      </c>
      <c r="P28" s="0" t="n">
        <v>0.01905</v>
      </c>
      <c r="R28" s="0" t="n">
        <v>26.4251</v>
      </c>
      <c r="S28" s="0" t="n">
        <v>2.415</v>
      </c>
      <c r="T28" s="0" t="n">
        <v>0.02415</v>
      </c>
      <c r="U28" s="0" t="n">
        <v>0.02415</v>
      </c>
      <c r="W28" s="0" t="n">
        <v>29.3705</v>
      </c>
      <c r="X28" s="0" t="n">
        <v>2.219</v>
      </c>
      <c r="Y28" s="0" t="n">
        <v>0.02219</v>
      </c>
      <c r="Z28" s="0" t="n">
        <v>0.02219</v>
      </c>
    </row>
    <row r="29" customFormat="false" ht="16" hidden="false" customHeight="false" outlineLevel="0" collapsed="false">
      <c r="A29" s="0" t="s">
        <v>53</v>
      </c>
      <c r="B29" s="23" t="s">
        <v>73</v>
      </c>
      <c r="C29" s="0" t="n">
        <v>19.9121</v>
      </c>
      <c r="D29" s="0" t="n">
        <v>2.239</v>
      </c>
      <c r="E29" s="0" t="n">
        <v>0.02239</v>
      </c>
      <c r="F29" s="0" t="n">
        <v>0.02239</v>
      </c>
      <c r="H29" s="0" t="n">
        <v>20.085</v>
      </c>
      <c r="I29" s="0" t="n">
        <v>2.123</v>
      </c>
      <c r="J29" s="0" t="n">
        <v>0.02123</v>
      </c>
      <c r="K29" s="0" t="n">
        <v>0.02123</v>
      </c>
      <c r="M29" s="0" t="n">
        <v>20.548</v>
      </c>
      <c r="N29" s="0" t="n">
        <v>1.904</v>
      </c>
      <c r="O29" s="0" t="n">
        <v>0.01904</v>
      </c>
      <c r="P29" s="0" t="n">
        <v>0.01904</v>
      </c>
      <c r="R29" s="0" t="n">
        <v>20.1626</v>
      </c>
      <c r="S29" s="0" t="n">
        <v>2.43</v>
      </c>
      <c r="T29" s="0" t="n">
        <v>0.0243</v>
      </c>
      <c r="U29" s="0" t="n">
        <v>0.02336</v>
      </c>
      <c r="W29" s="0" t="n">
        <v>22.1977</v>
      </c>
      <c r="X29" s="0" t="n">
        <v>2.199</v>
      </c>
      <c r="Y29" s="0" t="n">
        <v>0.02199</v>
      </c>
      <c r="Z29" s="0" t="n">
        <v>0.02064</v>
      </c>
    </row>
    <row r="30" customFormat="false" ht="16" hidden="false" customHeight="false" outlineLevel="0" collapsed="false">
      <c r="A30" s="0" t="s">
        <v>53</v>
      </c>
      <c r="B30" s="23" t="s">
        <v>140</v>
      </c>
      <c r="C30" s="0" t="n">
        <v>23.8994</v>
      </c>
      <c r="D30" s="0" t="n">
        <v>2.218</v>
      </c>
      <c r="E30" s="0" t="n">
        <v>0.02218</v>
      </c>
      <c r="F30" s="0" t="n">
        <v>0.02218</v>
      </c>
      <c r="H30" s="0" t="n">
        <v>25.0892</v>
      </c>
      <c r="I30" s="0" t="n">
        <v>2.097</v>
      </c>
      <c r="J30" s="0" t="n">
        <v>0.02097</v>
      </c>
      <c r="K30" s="0" t="n">
        <v>0.02097</v>
      </c>
      <c r="M30" s="0" t="n">
        <v>24.46</v>
      </c>
      <c r="N30" s="0" t="n">
        <v>1.901</v>
      </c>
      <c r="O30" s="0" t="n">
        <v>0.01901</v>
      </c>
      <c r="P30" s="0" t="n">
        <v>0.01901</v>
      </c>
      <c r="R30" s="0" t="n">
        <v>24.0266</v>
      </c>
      <c r="S30" s="0" t="n">
        <v>2.402</v>
      </c>
      <c r="T30" s="0" t="n">
        <v>0.02402</v>
      </c>
      <c r="U30" s="0" t="n">
        <v>0.02269</v>
      </c>
      <c r="W30" s="0" t="n">
        <v>26.5891</v>
      </c>
      <c r="X30" s="0" t="n">
        <v>2.259</v>
      </c>
      <c r="Y30" s="0" t="n">
        <v>0.02259</v>
      </c>
      <c r="Z30" s="0" t="n">
        <v>0.02259</v>
      </c>
    </row>
    <row r="31" customFormat="false" ht="16" hidden="false" customHeight="false" outlineLevel="0" collapsed="false">
      <c r="A31" s="0" t="s">
        <v>53</v>
      </c>
      <c r="B31" s="23" t="s">
        <v>347</v>
      </c>
      <c r="C31" s="0" t="n">
        <v>18.4829</v>
      </c>
      <c r="D31" s="0" t="n">
        <v>2.256</v>
      </c>
      <c r="E31" s="0" t="n">
        <v>0.02256</v>
      </c>
      <c r="F31" s="0" t="n">
        <v>0.02256</v>
      </c>
      <c r="H31" s="0" t="n">
        <v>18.2052</v>
      </c>
      <c r="I31" s="0" t="n">
        <v>2.118</v>
      </c>
      <c r="J31" s="0" t="n">
        <v>0.02118</v>
      </c>
      <c r="K31" s="0" t="n">
        <v>0.02188</v>
      </c>
      <c r="M31" s="0" t="n">
        <v>19.136</v>
      </c>
      <c r="N31" s="0" t="n">
        <v>1.909</v>
      </c>
      <c r="O31" s="0" t="n">
        <v>0.01909</v>
      </c>
      <c r="P31" s="0" t="n">
        <v>0.01842</v>
      </c>
      <c r="R31" s="0" t="n">
        <v>18.6508</v>
      </c>
      <c r="S31" s="0" t="n">
        <v>2.41</v>
      </c>
      <c r="T31" s="0" t="n">
        <v>0.0241</v>
      </c>
      <c r="U31" s="0" t="n">
        <v>0.02414</v>
      </c>
      <c r="W31" s="0" t="n">
        <v>20.5441</v>
      </c>
      <c r="X31" s="0" t="n">
        <v>2.184</v>
      </c>
      <c r="Y31" s="0" t="n">
        <v>0.02184</v>
      </c>
      <c r="Z31" s="0" t="n">
        <v>0.02184</v>
      </c>
    </row>
    <row r="32" customFormat="false" ht="16" hidden="false" customHeight="false" outlineLevel="0" collapsed="false">
      <c r="A32" s="0" t="s">
        <v>53</v>
      </c>
      <c r="B32" s="23" t="s">
        <v>350</v>
      </c>
      <c r="C32" s="0" t="n">
        <v>20.5547</v>
      </c>
      <c r="D32" s="0" t="n">
        <v>2.25</v>
      </c>
      <c r="E32" s="0" t="n">
        <v>0.0225</v>
      </c>
      <c r="F32" s="0" t="n">
        <v>0.02294</v>
      </c>
      <c r="H32" s="0" t="n">
        <v>20.8729</v>
      </c>
      <c r="I32" s="0" t="n">
        <v>2.111</v>
      </c>
      <c r="J32" s="0" t="n">
        <v>0.02111</v>
      </c>
      <c r="K32" s="0" t="n">
        <v>0.02111</v>
      </c>
      <c r="M32" s="0" t="n">
        <v>21.19</v>
      </c>
      <c r="N32" s="0" t="n">
        <v>1.898</v>
      </c>
      <c r="O32" s="0" t="n">
        <v>0.01898</v>
      </c>
      <c r="P32" s="0" t="n">
        <v>0.01898</v>
      </c>
      <c r="R32" s="0" t="n">
        <v>20.7339</v>
      </c>
      <c r="S32" s="0" t="n">
        <v>2.449</v>
      </c>
      <c r="T32" s="0" t="n">
        <v>0.02449</v>
      </c>
      <c r="U32" s="0" t="n">
        <v>0.02449</v>
      </c>
      <c r="W32" s="0" t="n">
        <v>22.878</v>
      </c>
      <c r="X32" s="0" t="n">
        <v>2.21</v>
      </c>
      <c r="Y32" s="0" t="n">
        <v>0.0221</v>
      </c>
      <c r="Z32" s="0" t="n">
        <v>0.0221</v>
      </c>
    </row>
    <row r="33" customFormat="false" ht="16" hidden="false" customHeight="false" outlineLevel="0" collapsed="false">
      <c r="A33" s="0" t="s">
        <v>53</v>
      </c>
      <c r="B33" s="23" t="s">
        <v>352</v>
      </c>
      <c r="C33" s="0" t="n">
        <v>19.1228</v>
      </c>
      <c r="D33" s="0" t="n">
        <v>2.204</v>
      </c>
      <c r="E33" s="0" t="n">
        <v>0.02204</v>
      </c>
      <c r="F33" s="0" t="n">
        <v>0.02204</v>
      </c>
      <c r="H33" s="0" t="n">
        <v>19.1201</v>
      </c>
      <c r="I33" s="0" t="n">
        <v>2.121</v>
      </c>
      <c r="J33" s="0" t="n">
        <v>0.02121</v>
      </c>
      <c r="K33" s="0" t="n">
        <v>0.02121</v>
      </c>
      <c r="M33" s="0" t="n">
        <v>19.844</v>
      </c>
      <c r="N33" s="0" t="n">
        <v>1.914</v>
      </c>
      <c r="O33" s="0" t="n">
        <v>0.01914</v>
      </c>
      <c r="P33" s="0" t="n">
        <v>0.01874</v>
      </c>
      <c r="R33" s="0" t="n">
        <v>19.3439</v>
      </c>
      <c r="S33" s="0" t="n">
        <v>2.428</v>
      </c>
      <c r="T33" s="0" t="n">
        <v>0.02428</v>
      </c>
      <c r="U33" s="0" t="n">
        <v>0.02428</v>
      </c>
      <c r="W33" s="0" t="n">
        <v>21.3713</v>
      </c>
      <c r="X33" s="0" t="n">
        <v>2.194</v>
      </c>
      <c r="Y33" s="0" t="n">
        <v>0.02194</v>
      </c>
      <c r="Z33" s="0" t="n">
        <v>0.02194</v>
      </c>
    </row>
    <row r="34" customFormat="false" ht="16" hidden="false" customHeight="false" outlineLevel="0" collapsed="false">
      <c r="A34" s="0" t="s">
        <v>53</v>
      </c>
      <c r="B34" s="23" t="s">
        <v>354</v>
      </c>
      <c r="C34" s="0" t="n">
        <v>22.5554</v>
      </c>
      <c r="D34" s="0" t="n">
        <v>2.239</v>
      </c>
      <c r="E34" s="0" t="n">
        <v>0.02239</v>
      </c>
      <c r="F34" s="0" t="n">
        <v>0.02239</v>
      </c>
      <c r="H34" s="0" t="n">
        <v>23.4516</v>
      </c>
      <c r="I34" s="0" t="n">
        <v>2.11</v>
      </c>
      <c r="J34" s="0" t="n">
        <v>0.0211</v>
      </c>
      <c r="K34" s="0" t="n">
        <v>0.0211</v>
      </c>
      <c r="M34" s="0" t="n">
        <v>23.153</v>
      </c>
      <c r="N34" s="0" t="n">
        <v>1.921</v>
      </c>
      <c r="O34" s="0" t="n">
        <v>0.01921</v>
      </c>
      <c r="P34" s="0" t="n">
        <v>0.01921</v>
      </c>
      <c r="R34" s="0" t="n">
        <v>22.7311</v>
      </c>
      <c r="S34" s="0" t="n">
        <v>2.395</v>
      </c>
      <c r="T34" s="0" t="n">
        <v>0.02395</v>
      </c>
      <c r="U34" s="0" t="n">
        <v>0.02395</v>
      </c>
      <c r="W34" s="0" t="n">
        <v>25.1159</v>
      </c>
      <c r="X34" s="0" t="n">
        <v>2.222</v>
      </c>
      <c r="Y34" s="0" t="n">
        <v>0.02222</v>
      </c>
      <c r="Z34" s="0" t="n">
        <v>0.02256</v>
      </c>
    </row>
    <row r="35" customFormat="false" ht="16" hidden="false" customHeight="false" outlineLevel="0" collapsed="false">
      <c r="A35" s="0" t="s">
        <v>53</v>
      </c>
      <c r="B35" s="23" t="s">
        <v>320</v>
      </c>
      <c r="C35" s="0" t="n">
        <v>17.7529</v>
      </c>
      <c r="D35" s="0" t="n">
        <v>2.232</v>
      </c>
      <c r="E35" s="0" t="n">
        <v>0.02232</v>
      </c>
      <c r="F35" s="0" t="n">
        <v>0.02232</v>
      </c>
      <c r="H35" s="0" t="n">
        <v>17.2678</v>
      </c>
      <c r="I35" s="0" t="n">
        <v>2.121</v>
      </c>
      <c r="J35" s="0" t="n">
        <v>0.02121</v>
      </c>
      <c r="K35" s="0" t="n">
        <v>0.02121</v>
      </c>
      <c r="M35" s="0" t="n">
        <v>18.384</v>
      </c>
      <c r="N35" s="0" t="n">
        <v>1.916</v>
      </c>
      <c r="O35" s="0" t="n">
        <v>0.01916</v>
      </c>
      <c r="P35" s="0" t="n">
        <v>0.01916</v>
      </c>
      <c r="R35" s="0" t="n">
        <v>17.9248</v>
      </c>
      <c r="S35" s="0" t="n">
        <v>2.434</v>
      </c>
      <c r="T35" s="0" t="n">
        <v>0.02434</v>
      </c>
      <c r="U35" s="0" t="n">
        <v>0.02434</v>
      </c>
      <c r="W35" s="0" t="n">
        <v>19.7561</v>
      </c>
      <c r="X35" s="0" t="n">
        <v>2.193</v>
      </c>
      <c r="Y35" s="0" t="n">
        <v>0.02193</v>
      </c>
      <c r="Z35" s="0" t="n">
        <v>0.02193</v>
      </c>
    </row>
    <row r="36" customFormat="false" ht="16" hidden="false" customHeight="false" outlineLevel="0" collapsed="false">
      <c r="A36" s="0" t="s">
        <v>53</v>
      </c>
      <c r="B36" s="23" t="s">
        <v>324</v>
      </c>
      <c r="C36" s="0" t="n">
        <v>16.4092</v>
      </c>
      <c r="D36" s="0" t="n">
        <v>2.223</v>
      </c>
      <c r="E36" s="0" t="n">
        <v>0.02223</v>
      </c>
      <c r="F36" s="0" t="n">
        <v>0.02223</v>
      </c>
      <c r="H36" s="0" t="n">
        <v>15.6399</v>
      </c>
      <c r="I36" s="0" t="n">
        <v>2.124</v>
      </c>
      <c r="J36" s="0" t="n">
        <v>0.02124</v>
      </c>
      <c r="K36" s="0" t="n">
        <v>0.02124</v>
      </c>
      <c r="M36" s="0" t="n">
        <v>17.105</v>
      </c>
      <c r="N36" s="0" t="n">
        <v>1.901</v>
      </c>
      <c r="O36" s="0" t="n">
        <v>0.01901</v>
      </c>
      <c r="P36" s="0" t="n">
        <v>0.01901</v>
      </c>
      <c r="R36" s="0" t="n">
        <v>16.692</v>
      </c>
      <c r="S36" s="0" t="n">
        <v>2.441</v>
      </c>
      <c r="T36" s="0" t="n">
        <v>0.02441</v>
      </c>
      <c r="U36" s="0" t="n">
        <v>0.0248</v>
      </c>
      <c r="W36" s="0" t="n">
        <v>18.317</v>
      </c>
      <c r="X36" s="0" t="n">
        <v>2.198</v>
      </c>
      <c r="Y36" s="0" t="n">
        <v>0.02198</v>
      </c>
      <c r="Z36" s="0" t="n">
        <v>0.02198</v>
      </c>
    </row>
    <row r="37" customFormat="false" ht="16" hidden="false" customHeight="false" outlineLevel="0" collapsed="false">
      <c r="A37" s="0" t="s">
        <v>53</v>
      </c>
      <c r="B37" s="23" t="s">
        <v>328</v>
      </c>
      <c r="C37" s="0" t="n">
        <v>17.1526</v>
      </c>
      <c r="D37" s="0" t="n">
        <v>2.254</v>
      </c>
      <c r="E37" s="0" t="n">
        <v>0.02254</v>
      </c>
      <c r="F37" s="0" t="n">
        <v>0.02254</v>
      </c>
      <c r="H37" s="0" t="n">
        <v>16.5484</v>
      </c>
      <c r="I37" s="0" t="n">
        <v>2.129</v>
      </c>
      <c r="J37" s="0" t="n">
        <v>0.02129</v>
      </c>
      <c r="K37" s="0" t="n">
        <v>0.02129</v>
      </c>
      <c r="M37" s="0" t="n">
        <v>17.87</v>
      </c>
      <c r="N37" s="0" t="n">
        <v>1.909</v>
      </c>
      <c r="O37" s="0" t="n">
        <v>0.01909</v>
      </c>
      <c r="P37" s="0" t="n">
        <v>0.01909</v>
      </c>
      <c r="R37" s="0" t="n">
        <v>17.3771</v>
      </c>
      <c r="S37" s="0" t="n">
        <v>2.419</v>
      </c>
      <c r="T37" s="0" t="n">
        <v>0.02419</v>
      </c>
      <c r="U37" s="0" t="n">
        <v>0.02419</v>
      </c>
      <c r="W37" s="0" t="n">
        <v>19.1707</v>
      </c>
      <c r="X37" s="0" t="n">
        <v>2.183</v>
      </c>
      <c r="Y37" s="0" t="n">
        <v>0.02183</v>
      </c>
      <c r="Z37" s="0" t="n">
        <v>0.02183</v>
      </c>
    </row>
    <row r="38" customFormat="false" ht="16" hidden="false" customHeight="false" outlineLevel="0" collapsed="false">
      <c r="A38" s="0" t="s">
        <v>53</v>
      </c>
      <c r="B38" s="23" t="s">
        <v>330</v>
      </c>
      <c r="C38" s="0" t="n">
        <v>25.919</v>
      </c>
      <c r="D38" s="0" t="n">
        <v>2.242</v>
      </c>
      <c r="E38" s="0" t="n">
        <v>0.02242</v>
      </c>
      <c r="F38" s="0" t="n">
        <v>0.02242</v>
      </c>
      <c r="H38" s="0" t="n">
        <v>27.6776</v>
      </c>
      <c r="I38" s="0" t="n">
        <v>2.118</v>
      </c>
      <c r="J38" s="0" t="n">
        <v>0.02118</v>
      </c>
      <c r="K38" s="0" t="n">
        <v>0.02118</v>
      </c>
      <c r="M38" s="0" t="n">
        <v>26.479</v>
      </c>
      <c r="N38" s="0" t="n">
        <v>1.909</v>
      </c>
      <c r="O38" s="0" t="n">
        <v>0.01909</v>
      </c>
      <c r="P38" s="0" t="n">
        <v>0.01909</v>
      </c>
      <c r="R38" s="0" t="n">
        <v>26.0265</v>
      </c>
      <c r="S38" s="0" t="n">
        <v>2.435</v>
      </c>
      <c r="T38" s="0" t="n">
        <v>0.02435</v>
      </c>
      <c r="U38" s="0" t="n">
        <v>0.02435</v>
      </c>
      <c r="W38" s="0" t="n">
        <v>28.8859</v>
      </c>
      <c r="X38" s="0" t="n">
        <v>2.237</v>
      </c>
      <c r="Y38" s="0" t="n">
        <v>0.02237</v>
      </c>
      <c r="Z38" s="0" t="n">
        <v>0.02274</v>
      </c>
    </row>
    <row r="39" customFormat="false" ht="16" hidden="false" customHeight="false" outlineLevel="0" collapsed="false">
      <c r="A39" s="0" t="s">
        <v>53</v>
      </c>
      <c r="B39" s="23" t="s">
        <v>333</v>
      </c>
      <c r="C39" s="0" t="n">
        <v>24.7631</v>
      </c>
      <c r="D39" s="0" t="n">
        <v>2.237</v>
      </c>
      <c r="E39" s="0" t="n">
        <v>0.02237</v>
      </c>
      <c r="F39" s="0" t="n">
        <v>0.02159</v>
      </c>
      <c r="H39" s="0" t="n">
        <v>26.251</v>
      </c>
      <c r="I39" s="0" t="n">
        <v>2.122</v>
      </c>
      <c r="J39" s="0" t="n">
        <v>0.02122</v>
      </c>
      <c r="K39" s="0" t="n">
        <v>0.02122</v>
      </c>
      <c r="M39" s="0" t="n">
        <v>25.394</v>
      </c>
      <c r="N39" s="0" t="n">
        <v>1.915</v>
      </c>
      <c r="O39" s="0" t="n">
        <v>0.01915</v>
      </c>
      <c r="P39" s="0" t="n">
        <v>0.01933</v>
      </c>
      <c r="R39" s="0" t="n">
        <v>24.9088</v>
      </c>
      <c r="S39" s="0" t="n">
        <v>2.421</v>
      </c>
      <c r="T39" s="0" t="n">
        <v>0.02421</v>
      </c>
      <c r="U39" s="0" t="n">
        <v>0.02421</v>
      </c>
      <c r="W39" s="0" t="n">
        <v>27.6173</v>
      </c>
      <c r="X39" s="0" t="n">
        <v>2.243</v>
      </c>
      <c r="Y39" s="0" t="n">
        <v>0.02243</v>
      </c>
      <c r="Z39" s="0" t="n">
        <v>0.02325</v>
      </c>
    </row>
    <row r="40" customFormat="false" ht="16" hidden="false" customHeight="false" outlineLevel="0" collapsed="false">
      <c r="A40" s="0" t="s">
        <v>53</v>
      </c>
      <c r="B40" s="23" t="s">
        <v>335</v>
      </c>
      <c r="C40" s="0" t="n">
        <v>24.8643</v>
      </c>
      <c r="D40" s="0" t="n">
        <v>2.192</v>
      </c>
      <c r="E40" s="0" t="n">
        <v>0.02192</v>
      </c>
      <c r="F40" s="0" t="n">
        <v>0.02246</v>
      </c>
      <c r="H40" s="0" t="n">
        <v>26.3506</v>
      </c>
      <c r="I40" s="0" t="n">
        <v>2.1</v>
      </c>
      <c r="J40" s="0" t="n">
        <v>0.021</v>
      </c>
      <c r="K40" s="0" t="n">
        <v>0.02137</v>
      </c>
      <c r="M40" s="0" t="n">
        <v>25.418</v>
      </c>
      <c r="N40" s="0" t="n">
        <v>1.896</v>
      </c>
      <c r="O40" s="0" t="n">
        <v>0.01896</v>
      </c>
      <c r="P40" s="0" t="n">
        <v>0.01896</v>
      </c>
      <c r="R40" s="0" t="n">
        <v>24.9493</v>
      </c>
      <c r="S40" s="0" t="n">
        <v>2.423</v>
      </c>
      <c r="T40" s="0" t="n">
        <v>0.02423</v>
      </c>
      <c r="U40" s="0" t="n">
        <v>0.02423</v>
      </c>
      <c r="W40" s="0" t="n">
        <v>27.7132</v>
      </c>
      <c r="X40" s="0" t="n">
        <v>2.241</v>
      </c>
      <c r="Y40" s="0" t="n">
        <v>0.02241</v>
      </c>
      <c r="Z40" s="0" t="n">
        <v>0.02267</v>
      </c>
    </row>
    <row r="41" customFormat="false" ht="16" hidden="false" customHeight="false" outlineLevel="0" collapsed="false">
      <c r="A41" s="0" t="s">
        <v>53</v>
      </c>
      <c r="B41" s="23" t="s">
        <v>336</v>
      </c>
      <c r="C41" s="0" t="n">
        <v>11.2143</v>
      </c>
      <c r="D41" s="0" t="n">
        <v>2.247</v>
      </c>
      <c r="E41" s="0" t="n">
        <v>0.02247</v>
      </c>
      <c r="F41" s="0" t="n">
        <v>0.02247</v>
      </c>
      <c r="H41" s="0" t="n">
        <v>8.9887</v>
      </c>
      <c r="I41" s="0" t="n">
        <v>2.208</v>
      </c>
      <c r="J41" s="0" t="n">
        <v>0.02208</v>
      </c>
      <c r="K41" s="0" t="n">
        <v>0.0224</v>
      </c>
      <c r="M41" s="0" t="n">
        <v>11.98</v>
      </c>
      <c r="N41" s="0" t="n">
        <v>1.929</v>
      </c>
      <c r="O41" s="0" t="n">
        <v>0.01929</v>
      </c>
      <c r="P41" s="0" t="n">
        <v>0.02024</v>
      </c>
      <c r="R41" s="0" t="n">
        <v>11.5432</v>
      </c>
      <c r="S41" s="0" t="n">
        <v>2.412</v>
      </c>
      <c r="T41" s="0" t="n">
        <v>0.02412</v>
      </c>
      <c r="U41" s="0" t="n">
        <v>0.02486</v>
      </c>
      <c r="W41" s="0" t="n">
        <v>12.467</v>
      </c>
      <c r="X41" s="0" t="n">
        <v>2.135</v>
      </c>
      <c r="Y41" s="0" t="n">
        <v>0.02135</v>
      </c>
      <c r="Z41" s="0" t="n">
        <v>0.02135</v>
      </c>
    </row>
    <row r="42" customFormat="false" ht="16" hidden="false" customHeight="false" outlineLevel="0" collapsed="false">
      <c r="A42" s="0" t="s">
        <v>53</v>
      </c>
      <c r="B42" s="23" t="s">
        <v>205</v>
      </c>
      <c r="C42" s="0" t="n">
        <v>19.7575</v>
      </c>
      <c r="D42" s="0" t="n">
        <v>2.245</v>
      </c>
      <c r="E42" s="0" t="n">
        <v>0.02245</v>
      </c>
      <c r="F42" s="0" t="n">
        <v>0.02245</v>
      </c>
      <c r="H42" s="0" t="n">
        <v>19.8913</v>
      </c>
      <c r="I42" s="0" t="n">
        <v>2.094</v>
      </c>
      <c r="J42" s="0" t="n">
        <v>0.02094</v>
      </c>
      <c r="K42" s="0" t="n">
        <v>0.0206</v>
      </c>
      <c r="M42" s="0" t="n">
        <v>20.427</v>
      </c>
      <c r="N42" s="0" t="n">
        <v>1.897</v>
      </c>
      <c r="O42" s="0" t="n">
        <v>0.01897</v>
      </c>
      <c r="P42" s="0" t="n">
        <v>0.01805</v>
      </c>
      <c r="R42" s="0" t="n">
        <v>19.9872</v>
      </c>
      <c r="S42" s="0" t="n">
        <v>2.456</v>
      </c>
      <c r="T42" s="0" t="n">
        <v>0.02456</v>
      </c>
      <c r="U42" s="0" t="n">
        <v>0.02456</v>
      </c>
      <c r="W42" s="0" t="n">
        <v>22.025</v>
      </c>
      <c r="X42" s="0" t="n">
        <v>2.184</v>
      </c>
      <c r="Y42" s="0" t="n">
        <v>0.02184</v>
      </c>
      <c r="Z42" s="0" t="n">
        <v>0.02184</v>
      </c>
    </row>
    <row r="43" customFormat="false" ht="16" hidden="false" customHeight="false" outlineLevel="0" collapsed="false">
      <c r="A43" s="0" t="s">
        <v>53</v>
      </c>
      <c r="B43" s="23" t="s">
        <v>209</v>
      </c>
      <c r="C43" s="0" t="n">
        <v>24.1501</v>
      </c>
      <c r="D43" s="0" t="n">
        <v>2.217</v>
      </c>
      <c r="E43" s="0" t="n">
        <v>0.02217</v>
      </c>
      <c r="F43" s="0" t="n">
        <v>0.02217</v>
      </c>
      <c r="H43" s="0" t="n">
        <v>25.4307</v>
      </c>
      <c r="I43" s="0" t="n">
        <v>2.102</v>
      </c>
      <c r="J43" s="0" t="n">
        <v>0.02102</v>
      </c>
      <c r="K43" s="0" t="n">
        <v>0.02102</v>
      </c>
      <c r="M43" s="0" t="n">
        <v>24.701</v>
      </c>
      <c r="N43" s="0" t="n">
        <v>1.907</v>
      </c>
      <c r="O43" s="0" t="n">
        <v>0.01907</v>
      </c>
      <c r="P43" s="0" t="n">
        <v>0.01907</v>
      </c>
      <c r="R43" s="0" t="n">
        <v>24.2975</v>
      </c>
      <c r="S43" s="0" t="n">
        <v>2.422</v>
      </c>
      <c r="T43" s="0" t="n">
        <v>0.02422</v>
      </c>
      <c r="U43" s="0" t="n">
        <v>0.02436</v>
      </c>
      <c r="W43" s="0" t="n">
        <v>26.9284</v>
      </c>
      <c r="X43" s="0" t="n">
        <v>2.243</v>
      </c>
      <c r="Y43" s="0" t="n">
        <v>0.02243</v>
      </c>
      <c r="Z43" s="0" t="n">
        <v>0.02243</v>
      </c>
    </row>
    <row r="44" customFormat="false" ht="16" hidden="false" customHeight="false" outlineLevel="0" collapsed="false">
      <c r="A44" s="0" t="s">
        <v>53</v>
      </c>
      <c r="B44" s="23" t="s">
        <v>210</v>
      </c>
      <c r="C44" s="0" t="n">
        <v>22.4693</v>
      </c>
      <c r="D44" s="0" t="n">
        <v>2.243</v>
      </c>
      <c r="E44" s="0" t="n">
        <v>0.02243</v>
      </c>
      <c r="F44" s="0" t="n">
        <v>0.02243</v>
      </c>
      <c r="H44" s="0" t="n">
        <v>23.258</v>
      </c>
      <c r="I44" s="0" t="n">
        <v>2.124</v>
      </c>
      <c r="J44" s="0" t="n">
        <v>0.02124</v>
      </c>
      <c r="K44" s="0" t="n">
        <v>0.02092</v>
      </c>
      <c r="M44" s="0" t="n">
        <v>23.065</v>
      </c>
      <c r="N44" s="0" t="n">
        <v>1.888</v>
      </c>
      <c r="O44" s="0" t="n">
        <v>0.01888</v>
      </c>
      <c r="P44" s="0" t="n">
        <v>0.01888</v>
      </c>
      <c r="R44" s="0" t="n">
        <v>22.5684</v>
      </c>
      <c r="S44" s="0" t="n">
        <v>2.442</v>
      </c>
      <c r="T44" s="0" t="n">
        <v>0.02442</v>
      </c>
      <c r="U44" s="0" t="n">
        <v>0.02442</v>
      </c>
      <c r="W44" s="0" t="n">
        <v>25.0066</v>
      </c>
      <c r="X44" s="0" t="n">
        <v>2.205</v>
      </c>
      <c r="Y44" s="0" t="n">
        <v>0.02205</v>
      </c>
      <c r="Z44" s="0" t="n">
        <v>0.02182</v>
      </c>
    </row>
    <row r="45" customFormat="false" ht="16" hidden="false" customHeight="false" outlineLevel="0" collapsed="false">
      <c r="A45" s="0" t="s">
        <v>53</v>
      </c>
      <c r="B45" s="23" t="s">
        <v>212</v>
      </c>
      <c r="C45" s="0" t="n">
        <v>17.8225</v>
      </c>
      <c r="D45" s="0" t="n">
        <v>2.21</v>
      </c>
      <c r="E45" s="0" t="n">
        <v>0.0221</v>
      </c>
      <c r="F45" s="0" t="n">
        <v>0.0221</v>
      </c>
      <c r="H45" s="0" t="n">
        <v>17.4066</v>
      </c>
      <c r="I45" s="0" t="n">
        <v>2.151</v>
      </c>
      <c r="J45" s="0" t="n">
        <v>0.02151</v>
      </c>
      <c r="K45" s="0" t="n">
        <v>0.02151</v>
      </c>
      <c r="M45" s="0" t="n">
        <v>18.493</v>
      </c>
      <c r="N45" s="0" t="n">
        <v>1.931</v>
      </c>
      <c r="O45" s="0" t="n">
        <v>0.01931</v>
      </c>
      <c r="P45" s="0" t="n">
        <v>0.01991</v>
      </c>
      <c r="R45" s="0" t="n">
        <v>18.0479</v>
      </c>
      <c r="S45" s="0" t="n">
        <v>2.441</v>
      </c>
      <c r="T45" s="0" t="n">
        <v>0.02441</v>
      </c>
      <c r="U45" s="0" t="n">
        <v>0.02441</v>
      </c>
      <c r="W45" s="0" t="n">
        <v>19.8654</v>
      </c>
      <c r="X45" s="0" t="n">
        <v>2.179</v>
      </c>
      <c r="Y45" s="0" t="n">
        <v>0.02179</v>
      </c>
      <c r="Z45" s="0" t="n">
        <v>0.02179</v>
      </c>
    </row>
    <row r="46" customFormat="false" ht="16" hidden="false" customHeight="false" outlineLevel="0" collapsed="false">
      <c r="A46" s="0" t="s">
        <v>53</v>
      </c>
      <c r="B46" s="23" t="s">
        <v>213</v>
      </c>
      <c r="C46" s="0" t="n">
        <v>21.3234</v>
      </c>
      <c r="D46" s="0" t="n">
        <v>2.21</v>
      </c>
      <c r="E46" s="0" t="n">
        <v>0.0221</v>
      </c>
      <c r="F46" s="0" t="n">
        <v>0.0221</v>
      </c>
      <c r="H46" s="0" t="n">
        <v>21.8742</v>
      </c>
      <c r="I46" s="0" t="n">
        <v>2.102</v>
      </c>
      <c r="J46" s="0" t="n">
        <v>0.02102</v>
      </c>
      <c r="K46" s="0" t="n">
        <v>0.02102</v>
      </c>
      <c r="M46" s="0" t="n">
        <v>21.975</v>
      </c>
      <c r="N46" s="0" t="n">
        <v>1.921</v>
      </c>
      <c r="O46" s="0" t="n">
        <v>0.01921</v>
      </c>
      <c r="P46" s="0" t="n">
        <v>0.01921</v>
      </c>
      <c r="R46" s="0" t="n">
        <v>21.4868</v>
      </c>
      <c r="S46" s="0" t="n">
        <v>2.4</v>
      </c>
      <c r="T46" s="0" t="n">
        <v>0.024</v>
      </c>
      <c r="U46" s="0" t="n">
        <v>0.024</v>
      </c>
      <c r="W46" s="0" t="n">
        <v>23.7533</v>
      </c>
      <c r="X46" s="0" t="n">
        <v>2.216</v>
      </c>
      <c r="Y46" s="0" t="n">
        <v>0.02216</v>
      </c>
      <c r="Z46" s="0" t="n">
        <v>0.02258</v>
      </c>
    </row>
    <row r="47" customFormat="false" ht="16" hidden="false" customHeight="false" outlineLevel="0" collapsed="false">
      <c r="A47" s="0" t="s">
        <v>53</v>
      </c>
      <c r="B47" s="23" t="s">
        <v>216</v>
      </c>
      <c r="C47" s="0" t="n">
        <v>25.2284</v>
      </c>
      <c r="D47" s="0" t="n">
        <v>2.245</v>
      </c>
      <c r="E47" s="0" t="n">
        <v>0.02245</v>
      </c>
      <c r="F47" s="0" t="n">
        <v>0.02245</v>
      </c>
      <c r="H47" s="0" t="n">
        <v>26.7939</v>
      </c>
      <c r="I47" s="0" t="n">
        <v>2.112</v>
      </c>
      <c r="J47" s="0" t="n">
        <v>0.02112</v>
      </c>
      <c r="K47" s="0" t="n">
        <v>0.02112</v>
      </c>
      <c r="M47" s="0" t="n">
        <v>25.785</v>
      </c>
      <c r="N47" s="0" t="n">
        <v>1.907</v>
      </c>
      <c r="O47" s="0" t="n">
        <v>0.01907</v>
      </c>
      <c r="P47" s="0" t="n">
        <v>0.01907</v>
      </c>
      <c r="R47" s="0" t="n">
        <v>25.3746</v>
      </c>
      <c r="S47" s="0" t="n">
        <v>2.427</v>
      </c>
      <c r="T47" s="0" t="n">
        <v>0.02427</v>
      </c>
      <c r="U47" s="0" t="n">
        <v>0.02427</v>
      </c>
      <c r="W47" s="0" t="n">
        <v>28.1206</v>
      </c>
      <c r="X47" s="0" t="n">
        <v>2.221</v>
      </c>
      <c r="Y47" s="0" t="n">
        <v>0.02221</v>
      </c>
      <c r="Z47" s="0" t="n">
        <v>0.0219</v>
      </c>
    </row>
    <row r="48" customFormat="false" ht="16" hidden="false" customHeight="false" outlineLevel="0" collapsed="false">
      <c r="A48" s="0" t="s">
        <v>53</v>
      </c>
      <c r="B48" s="23" t="s">
        <v>217</v>
      </c>
      <c r="C48" s="0" t="n">
        <v>19.2152</v>
      </c>
      <c r="D48" s="0" t="n">
        <v>2.202</v>
      </c>
      <c r="E48" s="0" t="n">
        <v>0.02202</v>
      </c>
      <c r="F48" s="0" t="n">
        <v>0.02203</v>
      </c>
      <c r="H48" s="0" t="n">
        <v>19.2096</v>
      </c>
      <c r="I48" s="0" t="n">
        <v>2.106</v>
      </c>
      <c r="J48" s="0" t="n">
        <v>0.02106</v>
      </c>
      <c r="K48" s="0" t="n">
        <v>0.02358</v>
      </c>
      <c r="M48" s="0" t="n">
        <v>19.866</v>
      </c>
      <c r="N48" s="0" t="n">
        <v>1.917</v>
      </c>
      <c r="O48" s="0" t="n">
        <v>0.01917</v>
      </c>
      <c r="P48" s="0" t="n">
        <v>0.01917</v>
      </c>
      <c r="R48" s="0" t="n">
        <v>19.4194</v>
      </c>
      <c r="S48" s="0" t="n">
        <v>2.436</v>
      </c>
      <c r="T48" s="0" t="n">
        <v>0.02436</v>
      </c>
      <c r="U48" s="0" t="n">
        <v>0.02436</v>
      </c>
      <c r="W48" s="0" t="n">
        <v>21.4202</v>
      </c>
      <c r="X48" s="0" t="n">
        <v>2.185</v>
      </c>
      <c r="Y48" s="0" t="n">
        <v>0.02185</v>
      </c>
      <c r="Z48" s="0" t="n">
        <v>0.02109</v>
      </c>
    </row>
    <row r="49" customFormat="false" ht="16" hidden="false" customHeight="false" outlineLevel="0" collapsed="false">
      <c r="A49" s="0" t="s">
        <v>53</v>
      </c>
      <c r="B49" s="23" t="s">
        <v>219</v>
      </c>
      <c r="C49" s="0" t="n">
        <v>23.3186</v>
      </c>
      <c r="D49" s="0" t="n">
        <v>2.222</v>
      </c>
      <c r="E49" s="0" t="n">
        <v>0.02222</v>
      </c>
      <c r="F49" s="0" t="n">
        <v>0.02222</v>
      </c>
      <c r="H49" s="0" t="n">
        <v>24.4149</v>
      </c>
      <c r="I49" s="0" t="n">
        <v>2.121</v>
      </c>
      <c r="J49" s="0" t="n">
        <v>0.02121</v>
      </c>
      <c r="K49" s="0" t="n">
        <v>0.02121</v>
      </c>
      <c r="M49" s="0" t="n">
        <v>23.913</v>
      </c>
      <c r="N49" s="0" t="n">
        <v>1.897</v>
      </c>
      <c r="O49" s="0" t="n">
        <v>0.01897</v>
      </c>
      <c r="P49" s="0" t="n">
        <v>0.01897</v>
      </c>
      <c r="R49" s="0" t="n">
        <v>23.5069</v>
      </c>
      <c r="S49" s="0" t="n">
        <v>2.4</v>
      </c>
      <c r="T49" s="0" t="n">
        <v>0.024</v>
      </c>
      <c r="U49" s="0" t="n">
        <v>0.024</v>
      </c>
      <c r="W49" s="0" t="n">
        <v>26.0036</v>
      </c>
      <c r="X49" s="0" t="n">
        <v>2.207</v>
      </c>
      <c r="Y49" s="0" t="n">
        <v>0.02207</v>
      </c>
      <c r="Z49" s="0" t="n">
        <v>0.02207</v>
      </c>
    </row>
    <row r="50" customFormat="false" ht="16" hidden="false" customHeight="false" outlineLevel="0" collapsed="false">
      <c r="A50" s="0" t="s">
        <v>53</v>
      </c>
      <c r="B50" s="23" t="s">
        <v>155</v>
      </c>
      <c r="C50" s="0" t="n">
        <v>26.3368</v>
      </c>
      <c r="D50" s="0" t="n">
        <v>2.247</v>
      </c>
      <c r="E50" s="0" t="n">
        <v>0.02247</v>
      </c>
      <c r="F50" s="0" t="n">
        <v>0.02311</v>
      </c>
      <c r="H50" s="0" t="n">
        <v>28.2376</v>
      </c>
      <c r="I50" s="0" t="n">
        <v>2.1</v>
      </c>
      <c r="J50" s="0" t="n">
        <v>0.021</v>
      </c>
      <c r="K50" s="0" t="n">
        <v>0.021</v>
      </c>
      <c r="M50" s="0" t="n">
        <v>26.852</v>
      </c>
      <c r="N50" s="0" t="n">
        <v>1.905</v>
      </c>
      <c r="O50" s="0" t="n">
        <v>0.01905</v>
      </c>
      <c r="P50" s="0" t="n">
        <v>0.01905</v>
      </c>
      <c r="R50" s="0" t="n">
        <v>26.4321</v>
      </c>
      <c r="S50" s="0" t="n">
        <v>2.43</v>
      </c>
      <c r="T50" s="0" t="n">
        <v>0.0243</v>
      </c>
      <c r="U50" s="0" t="n">
        <v>0.0243</v>
      </c>
      <c r="W50" s="0" t="n">
        <v>29.3403</v>
      </c>
      <c r="X50" s="0" t="n">
        <v>2.271</v>
      </c>
      <c r="Y50" s="0" t="n">
        <v>0.02271</v>
      </c>
      <c r="Z50" s="0" t="n">
        <v>0.02271</v>
      </c>
    </row>
    <row r="51" customFormat="false" ht="16" hidden="false" customHeight="false" outlineLevel="0" collapsed="false">
      <c r="A51" s="0" t="s">
        <v>53</v>
      </c>
      <c r="B51" s="23" t="s">
        <v>164</v>
      </c>
      <c r="C51" s="0" t="n">
        <v>23.606</v>
      </c>
      <c r="D51" s="0" t="n">
        <v>2.245</v>
      </c>
      <c r="E51" s="0" t="n">
        <v>0.02245</v>
      </c>
      <c r="F51" s="0" t="n">
        <v>0.02245</v>
      </c>
      <c r="H51" s="0" t="n">
        <v>24.6878</v>
      </c>
      <c r="I51" s="0" t="n">
        <v>2.102</v>
      </c>
      <c r="J51" s="0" t="n">
        <v>0.02102</v>
      </c>
      <c r="K51" s="0" t="n">
        <v>0.02102</v>
      </c>
      <c r="M51" s="0" t="n">
        <v>24.165</v>
      </c>
      <c r="N51" s="0" t="n">
        <v>1.892</v>
      </c>
      <c r="O51" s="0" t="n">
        <v>0.01892</v>
      </c>
      <c r="P51" s="0" t="n">
        <v>0.01892</v>
      </c>
      <c r="R51" s="0" t="n">
        <v>23.7256</v>
      </c>
      <c r="S51" s="0" t="n">
        <v>2.418</v>
      </c>
      <c r="T51" s="0" t="n">
        <v>0.02418</v>
      </c>
      <c r="U51" s="0" t="n">
        <v>0.02418</v>
      </c>
      <c r="W51" s="0" t="n">
        <v>26.2963</v>
      </c>
      <c r="X51" s="0" t="n">
        <v>2.189</v>
      </c>
      <c r="Y51" s="0" t="n">
        <v>0.02189</v>
      </c>
      <c r="Z51" s="0" t="n">
        <v>0.02234</v>
      </c>
    </row>
    <row r="52" customFormat="false" ht="16" hidden="false" customHeight="false" outlineLevel="0" collapsed="false">
      <c r="A52" s="0" t="s">
        <v>53</v>
      </c>
      <c r="B52" s="38" t="s">
        <v>147</v>
      </c>
      <c r="C52" s="0" t="n">
        <v>1.8891</v>
      </c>
      <c r="D52" s="0" t="n">
        <v>2.23</v>
      </c>
      <c r="E52" s="0" t="n">
        <v>0.0223</v>
      </c>
      <c r="F52" s="0" t="n">
        <v>0.0223</v>
      </c>
      <c r="H52" s="0" t="n">
        <v>-2.7684</v>
      </c>
      <c r="I52" s="0" t="n">
        <v>2.377</v>
      </c>
      <c r="J52" s="0" t="n">
        <v>0.02377</v>
      </c>
      <c r="K52" s="0" t="n">
        <v>0.02609</v>
      </c>
      <c r="M52" s="0" t="n">
        <v>2.872</v>
      </c>
      <c r="N52" s="0" t="n">
        <v>2.054</v>
      </c>
      <c r="O52" s="0" t="n">
        <v>0.02054</v>
      </c>
      <c r="P52" s="0" t="n">
        <v>0.01976</v>
      </c>
      <c r="R52" s="0" t="n">
        <v>2.3407</v>
      </c>
      <c r="S52" s="0" t="n">
        <v>2.429</v>
      </c>
      <c r="T52" s="0" t="n">
        <v>0.02429</v>
      </c>
      <c r="U52" s="0" t="n">
        <v>0.02395</v>
      </c>
      <c r="W52" s="0" t="n">
        <v>2.1027</v>
      </c>
      <c r="X52" s="0" t="n">
        <v>2.155</v>
      </c>
      <c r="Y52" s="0" t="n">
        <v>0.02155</v>
      </c>
      <c r="Z52" s="0" t="n">
        <v>0.02121</v>
      </c>
    </row>
    <row r="53" customFormat="false" ht="16" hidden="false" customHeight="false" outlineLevel="0" collapsed="false">
      <c r="A53" s="0" t="s">
        <v>53</v>
      </c>
      <c r="B53" s="23" t="s">
        <v>152</v>
      </c>
      <c r="C53" s="0" t="n">
        <v>2.0101</v>
      </c>
      <c r="D53" s="0" t="n">
        <v>2.212</v>
      </c>
      <c r="E53" s="0" t="n">
        <v>0.02212</v>
      </c>
      <c r="F53" s="0" t="n">
        <v>0.02212</v>
      </c>
      <c r="H53" s="0" t="n">
        <v>-2.6752</v>
      </c>
      <c r="I53" s="0" t="n">
        <v>2.38</v>
      </c>
      <c r="J53" s="0" t="n">
        <v>0.0238</v>
      </c>
      <c r="K53" s="0" t="n">
        <v>0.0249</v>
      </c>
      <c r="M53" s="0" t="n">
        <v>2.903</v>
      </c>
      <c r="N53" s="0" t="n">
        <v>1.995</v>
      </c>
      <c r="O53" s="0" t="n">
        <v>0.01995</v>
      </c>
      <c r="P53" s="0" t="n">
        <v>0.02061</v>
      </c>
      <c r="R53" s="0" t="n">
        <v>2.4532</v>
      </c>
      <c r="S53" s="0" t="n">
        <v>2.41</v>
      </c>
      <c r="T53" s="0" t="n">
        <v>0.0241</v>
      </c>
      <c r="U53" s="0" t="n">
        <v>0.0241</v>
      </c>
      <c r="W53" s="0" t="n">
        <v>2.1797</v>
      </c>
      <c r="X53" s="0" t="n">
        <v>2.145</v>
      </c>
      <c r="Y53" s="0" t="n">
        <v>0.02145</v>
      </c>
      <c r="Z53" s="0" t="n">
        <v>0.02145</v>
      </c>
    </row>
    <row r="54" customFormat="false" ht="16" hidden="false" customHeight="false" outlineLevel="0" collapsed="false">
      <c r="A54" s="0" t="s">
        <v>53</v>
      </c>
      <c r="B54" s="23" t="s">
        <v>316</v>
      </c>
      <c r="C54" s="0" t="n">
        <v>13.7708</v>
      </c>
      <c r="D54" s="0" t="n">
        <v>2.23</v>
      </c>
      <c r="E54" s="0" t="n">
        <v>0.0223</v>
      </c>
      <c r="F54" s="0" t="n">
        <v>0.0223</v>
      </c>
      <c r="H54" s="0" t="n">
        <v>12.2349</v>
      </c>
      <c r="I54" s="0" t="n">
        <v>2.148</v>
      </c>
      <c r="J54" s="0" t="n">
        <v>0.02148</v>
      </c>
      <c r="K54" s="0" t="n">
        <v>0.02148</v>
      </c>
      <c r="M54" s="0" t="n">
        <v>14.505</v>
      </c>
      <c r="N54" s="0" t="n">
        <v>1.919</v>
      </c>
      <c r="O54" s="0" t="n">
        <v>0.01919</v>
      </c>
      <c r="P54" s="0" t="n">
        <v>0.01919</v>
      </c>
      <c r="R54" s="0" t="n">
        <v>14.0312</v>
      </c>
      <c r="S54" s="0" t="n">
        <v>2.439</v>
      </c>
      <c r="T54" s="0" t="n">
        <v>0.02439</v>
      </c>
      <c r="U54" s="0" t="n">
        <v>0.02439</v>
      </c>
      <c r="W54" s="0" t="n">
        <v>15.2903</v>
      </c>
      <c r="X54" s="0" t="n">
        <v>2.18</v>
      </c>
      <c r="Y54" s="0" t="n">
        <v>0.0218</v>
      </c>
      <c r="Z54" s="0" t="n">
        <v>0.02212</v>
      </c>
    </row>
    <row r="55" customFormat="false" ht="16" hidden="false" customHeight="false" outlineLevel="0" collapsed="false">
      <c r="A55" s="0" t="s">
        <v>53</v>
      </c>
      <c r="B55" s="40" t="s">
        <v>167</v>
      </c>
      <c r="C55" s="0" t="n">
        <v>17.2487</v>
      </c>
      <c r="D55" s="0" t="n">
        <v>2.218</v>
      </c>
      <c r="E55" s="0" t="n">
        <v>0.02218</v>
      </c>
      <c r="F55" s="0" t="n">
        <v>0.02218</v>
      </c>
      <c r="H55" s="0" t="n">
        <v>16.6691</v>
      </c>
      <c r="I55" s="0" t="n">
        <v>2.148</v>
      </c>
      <c r="J55" s="0" t="n">
        <v>0.02148</v>
      </c>
      <c r="K55" s="0" t="n">
        <v>0.02212</v>
      </c>
      <c r="M55" s="0" t="n">
        <v>17.905</v>
      </c>
      <c r="N55" s="0" t="n">
        <v>1.887</v>
      </c>
      <c r="O55" s="0" t="n">
        <v>0.01887</v>
      </c>
      <c r="P55" s="0" t="n">
        <v>0.01887</v>
      </c>
      <c r="R55" s="0" t="n">
        <v>17.4711</v>
      </c>
      <c r="S55" s="0" t="n">
        <v>2.425</v>
      </c>
      <c r="T55" s="0" t="n">
        <v>0.02425</v>
      </c>
      <c r="U55" s="0" t="n">
        <v>0.02425</v>
      </c>
      <c r="W55" s="0" t="n">
        <v>19.1827</v>
      </c>
      <c r="X55" s="0" t="n">
        <v>2.176</v>
      </c>
      <c r="Y55" s="0" t="n">
        <v>0.02176</v>
      </c>
      <c r="Z55" s="0" t="n">
        <v>0.02176</v>
      </c>
    </row>
    <row r="56" customFormat="false" ht="16" hidden="false" customHeight="false" outlineLevel="0" collapsed="false">
      <c r="A56" s="0" t="s">
        <v>53</v>
      </c>
      <c r="B56" s="40" t="s">
        <v>199</v>
      </c>
      <c r="C56" s="0" t="n">
        <v>7.0663</v>
      </c>
      <c r="D56" s="0" t="n">
        <v>2.228</v>
      </c>
      <c r="E56" s="0" t="n">
        <v>0.02228</v>
      </c>
      <c r="F56" s="0" t="n">
        <v>0.02228</v>
      </c>
      <c r="H56" s="0" t="n">
        <v>3.7012</v>
      </c>
      <c r="I56" s="0" t="n">
        <v>2.236</v>
      </c>
      <c r="J56" s="0" t="n">
        <v>0.02236</v>
      </c>
      <c r="K56" s="0" t="n">
        <v>0.02324</v>
      </c>
      <c r="M56" s="0" t="n">
        <v>7.872</v>
      </c>
      <c r="N56" s="0" t="n">
        <v>1.999</v>
      </c>
      <c r="O56" s="0" t="n">
        <v>0.01999</v>
      </c>
      <c r="P56" s="0" t="n">
        <v>0.02045</v>
      </c>
      <c r="R56" s="0" t="n">
        <v>7.3897</v>
      </c>
      <c r="S56" s="0" t="n">
        <v>2.408</v>
      </c>
      <c r="T56" s="0" t="n">
        <v>0.02408</v>
      </c>
      <c r="U56" s="0" t="n">
        <v>0.02445</v>
      </c>
      <c r="W56" s="0" t="n">
        <v>7.8577</v>
      </c>
      <c r="X56" s="0" t="n">
        <v>2.15</v>
      </c>
      <c r="Y56" s="0" t="n">
        <v>0.0215</v>
      </c>
      <c r="Z56" s="0" t="n">
        <v>0.0215</v>
      </c>
    </row>
    <row r="57" customFormat="false" ht="16" hidden="false" customHeight="false" outlineLevel="0" collapsed="false">
      <c r="A57" s="0" t="s">
        <v>53</v>
      </c>
      <c r="B57" s="40" t="s">
        <v>202</v>
      </c>
      <c r="C57" s="0" t="n">
        <v>6.7165</v>
      </c>
      <c r="D57" s="0" t="n">
        <v>2.242</v>
      </c>
      <c r="E57" s="0" t="n">
        <v>0.02242</v>
      </c>
      <c r="F57" s="0" t="n">
        <v>0.02242</v>
      </c>
      <c r="H57" s="0" t="n">
        <v>3.2618</v>
      </c>
      <c r="I57" s="0" t="n">
        <v>2.268</v>
      </c>
      <c r="J57" s="0" t="n">
        <v>0.02268</v>
      </c>
      <c r="K57" s="0" t="n">
        <v>0.02381</v>
      </c>
      <c r="M57" s="0" t="n">
        <v>7.517</v>
      </c>
      <c r="N57" s="0" t="n">
        <v>1.971</v>
      </c>
      <c r="O57" s="0" t="n">
        <v>0.01971</v>
      </c>
      <c r="P57" s="0" t="n">
        <v>0.01971</v>
      </c>
      <c r="R57" s="0" t="n">
        <v>7.0584</v>
      </c>
      <c r="S57" s="0" t="n">
        <v>2.409</v>
      </c>
      <c r="T57" s="0" t="n">
        <v>0.02409</v>
      </c>
      <c r="U57" s="0" t="n">
        <v>0.02409</v>
      </c>
      <c r="W57" s="0" t="n">
        <v>7.3972</v>
      </c>
      <c r="X57" s="0" t="n">
        <v>2.167</v>
      </c>
      <c r="Y57" s="0" t="n">
        <v>0.02167</v>
      </c>
      <c r="Z57" s="0" t="n">
        <v>0.02265</v>
      </c>
    </row>
    <row r="58" customFormat="false" ht="16" hidden="false" customHeight="false" outlineLevel="0" collapsed="false">
      <c r="A58" s="0" t="s">
        <v>53</v>
      </c>
      <c r="B58" s="40" t="s">
        <v>174</v>
      </c>
      <c r="C58" s="0" t="n">
        <v>15.8971</v>
      </c>
      <c r="D58" s="0" t="n">
        <v>2.249</v>
      </c>
      <c r="E58" s="0" t="n">
        <v>0.02249</v>
      </c>
      <c r="F58" s="0" t="n">
        <v>0.02249</v>
      </c>
      <c r="H58" s="0" t="n">
        <v>14.9694</v>
      </c>
      <c r="I58" s="0" t="n">
        <v>2.143</v>
      </c>
      <c r="J58" s="0" t="n">
        <v>0.02143</v>
      </c>
      <c r="K58" s="0" t="n">
        <v>0.02165</v>
      </c>
      <c r="M58" s="0" t="n">
        <v>16.599</v>
      </c>
      <c r="N58" s="0" t="n">
        <v>1.92</v>
      </c>
      <c r="O58" s="0" t="n">
        <v>0.0192</v>
      </c>
      <c r="P58" s="0" t="n">
        <v>0.0192</v>
      </c>
      <c r="R58" s="0" t="n">
        <v>16.1035</v>
      </c>
      <c r="S58" s="0" t="n">
        <v>2.421</v>
      </c>
      <c r="T58" s="0" t="n">
        <v>0.02421</v>
      </c>
      <c r="U58" s="0" t="n">
        <v>0.02443</v>
      </c>
      <c r="W58" s="0" t="n">
        <v>17.7079</v>
      </c>
      <c r="X58" s="0" t="n">
        <v>2.154</v>
      </c>
      <c r="Y58" s="0" t="n">
        <v>0.02154</v>
      </c>
      <c r="Z58" s="0" t="n">
        <v>0.02154</v>
      </c>
    </row>
    <row r="59" customFormat="false" ht="16" hidden="false" customHeight="false" outlineLevel="0" collapsed="false">
      <c r="A59" s="0" t="s">
        <v>53</v>
      </c>
      <c r="B59" s="40" t="s">
        <v>180</v>
      </c>
      <c r="C59" s="0" t="n">
        <v>17.2114</v>
      </c>
      <c r="D59" s="0" t="n">
        <v>2.228</v>
      </c>
      <c r="E59" s="0" t="n">
        <v>0.02228</v>
      </c>
      <c r="F59" s="0" t="n">
        <v>0.02228</v>
      </c>
      <c r="H59" s="0" t="n">
        <v>16.6272</v>
      </c>
      <c r="I59" s="0" t="n">
        <v>2.118</v>
      </c>
      <c r="J59" s="0" t="n">
        <v>0.02118</v>
      </c>
      <c r="K59" s="0" t="n">
        <v>0.02002</v>
      </c>
      <c r="M59" s="0" t="n">
        <v>17.915</v>
      </c>
      <c r="N59" s="0" t="n">
        <v>1.893</v>
      </c>
      <c r="O59" s="0" t="n">
        <v>0.01893</v>
      </c>
      <c r="P59" s="0" t="n">
        <v>0.01893</v>
      </c>
      <c r="R59" s="0" t="n">
        <v>17.4338</v>
      </c>
      <c r="S59" s="0" t="n">
        <v>2.428</v>
      </c>
      <c r="T59" s="0" t="n">
        <v>0.02428</v>
      </c>
      <c r="U59" s="0" t="n">
        <v>0.02428</v>
      </c>
      <c r="W59" s="0" t="n">
        <v>19.1637</v>
      </c>
      <c r="X59" s="0" t="n">
        <v>2.183</v>
      </c>
      <c r="Y59" s="0" t="n">
        <v>0.02183</v>
      </c>
      <c r="Z59" s="0" t="n">
        <v>0.02183</v>
      </c>
    </row>
    <row r="60" customFormat="false" ht="16" hidden="false" customHeight="false" outlineLevel="0" collapsed="false">
      <c r="A60" s="0" t="s">
        <v>53</v>
      </c>
      <c r="B60" s="40" t="s">
        <v>185</v>
      </c>
      <c r="C60" s="0" t="n">
        <v>14.6906</v>
      </c>
      <c r="D60" s="0" t="n">
        <v>2.246</v>
      </c>
      <c r="E60" s="0" t="n">
        <v>0.02246</v>
      </c>
      <c r="F60" s="0" t="n">
        <v>0.02246</v>
      </c>
      <c r="H60" s="0" t="n">
        <v>13.3724</v>
      </c>
      <c r="I60" s="0" t="n">
        <v>2.191</v>
      </c>
      <c r="J60" s="0" t="n">
        <v>0.02191</v>
      </c>
      <c r="K60" s="0" t="n">
        <v>0.02338</v>
      </c>
      <c r="M60" s="0" t="n">
        <v>15.367</v>
      </c>
      <c r="N60" s="0" t="n">
        <v>1.915</v>
      </c>
      <c r="O60" s="0" t="n">
        <v>0.01915</v>
      </c>
      <c r="P60" s="0" t="n">
        <v>0.01949</v>
      </c>
      <c r="R60" s="0" t="n">
        <v>14.9237</v>
      </c>
      <c r="S60" s="0" t="n">
        <v>2.431</v>
      </c>
      <c r="T60" s="0" t="n">
        <v>0.02431</v>
      </c>
      <c r="U60" s="0" t="n">
        <v>0.02431</v>
      </c>
      <c r="W60" s="0" t="n">
        <v>16.3644</v>
      </c>
      <c r="X60" s="0" t="n">
        <v>2.166</v>
      </c>
      <c r="Y60" s="0" t="n">
        <v>0.02166</v>
      </c>
      <c r="Z60" s="0" t="n">
        <v>0.02166</v>
      </c>
    </row>
    <row r="61" customFormat="false" ht="16" hidden="false" customHeight="false" outlineLevel="0" collapsed="false">
      <c r="A61" s="0" t="s">
        <v>53</v>
      </c>
      <c r="B61" s="40" t="s">
        <v>188</v>
      </c>
      <c r="C61" s="0" t="n">
        <v>8.2336</v>
      </c>
      <c r="D61" s="0" t="n">
        <v>2.229</v>
      </c>
      <c r="E61" s="0" t="n">
        <v>0.02229</v>
      </c>
      <c r="F61" s="0" t="n">
        <v>0.02269</v>
      </c>
      <c r="H61" s="0" t="n">
        <v>5.2045</v>
      </c>
      <c r="I61" s="0" t="n">
        <v>2.257</v>
      </c>
      <c r="J61" s="0" t="n">
        <v>0.02257</v>
      </c>
      <c r="K61" s="0" t="n">
        <v>0.02366</v>
      </c>
      <c r="M61" s="0" t="n">
        <v>9.071</v>
      </c>
      <c r="N61" s="0" t="n">
        <v>1.959</v>
      </c>
      <c r="O61" s="0" t="n">
        <v>0.01959</v>
      </c>
      <c r="P61" s="0" t="n">
        <v>0.01959</v>
      </c>
      <c r="R61" s="0" t="n">
        <v>8.5597</v>
      </c>
      <c r="S61" s="0" t="n">
        <v>2.412</v>
      </c>
      <c r="T61" s="0" t="n">
        <v>0.02412</v>
      </c>
      <c r="U61" s="0" t="n">
        <v>0.02412</v>
      </c>
      <c r="W61" s="0" t="n">
        <v>9.1383</v>
      </c>
      <c r="X61" s="0" t="n">
        <v>2.126</v>
      </c>
      <c r="Y61" s="0" t="n">
        <v>0.02126</v>
      </c>
      <c r="Z61" s="0" t="n">
        <v>0.02126</v>
      </c>
    </row>
    <row r="62" customFormat="false" ht="16" hidden="false" customHeight="false" outlineLevel="0" collapsed="false">
      <c r="A62" s="0" t="s">
        <v>53</v>
      </c>
      <c r="B62" s="40" t="s">
        <v>192</v>
      </c>
      <c r="C62" s="0" t="n">
        <v>7.4808</v>
      </c>
      <c r="D62" s="0" t="n">
        <v>2.234</v>
      </c>
      <c r="E62" s="0" t="n">
        <v>0.02234</v>
      </c>
      <c r="F62" s="0" t="n">
        <v>0.02234</v>
      </c>
      <c r="H62" s="0" t="n">
        <v>4.2375</v>
      </c>
      <c r="I62" s="0" t="n">
        <v>2.253</v>
      </c>
      <c r="J62" s="0" t="n">
        <v>0.02253</v>
      </c>
      <c r="K62" s="0" t="n">
        <v>0.02305</v>
      </c>
      <c r="M62" s="0" t="n">
        <v>8.32</v>
      </c>
      <c r="N62" s="0" t="n">
        <v>1.998</v>
      </c>
      <c r="O62" s="0" t="n">
        <v>0.01998</v>
      </c>
      <c r="P62" s="0" t="n">
        <v>0.01998</v>
      </c>
      <c r="R62" s="0" t="n">
        <v>7.8099</v>
      </c>
      <c r="S62" s="0" t="n">
        <v>2.406</v>
      </c>
      <c r="T62" s="0" t="n">
        <v>0.02406</v>
      </c>
      <c r="U62" s="0" t="n">
        <v>0.02406</v>
      </c>
      <c r="W62" s="0" t="n">
        <v>8.2859</v>
      </c>
      <c r="X62" s="0" t="n">
        <v>2.152</v>
      </c>
      <c r="Y62" s="0" t="n">
        <v>0.02152</v>
      </c>
      <c r="Z62" s="0" t="n">
        <v>0.02121</v>
      </c>
    </row>
    <row r="63" customFormat="false" ht="16" hidden="false" customHeight="false" outlineLevel="0" collapsed="false">
      <c r="A63" s="0" t="s">
        <v>53</v>
      </c>
      <c r="B63" s="40" t="s">
        <v>194</v>
      </c>
      <c r="C63" s="0" t="n">
        <v>5.8756</v>
      </c>
      <c r="D63" s="0" t="n">
        <v>2.219</v>
      </c>
      <c r="E63" s="0" t="n">
        <v>0.02219</v>
      </c>
      <c r="F63" s="0" t="n">
        <v>0.02219</v>
      </c>
      <c r="H63" s="0" t="n">
        <v>2.2707</v>
      </c>
      <c r="I63" s="0" t="n">
        <v>2.318</v>
      </c>
      <c r="J63" s="0" t="n">
        <v>0.02318</v>
      </c>
      <c r="K63" s="0" t="n">
        <v>0.02402</v>
      </c>
      <c r="M63" s="0" t="n">
        <v>6.748</v>
      </c>
      <c r="N63" s="0" t="n">
        <v>1.971</v>
      </c>
      <c r="O63" s="0" t="n">
        <v>0.01971</v>
      </c>
      <c r="P63" s="0" t="n">
        <v>0.01971</v>
      </c>
      <c r="R63" s="0" t="n">
        <v>6.2773</v>
      </c>
      <c r="S63" s="0" t="n">
        <v>2.442</v>
      </c>
      <c r="T63" s="0" t="n">
        <v>0.02442</v>
      </c>
      <c r="U63" s="0" t="n">
        <v>0.02442</v>
      </c>
      <c r="W63" s="0" t="n">
        <v>6.5674</v>
      </c>
      <c r="X63" s="0" t="n">
        <v>2.162</v>
      </c>
      <c r="Y63" s="0" t="n">
        <v>0.02162</v>
      </c>
      <c r="Z63" s="0" t="n">
        <v>0.02162</v>
      </c>
    </row>
    <row r="64" customFormat="false" ht="16" hidden="false" customHeight="false" outlineLevel="0" collapsed="false">
      <c r="A64" s="0" t="s">
        <v>53</v>
      </c>
      <c r="B64" s="40" t="s">
        <v>196</v>
      </c>
      <c r="C64" s="0" t="n">
        <v>8.8481</v>
      </c>
      <c r="D64" s="0" t="n">
        <v>2.239</v>
      </c>
      <c r="E64" s="0" t="n">
        <v>0.02239</v>
      </c>
      <c r="F64" s="0" t="n">
        <v>0.02239</v>
      </c>
      <c r="H64" s="0" t="n">
        <v>5.9658</v>
      </c>
      <c r="I64" s="0" t="n">
        <v>2.244</v>
      </c>
      <c r="J64" s="0" t="n">
        <v>0.02244</v>
      </c>
      <c r="K64" s="0" t="n">
        <v>0.02316</v>
      </c>
      <c r="M64" s="0" t="n">
        <v>9.661</v>
      </c>
      <c r="N64" s="0" t="n">
        <v>1.978</v>
      </c>
      <c r="O64" s="0" t="n">
        <v>0.01978</v>
      </c>
      <c r="P64" s="0" t="n">
        <v>0.01978</v>
      </c>
      <c r="R64" s="0" t="n">
        <v>9.2078</v>
      </c>
      <c r="S64" s="0" t="n">
        <v>2.43</v>
      </c>
      <c r="T64" s="0" t="n">
        <v>0.0243</v>
      </c>
      <c r="U64" s="0" t="n">
        <v>0.02362</v>
      </c>
      <c r="W64" s="0" t="n">
        <v>9.8155</v>
      </c>
      <c r="X64" s="0" t="n">
        <v>2.145</v>
      </c>
      <c r="Y64" s="0" t="n">
        <v>0.02145</v>
      </c>
      <c r="Z64" s="0" t="n">
        <v>0.02145</v>
      </c>
    </row>
    <row r="65" customFormat="false" ht="16" hidden="false" customHeight="false" outlineLevel="0" collapsed="false">
      <c r="A65" s="0" t="s">
        <v>53</v>
      </c>
      <c r="B65" s="40" t="s">
        <v>204</v>
      </c>
      <c r="C65" s="0" t="n">
        <v>8.7208</v>
      </c>
      <c r="D65" s="0" t="n">
        <v>2.231</v>
      </c>
      <c r="E65" s="0" t="n">
        <v>0.02231</v>
      </c>
      <c r="F65" s="0" t="n">
        <v>0.02231</v>
      </c>
      <c r="H65" s="0" t="n">
        <v>5.7943</v>
      </c>
      <c r="I65" s="0" t="n">
        <v>2.231</v>
      </c>
      <c r="J65" s="0" t="n">
        <v>0.02231</v>
      </c>
      <c r="K65" s="0" t="n">
        <v>0.02231</v>
      </c>
      <c r="M65" s="0" t="n">
        <v>9.477</v>
      </c>
      <c r="N65" s="0" t="n">
        <v>1.978</v>
      </c>
      <c r="O65" s="0" t="n">
        <v>0.01978</v>
      </c>
      <c r="P65" s="0" t="n">
        <v>0.01978</v>
      </c>
      <c r="R65" s="0" t="n">
        <v>9.0247</v>
      </c>
      <c r="S65" s="0" t="n">
        <v>2.398</v>
      </c>
      <c r="T65" s="0" t="n">
        <v>0.02398</v>
      </c>
      <c r="U65" s="0" t="n">
        <v>0.02524</v>
      </c>
      <c r="W65" s="0" t="n">
        <v>9.6383</v>
      </c>
      <c r="X65" s="0" t="n">
        <v>2.132</v>
      </c>
      <c r="Y65" s="0" t="n">
        <v>0.02132</v>
      </c>
      <c r="Z65" s="0" t="n">
        <v>0.02132</v>
      </c>
    </row>
    <row r="66" customFormat="false" ht="16" hidden="false" customHeight="false" outlineLevel="0" collapsed="false">
      <c r="A66" s="0" t="s">
        <v>53</v>
      </c>
      <c r="B66" s="40" t="s">
        <v>239</v>
      </c>
      <c r="C66" s="0" t="n">
        <v>24.9928</v>
      </c>
      <c r="D66" s="0" t="n">
        <v>2.249</v>
      </c>
      <c r="E66" s="0" t="n">
        <v>0.02249</v>
      </c>
      <c r="F66" s="0" t="n">
        <v>0.02249</v>
      </c>
      <c r="H66" s="0" t="n">
        <v>26.5066</v>
      </c>
      <c r="I66" s="0" t="n">
        <v>2.093</v>
      </c>
      <c r="J66" s="0" t="n">
        <v>0.02093</v>
      </c>
      <c r="K66" s="0" t="n">
        <v>0.02093</v>
      </c>
      <c r="M66" s="0" t="n">
        <v>25.538</v>
      </c>
      <c r="N66" s="0" t="n">
        <v>1.886</v>
      </c>
      <c r="O66" s="0" t="n">
        <v>0.01886</v>
      </c>
      <c r="P66" s="0" t="n">
        <v>0.01886</v>
      </c>
      <c r="R66" s="0" t="n">
        <v>25.1672</v>
      </c>
      <c r="S66" s="0" t="n">
        <v>2.426</v>
      </c>
      <c r="T66" s="0" t="n">
        <v>0.02426</v>
      </c>
      <c r="U66" s="0" t="n">
        <v>0.02426</v>
      </c>
      <c r="W66" s="0" t="n">
        <v>27.8586</v>
      </c>
      <c r="X66" s="0" t="n">
        <v>2.208</v>
      </c>
      <c r="Y66" s="0" t="n">
        <v>0.02208</v>
      </c>
      <c r="Z66" s="0" t="n">
        <v>0.02208</v>
      </c>
    </row>
    <row r="67" customFormat="false" ht="16" hidden="false" customHeight="false" outlineLevel="0" collapsed="false">
      <c r="A67" s="0" t="s">
        <v>53</v>
      </c>
      <c r="B67" s="40" t="s">
        <v>246</v>
      </c>
      <c r="C67" s="0" t="n">
        <v>23.7776</v>
      </c>
      <c r="D67" s="0" t="n">
        <v>2.235</v>
      </c>
      <c r="E67" s="0" t="n">
        <v>0.02235</v>
      </c>
      <c r="F67" s="0" t="n">
        <v>0.02235</v>
      </c>
      <c r="H67" s="0" t="n">
        <v>24.9624</v>
      </c>
      <c r="I67" s="0" t="n">
        <v>2.093</v>
      </c>
      <c r="J67" s="0" t="n">
        <v>0.02093</v>
      </c>
      <c r="K67" s="0" t="n">
        <v>0.02093</v>
      </c>
      <c r="M67" s="0" t="n">
        <v>24.369</v>
      </c>
      <c r="N67" s="0" t="n">
        <v>1.887</v>
      </c>
      <c r="O67" s="0" t="n">
        <v>0.01887</v>
      </c>
      <c r="P67" s="0" t="n">
        <v>0.01857</v>
      </c>
      <c r="R67" s="0" t="n">
        <v>23.9599</v>
      </c>
      <c r="S67" s="0" t="n">
        <v>2.449</v>
      </c>
      <c r="T67" s="0" t="n">
        <v>0.02449</v>
      </c>
      <c r="U67" s="0" t="n">
        <v>0.02449</v>
      </c>
      <c r="W67" s="0" t="n">
        <v>26.5269</v>
      </c>
      <c r="X67" s="0" t="n">
        <v>2.228</v>
      </c>
      <c r="Y67" s="0" t="n">
        <v>0.02228</v>
      </c>
      <c r="Z67" s="0" t="n">
        <v>0.02228</v>
      </c>
    </row>
    <row r="68" customFormat="false" ht="16" hidden="false" customHeight="false" outlineLevel="0" collapsed="false">
      <c r="A68" s="0" t="s">
        <v>53</v>
      </c>
      <c r="B68" s="40" t="s">
        <v>262</v>
      </c>
      <c r="C68" s="0" t="n">
        <v>24.382</v>
      </c>
      <c r="D68" s="0" t="n">
        <v>2.236</v>
      </c>
      <c r="E68" s="0" t="n">
        <v>0.02236</v>
      </c>
      <c r="F68" s="0" t="n">
        <v>0.02236</v>
      </c>
      <c r="H68" s="0" t="n">
        <v>25.6921</v>
      </c>
      <c r="I68" s="0" t="n">
        <v>2.125</v>
      </c>
      <c r="J68" s="0" t="n">
        <v>0.02125</v>
      </c>
      <c r="K68" s="0" t="n">
        <v>0.02093</v>
      </c>
      <c r="M68" s="0" t="n">
        <v>24.925</v>
      </c>
      <c r="N68" s="0" t="n">
        <v>1.874</v>
      </c>
      <c r="O68" s="0" t="n">
        <v>0.01874</v>
      </c>
      <c r="P68" s="0" t="n">
        <v>0.01766</v>
      </c>
      <c r="R68" s="0" t="n">
        <v>24.4794</v>
      </c>
      <c r="S68" s="0" t="n">
        <v>2.378</v>
      </c>
      <c r="T68" s="0" t="n">
        <v>0.02378</v>
      </c>
      <c r="U68" s="0" t="n">
        <v>0.02427</v>
      </c>
      <c r="W68" s="0" t="n">
        <v>27.1378</v>
      </c>
      <c r="X68" s="0" t="n">
        <v>2.226</v>
      </c>
      <c r="Y68" s="0" t="n">
        <v>0.02226</v>
      </c>
      <c r="Z68" s="0" t="n">
        <v>0.02226</v>
      </c>
    </row>
    <row r="69" customFormat="false" ht="16" hidden="false" customHeight="false" outlineLevel="0" collapsed="false">
      <c r="A69" s="0" t="s">
        <v>53</v>
      </c>
      <c r="B69" s="40" t="s">
        <v>274</v>
      </c>
      <c r="C69" s="0" t="n">
        <v>24.6746</v>
      </c>
      <c r="D69" s="0" t="n">
        <v>2.255</v>
      </c>
      <c r="E69" s="0" t="n">
        <v>0.02255</v>
      </c>
      <c r="F69" s="0" t="n">
        <v>0.02244</v>
      </c>
      <c r="H69" s="0" t="n">
        <v>26.1065</v>
      </c>
      <c r="I69" s="0" t="n">
        <v>2.079</v>
      </c>
      <c r="J69" s="0" t="n">
        <v>0.02079</v>
      </c>
      <c r="K69" s="0" t="n">
        <v>0.02079</v>
      </c>
      <c r="M69" s="0" t="n">
        <v>25.236</v>
      </c>
      <c r="N69" s="0" t="n">
        <v>1.883</v>
      </c>
      <c r="O69" s="0" t="n">
        <v>0.01883</v>
      </c>
      <c r="P69" s="0" t="n">
        <v>0.01883</v>
      </c>
      <c r="R69" s="0" t="n">
        <v>24.7685</v>
      </c>
      <c r="S69" s="0" t="n">
        <v>2.434</v>
      </c>
      <c r="T69" s="0" t="n">
        <v>0.02434</v>
      </c>
      <c r="U69" s="0" t="n">
        <v>0.02434</v>
      </c>
      <c r="W69" s="0" t="n">
        <v>27.5041</v>
      </c>
      <c r="X69" s="0" t="n">
        <v>2.233</v>
      </c>
      <c r="Y69" s="0" t="n">
        <v>0.02233</v>
      </c>
      <c r="Z69" s="0" t="n">
        <v>0.0227</v>
      </c>
    </row>
    <row r="70" customFormat="false" ht="16" hidden="false" customHeight="false" outlineLevel="0" collapsed="false">
      <c r="A70" s="0" t="s">
        <v>53</v>
      </c>
      <c r="B70" s="40" t="s">
        <v>283</v>
      </c>
      <c r="C70" s="0" t="n">
        <v>24.2924</v>
      </c>
      <c r="D70" s="0" t="n">
        <v>2.25</v>
      </c>
      <c r="E70" s="0" t="n">
        <v>0.0225</v>
      </c>
      <c r="F70" s="0" t="n">
        <v>0.0225</v>
      </c>
      <c r="H70" s="0" t="n">
        <v>25.6523</v>
      </c>
      <c r="I70" s="0" t="n">
        <v>2.054</v>
      </c>
      <c r="J70" s="0" t="n">
        <v>0.02054</v>
      </c>
      <c r="K70" s="0" t="n">
        <v>0.0194</v>
      </c>
      <c r="M70" s="0" t="n">
        <v>24.905</v>
      </c>
      <c r="N70" s="0" t="n">
        <v>1.875</v>
      </c>
      <c r="O70" s="0" t="n">
        <v>0.01875</v>
      </c>
      <c r="P70" s="0" t="n">
        <v>0.01875</v>
      </c>
      <c r="R70" s="0" t="n">
        <v>24.4503</v>
      </c>
      <c r="S70" s="0" t="n">
        <v>2.434</v>
      </c>
      <c r="T70" s="0" t="n">
        <v>0.02434</v>
      </c>
      <c r="U70" s="0" t="n">
        <v>0.02434</v>
      </c>
      <c r="W70" s="0" t="n">
        <v>27.12</v>
      </c>
      <c r="X70" s="0" t="n">
        <v>2.248</v>
      </c>
      <c r="Y70" s="0" t="n">
        <v>0.02248</v>
      </c>
      <c r="Z70" s="0" t="n">
        <v>0.02198</v>
      </c>
    </row>
    <row r="71" customFormat="false" ht="16" hidden="false" customHeight="false" outlineLevel="0" collapsed="false">
      <c r="A71" s="0" t="s">
        <v>53</v>
      </c>
      <c r="B71" s="40" t="s">
        <v>224</v>
      </c>
      <c r="C71" s="0" t="n">
        <v>23.5743</v>
      </c>
      <c r="D71" s="0" t="n">
        <v>2.237</v>
      </c>
      <c r="E71" s="0" t="n">
        <v>0.02237</v>
      </c>
      <c r="F71" s="0" t="n">
        <v>0.02237</v>
      </c>
      <c r="H71" s="0" t="n">
        <v>24.7371</v>
      </c>
      <c r="I71" s="0" t="n">
        <v>2.107</v>
      </c>
      <c r="J71" s="0" t="n">
        <v>0.02107</v>
      </c>
      <c r="K71" s="0" t="n">
        <v>0.02107</v>
      </c>
      <c r="M71" s="0" t="n">
        <v>24.196</v>
      </c>
      <c r="N71" s="0" t="n">
        <v>1.893</v>
      </c>
      <c r="O71" s="0" t="n">
        <v>0.01893</v>
      </c>
      <c r="P71" s="0" t="n">
        <v>0.01893</v>
      </c>
      <c r="R71" s="0" t="n">
        <v>23.7</v>
      </c>
      <c r="S71" s="0" t="n">
        <v>2.434</v>
      </c>
      <c r="T71" s="0" t="n">
        <v>0.02434</v>
      </c>
      <c r="U71" s="0" t="n">
        <v>0.02434</v>
      </c>
      <c r="W71" s="0" t="n">
        <v>26.3163</v>
      </c>
      <c r="X71" s="0" t="n">
        <v>2.246</v>
      </c>
      <c r="Y71" s="0" t="n">
        <v>0.02246</v>
      </c>
      <c r="Z71" s="0" t="n">
        <v>0.02246</v>
      </c>
    </row>
    <row r="72" customFormat="false" ht="16" hidden="false" customHeight="false" outlineLevel="0" collapsed="false">
      <c r="A72" s="0" t="s">
        <v>53</v>
      </c>
      <c r="B72" s="40" t="s">
        <v>242</v>
      </c>
      <c r="C72" s="0" t="n">
        <v>23.7015</v>
      </c>
      <c r="D72" s="0" t="n">
        <v>2.188</v>
      </c>
      <c r="E72" s="0" t="n">
        <v>0.02188</v>
      </c>
      <c r="F72" s="0" t="n">
        <v>0.02188</v>
      </c>
      <c r="H72" s="0" t="n">
        <v>24.8492</v>
      </c>
      <c r="I72" s="0" t="n">
        <v>2.11</v>
      </c>
      <c r="J72" s="0" t="n">
        <v>0.0211</v>
      </c>
      <c r="K72" s="0" t="n">
        <v>0.0211</v>
      </c>
      <c r="M72" s="0" t="n">
        <v>24.254</v>
      </c>
      <c r="N72" s="0" t="n">
        <v>1.887</v>
      </c>
      <c r="O72" s="0" t="n">
        <v>0.01887</v>
      </c>
      <c r="P72" s="0" t="n">
        <v>0.01887</v>
      </c>
      <c r="R72" s="0" t="n">
        <v>23.8236</v>
      </c>
      <c r="S72" s="0" t="n">
        <v>2.447</v>
      </c>
      <c r="T72" s="0" t="n">
        <v>0.02447</v>
      </c>
      <c r="U72" s="0" t="n">
        <v>0.02447</v>
      </c>
      <c r="W72" s="0" t="n">
        <v>26.4006</v>
      </c>
      <c r="X72" s="0" t="n">
        <v>2.215</v>
      </c>
      <c r="Y72" s="0" t="n">
        <v>0.02215</v>
      </c>
      <c r="Z72" s="0" t="n">
        <v>0.02123</v>
      </c>
    </row>
    <row r="73" customFormat="false" ht="16" hidden="false" customHeight="false" outlineLevel="0" collapsed="false">
      <c r="A73" s="0" t="s">
        <v>53</v>
      </c>
      <c r="B73" s="40" t="s">
        <v>249</v>
      </c>
      <c r="C73" s="0" t="n">
        <v>23.8456</v>
      </c>
      <c r="D73" s="0" t="n">
        <v>2.219</v>
      </c>
      <c r="E73" s="0" t="n">
        <v>0.02219</v>
      </c>
      <c r="F73" s="0" t="n">
        <v>0.02219</v>
      </c>
      <c r="H73" s="0" t="n">
        <v>25.0472</v>
      </c>
      <c r="I73" s="0" t="n">
        <v>2.111</v>
      </c>
      <c r="J73" s="0" t="n">
        <v>0.02111</v>
      </c>
      <c r="K73" s="0" t="n">
        <v>0.02154</v>
      </c>
      <c r="M73" s="0" t="n">
        <v>24.407</v>
      </c>
      <c r="N73" s="0" t="n">
        <v>1.886</v>
      </c>
      <c r="O73" s="0" t="n">
        <v>0.01886</v>
      </c>
      <c r="P73" s="0" t="n">
        <v>0.01886</v>
      </c>
      <c r="R73" s="0" t="n">
        <v>23.9562</v>
      </c>
      <c r="S73" s="0" t="n">
        <v>2.404</v>
      </c>
      <c r="T73" s="0" t="n">
        <v>0.02404</v>
      </c>
      <c r="U73" s="0" t="n">
        <v>0.02452</v>
      </c>
      <c r="W73" s="0" t="n">
        <v>26.6032</v>
      </c>
      <c r="X73" s="0" t="n">
        <v>2.237</v>
      </c>
      <c r="Y73" s="0" t="n">
        <v>0.02237</v>
      </c>
      <c r="Z73" s="0" t="n">
        <v>0.02237</v>
      </c>
    </row>
    <row r="74" customFormat="false" ht="16" hidden="false" customHeight="false" outlineLevel="0" collapsed="false">
      <c r="A74" s="0" t="s">
        <v>53</v>
      </c>
      <c r="B74" s="40" t="s">
        <v>296</v>
      </c>
      <c r="C74" s="0" t="n">
        <v>21.7808</v>
      </c>
      <c r="D74" s="0" t="n">
        <v>2.224</v>
      </c>
      <c r="E74" s="0" t="n">
        <v>0.02224</v>
      </c>
      <c r="F74" s="0" t="n">
        <v>0.02224</v>
      </c>
      <c r="H74" s="0" t="n">
        <v>22.3931</v>
      </c>
      <c r="I74" s="0" t="n">
        <v>2.127</v>
      </c>
      <c r="J74" s="0" t="n">
        <v>0.02127</v>
      </c>
      <c r="K74" s="0" t="n">
        <v>0.02127</v>
      </c>
      <c r="M74" s="0" t="n">
        <v>22.433</v>
      </c>
      <c r="N74" s="0" t="n">
        <v>1.904</v>
      </c>
      <c r="O74" s="0" t="n">
        <v>0.01904</v>
      </c>
      <c r="P74" s="0" t="n">
        <v>0.01904</v>
      </c>
      <c r="R74" s="0" t="n">
        <v>21.9966</v>
      </c>
      <c r="S74" s="0" t="n">
        <v>2.426</v>
      </c>
      <c r="T74" s="0" t="n">
        <v>0.02426</v>
      </c>
      <c r="U74" s="0" t="n">
        <v>0.02388</v>
      </c>
      <c r="W74" s="0" t="n">
        <v>24.2504</v>
      </c>
      <c r="X74" s="0" t="n">
        <v>2.227</v>
      </c>
      <c r="Y74" s="0" t="n">
        <v>0.02227</v>
      </c>
      <c r="Z74" s="0" t="n">
        <v>0.02204</v>
      </c>
    </row>
    <row r="75" customFormat="false" ht="16" hidden="false" customHeight="false" outlineLevel="0" collapsed="false">
      <c r="A75" s="0" t="s">
        <v>53</v>
      </c>
      <c r="B75" s="40" t="s">
        <v>230</v>
      </c>
      <c r="C75" s="0" t="n">
        <v>18.8361</v>
      </c>
      <c r="D75" s="0" t="n">
        <v>2.257</v>
      </c>
      <c r="E75" s="0" t="n">
        <v>0.02257</v>
      </c>
      <c r="F75" s="0" t="n">
        <v>0.02257</v>
      </c>
      <c r="H75" s="0" t="n">
        <v>18.6534</v>
      </c>
      <c r="I75" s="0" t="n">
        <v>2.122</v>
      </c>
      <c r="J75" s="0" t="n">
        <v>0.02122</v>
      </c>
      <c r="K75" s="0" t="n">
        <v>0.02081</v>
      </c>
      <c r="M75" s="0" t="n">
        <v>19.445</v>
      </c>
      <c r="N75" s="0" t="n">
        <v>1.898</v>
      </c>
      <c r="O75" s="0" t="n">
        <v>0.01898</v>
      </c>
      <c r="P75" s="0" t="n">
        <v>0.01898</v>
      </c>
      <c r="R75" s="0" t="n">
        <v>18.9784</v>
      </c>
      <c r="S75" s="0" t="n">
        <v>2.43</v>
      </c>
      <c r="T75" s="0" t="n">
        <v>0.0243</v>
      </c>
      <c r="U75" s="0" t="n">
        <v>0.0243</v>
      </c>
      <c r="W75" s="0" t="n">
        <v>20.9132</v>
      </c>
      <c r="X75" s="0" t="n">
        <v>2.168</v>
      </c>
      <c r="Y75" s="0" t="n">
        <v>0.02168</v>
      </c>
      <c r="Z75" s="0" t="n">
        <v>0.02251</v>
      </c>
    </row>
    <row r="76" customFormat="false" ht="16" hidden="false" customHeight="false" outlineLevel="0" collapsed="false">
      <c r="A76" s="0" t="s">
        <v>53</v>
      </c>
      <c r="B76" s="40" t="s">
        <v>251</v>
      </c>
      <c r="C76" s="0" t="n">
        <v>20.0031</v>
      </c>
      <c r="D76" s="0" t="n">
        <v>2.241</v>
      </c>
      <c r="E76" s="0" t="n">
        <v>0.02241</v>
      </c>
      <c r="F76" s="0" t="n">
        <v>0.02241</v>
      </c>
      <c r="H76" s="0" t="n">
        <v>20.1455</v>
      </c>
      <c r="I76" s="0" t="n">
        <v>2.116</v>
      </c>
      <c r="J76" s="0" t="n">
        <v>0.02116</v>
      </c>
      <c r="K76" s="0" t="n">
        <v>0.02159</v>
      </c>
      <c r="M76" s="0" t="n">
        <v>20.648</v>
      </c>
      <c r="N76" s="0" t="n">
        <v>1.902</v>
      </c>
      <c r="O76" s="0" t="n">
        <v>0.01902</v>
      </c>
      <c r="P76" s="0" t="n">
        <v>0.01902</v>
      </c>
      <c r="R76" s="0" t="n">
        <v>20.2495</v>
      </c>
      <c r="S76" s="0" t="n">
        <v>2.432</v>
      </c>
      <c r="T76" s="0" t="n">
        <v>0.02432</v>
      </c>
      <c r="U76" s="0" t="n">
        <v>0.02351</v>
      </c>
      <c r="W76" s="0" t="n">
        <v>22.2898</v>
      </c>
      <c r="X76" s="0" t="n">
        <v>2.204</v>
      </c>
      <c r="Y76" s="0" t="n">
        <v>0.02204</v>
      </c>
      <c r="Z76" s="0" t="n">
        <v>0.02204</v>
      </c>
    </row>
    <row r="77" customFormat="false" ht="16" hidden="false" customHeight="false" outlineLevel="0" collapsed="false">
      <c r="A77" s="0" t="s">
        <v>53</v>
      </c>
      <c r="B77" s="40" t="s">
        <v>265</v>
      </c>
      <c r="C77" s="0" t="n">
        <v>19.9949</v>
      </c>
      <c r="D77" s="0" t="n">
        <v>2.244</v>
      </c>
      <c r="E77" s="0" t="n">
        <v>0.02244</v>
      </c>
      <c r="F77" s="0" t="n">
        <v>0.02244</v>
      </c>
      <c r="H77" s="0" t="n">
        <v>20.1976</v>
      </c>
      <c r="I77" s="0" t="n">
        <v>2.088</v>
      </c>
      <c r="J77" s="0" t="n">
        <v>0.02088</v>
      </c>
      <c r="K77" s="0" t="n">
        <v>0.02123</v>
      </c>
      <c r="M77" s="0" t="n">
        <v>20.648</v>
      </c>
      <c r="N77" s="0" t="n">
        <v>1.899</v>
      </c>
      <c r="O77" s="0" t="n">
        <v>0.01899</v>
      </c>
      <c r="P77" s="0" t="n">
        <v>0.01899</v>
      </c>
      <c r="R77" s="0" t="n">
        <v>20.235</v>
      </c>
      <c r="S77" s="0" t="n">
        <v>2.422</v>
      </c>
      <c r="T77" s="0" t="n">
        <v>0.02422</v>
      </c>
      <c r="U77" s="0" t="n">
        <v>0.02422</v>
      </c>
      <c r="W77" s="0" t="n">
        <v>22.2777</v>
      </c>
      <c r="X77" s="0" t="n">
        <v>2.195</v>
      </c>
      <c r="Y77" s="0" t="n">
        <v>0.02195</v>
      </c>
      <c r="Z77" s="0" t="n">
        <v>0.02272</v>
      </c>
    </row>
    <row r="78" customFormat="false" ht="16" hidden="false" customHeight="false" outlineLevel="0" collapsed="false">
      <c r="A78" s="0" t="s">
        <v>53</v>
      </c>
      <c r="B78" s="75" t="s">
        <v>269</v>
      </c>
      <c r="C78" s="0" t="n">
        <v>18.5816</v>
      </c>
      <c r="D78" s="0" t="n">
        <v>2.233</v>
      </c>
      <c r="E78" s="0" t="n">
        <v>0.02233</v>
      </c>
      <c r="F78" s="0" t="n">
        <v>0.02233</v>
      </c>
      <c r="H78" s="0" t="n">
        <v>18.3412</v>
      </c>
      <c r="I78" s="0" t="n">
        <v>2.124</v>
      </c>
      <c r="J78" s="0" t="n">
        <v>0.02124</v>
      </c>
      <c r="K78" s="0" t="n">
        <v>0.02124</v>
      </c>
      <c r="M78" s="0" t="n">
        <v>19.21</v>
      </c>
      <c r="N78" s="0" t="n">
        <v>1.892</v>
      </c>
      <c r="O78" s="0" t="n">
        <v>0.01892</v>
      </c>
      <c r="P78" s="0" t="n">
        <v>0.01865</v>
      </c>
      <c r="R78" s="0" t="n">
        <v>18.7681</v>
      </c>
      <c r="S78" s="0" t="n">
        <v>2.418</v>
      </c>
      <c r="T78" s="0" t="n">
        <v>0.02418</v>
      </c>
      <c r="U78" s="0" t="n">
        <v>0.02418</v>
      </c>
      <c r="W78" s="0" t="n">
        <v>20.6992</v>
      </c>
      <c r="X78" s="0" t="n">
        <v>2.165</v>
      </c>
      <c r="Y78" s="0" t="n">
        <v>0.02165</v>
      </c>
      <c r="Z78" s="0" t="n">
        <v>0.02165</v>
      </c>
    </row>
    <row r="79" customFormat="false" ht="16" hidden="false" customHeight="false" outlineLevel="0" collapsed="false">
      <c r="A79" s="0" t="s">
        <v>53</v>
      </c>
      <c r="B79" s="76" t="s">
        <v>277</v>
      </c>
      <c r="C79" s="0" t="n">
        <v>18.5834</v>
      </c>
      <c r="D79" s="0" t="n">
        <v>2.23</v>
      </c>
      <c r="E79" s="0" t="n">
        <v>0.0223</v>
      </c>
      <c r="F79" s="0" t="n">
        <v>0.02258</v>
      </c>
      <c r="H79" s="0" t="n">
        <v>18.3759</v>
      </c>
      <c r="I79" s="0" t="n">
        <v>2.154</v>
      </c>
      <c r="J79" s="0" t="n">
        <v>0.02154</v>
      </c>
      <c r="K79" s="0" t="n">
        <v>0.02154</v>
      </c>
      <c r="M79" s="0" t="n">
        <v>19.24</v>
      </c>
      <c r="N79" s="0" t="n">
        <v>1.893</v>
      </c>
      <c r="O79" s="0" t="n">
        <v>0.01893</v>
      </c>
      <c r="P79" s="0" t="n">
        <v>0.01893</v>
      </c>
      <c r="R79" s="0" t="n">
        <v>18.7879</v>
      </c>
      <c r="S79" s="0" t="n">
        <v>2.383</v>
      </c>
      <c r="T79" s="0" t="n">
        <v>0.02383</v>
      </c>
      <c r="U79" s="0" t="n">
        <v>0.02383</v>
      </c>
      <c r="W79" s="0" t="n">
        <v>20.7016</v>
      </c>
      <c r="X79" s="0" t="n">
        <v>2.183</v>
      </c>
      <c r="Y79" s="0" t="n">
        <v>0.02183</v>
      </c>
      <c r="Z79" s="0" t="n">
        <v>0.02183</v>
      </c>
    </row>
    <row r="80" customFormat="false" ht="16" hidden="false" customHeight="false" outlineLevel="0" collapsed="false">
      <c r="A80" s="0" t="s">
        <v>53</v>
      </c>
      <c r="B80" s="40" t="s">
        <v>286</v>
      </c>
      <c r="C80" s="0" t="n">
        <v>19.4249</v>
      </c>
      <c r="D80" s="0" t="n">
        <v>2.235</v>
      </c>
      <c r="E80" s="0" t="n">
        <v>0.02235</v>
      </c>
      <c r="F80" s="0" t="n">
        <v>0.02235</v>
      </c>
      <c r="H80" s="0" t="n">
        <v>19.4176</v>
      </c>
      <c r="I80" s="0" t="n">
        <v>2.112</v>
      </c>
      <c r="J80" s="0" t="n">
        <v>0.02112</v>
      </c>
      <c r="K80" s="0" t="n">
        <v>0.02112</v>
      </c>
      <c r="M80" s="0" t="n">
        <v>20.026</v>
      </c>
      <c r="N80" s="0" t="n">
        <v>1.906</v>
      </c>
      <c r="O80" s="0" t="n">
        <v>0.01906</v>
      </c>
      <c r="P80" s="0" t="n">
        <v>0.01906</v>
      </c>
      <c r="R80" s="0" t="n">
        <v>19.6279</v>
      </c>
      <c r="S80" s="0" t="n">
        <v>2.435</v>
      </c>
      <c r="T80" s="0" t="n">
        <v>0.02435</v>
      </c>
      <c r="U80" s="0" t="n">
        <v>0.02435</v>
      </c>
      <c r="W80" s="0" t="n">
        <v>21.6031</v>
      </c>
      <c r="X80" s="0" t="n">
        <v>2.208</v>
      </c>
      <c r="Y80" s="0" t="n">
        <v>0.02208</v>
      </c>
      <c r="Z80" s="0" t="n">
        <v>0.02241</v>
      </c>
    </row>
    <row r="81" customFormat="false" ht="16" hidden="false" customHeight="false" outlineLevel="0" collapsed="false">
      <c r="A81" s="0" t="s">
        <v>53</v>
      </c>
      <c r="B81" s="40" t="s">
        <v>299</v>
      </c>
      <c r="C81" s="0" t="n">
        <v>18.2268</v>
      </c>
      <c r="D81" s="0" t="n">
        <v>2.258</v>
      </c>
      <c r="E81" s="0" t="n">
        <v>0.02258</v>
      </c>
      <c r="F81" s="0" t="n">
        <v>0.02258</v>
      </c>
      <c r="H81" s="0" t="n">
        <v>17.8399</v>
      </c>
      <c r="I81" s="0" t="n">
        <v>2.133</v>
      </c>
      <c r="J81" s="0" t="n">
        <v>0.02133</v>
      </c>
      <c r="K81" s="0" t="n">
        <v>0.02207</v>
      </c>
      <c r="M81" s="0" t="n">
        <v>18.859</v>
      </c>
      <c r="N81" s="0" t="n">
        <v>1.903</v>
      </c>
      <c r="O81" s="0" t="n">
        <v>0.01903</v>
      </c>
      <c r="P81" s="0" t="n">
        <v>0.01903</v>
      </c>
      <c r="R81" s="0" t="n">
        <v>18.415</v>
      </c>
      <c r="S81" s="0" t="n">
        <v>2.42</v>
      </c>
      <c r="T81" s="0" t="n">
        <v>0.0242</v>
      </c>
      <c r="U81" s="0" t="n">
        <v>0.0236</v>
      </c>
      <c r="W81" s="0" t="n">
        <v>20.246</v>
      </c>
      <c r="X81" s="0" t="n">
        <v>2.206</v>
      </c>
      <c r="Y81" s="0" t="n">
        <v>0.02206</v>
      </c>
      <c r="Z81" s="0" t="n">
        <v>0.02206</v>
      </c>
    </row>
    <row r="82" customFormat="false" ht="16" hidden="false" customHeight="false" outlineLevel="0" collapsed="false">
      <c r="A82" s="0" t="s">
        <v>53</v>
      </c>
      <c r="B82" s="76" t="s">
        <v>309</v>
      </c>
      <c r="C82" s="0" t="n">
        <v>16.5979</v>
      </c>
      <c r="D82" s="0" t="n">
        <v>2.251</v>
      </c>
      <c r="E82" s="0" t="n">
        <v>0.02251</v>
      </c>
      <c r="F82" s="0" t="n">
        <v>0.02251</v>
      </c>
      <c r="H82" s="0" t="n">
        <v>15.874</v>
      </c>
      <c r="I82" s="0" t="n">
        <v>2.134</v>
      </c>
      <c r="J82" s="0" t="n">
        <v>0.02134</v>
      </c>
      <c r="K82" s="0" t="n">
        <v>0.02134</v>
      </c>
      <c r="M82" s="0" t="n">
        <v>17.286</v>
      </c>
      <c r="N82" s="0" t="n">
        <v>1.933</v>
      </c>
      <c r="O82" s="0" t="n">
        <v>0.01933</v>
      </c>
      <c r="P82" s="0" t="n">
        <v>0.01933</v>
      </c>
      <c r="R82" s="0" t="n">
        <v>16.8934</v>
      </c>
      <c r="S82" s="0" t="n">
        <v>2.398</v>
      </c>
      <c r="T82" s="0" t="n">
        <v>0.02398</v>
      </c>
      <c r="U82" s="0" t="n">
        <v>0.02398</v>
      </c>
      <c r="W82" s="0" t="n">
        <v>18.5542</v>
      </c>
      <c r="X82" s="0" t="n">
        <v>2.183</v>
      </c>
      <c r="Y82" s="0" t="n">
        <v>0.02183</v>
      </c>
      <c r="Z82" s="0" t="n">
        <v>0.02183</v>
      </c>
    </row>
    <row r="83" customFormat="false" ht="16" hidden="false" customHeight="false" outlineLevel="0" collapsed="false">
      <c r="A83" s="0" t="s">
        <v>53</v>
      </c>
      <c r="B83" s="40" t="s">
        <v>314</v>
      </c>
      <c r="C83" s="0" t="n">
        <v>17.4373</v>
      </c>
      <c r="D83" s="0" t="n">
        <v>2.223</v>
      </c>
      <c r="E83" s="0" t="n">
        <v>0.02223</v>
      </c>
      <c r="F83" s="0" t="n">
        <v>0.0223</v>
      </c>
      <c r="H83" s="0" t="n">
        <v>16.8797</v>
      </c>
      <c r="I83" s="0" t="n">
        <v>2.133</v>
      </c>
      <c r="J83" s="0" t="n">
        <v>0.02133</v>
      </c>
      <c r="K83" s="0" t="n">
        <v>0.02133</v>
      </c>
      <c r="M83" s="0" t="n">
        <v>18.089</v>
      </c>
      <c r="N83" s="0" t="n">
        <v>1.942</v>
      </c>
      <c r="O83" s="0" t="n">
        <v>0.01942</v>
      </c>
      <c r="P83" s="0" t="n">
        <v>0.0199</v>
      </c>
      <c r="R83" s="0" t="n">
        <v>17.6212</v>
      </c>
      <c r="S83" s="0" t="n">
        <v>2.426</v>
      </c>
      <c r="T83" s="0" t="n">
        <v>0.02426</v>
      </c>
      <c r="U83" s="0" t="n">
        <v>0.0239</v>
      </c>
      <c r="W83" s="0" t="n">
        <v>19.4479</v>
      </c>
      <c r="X83" s="0" t="n">
        <v>2.195</v>
      </c>
      <c r="Y83" s="0" t="n">
        <v>0.02195</v>
      </c>
      <c r="Z83" s="0" t="n">
        <v>0.02195</v>
      </c>
    </row>
    <row r="84" customFormat="false" ht="16" hidden="false" customHeight="false" outlineLevel="0" collapsed="false">
      <c r="A84" s="0" t="s">
        <v>53</v>
      </c>
      <c r="B84" s="40" t="s">
        <v>235</v>
      </c>
      <c r="C84" s="0" t="n">
        <v>20.1174</v>
      </c>
      <c r="D84" s="0" t="n">
        <v>2.247</v>
      </c>
      <c r="E84" s="0" t="n">
        <v>0.02247</v>
      </c>
      <c r="F84" s="0" t="n">
        <v>0.02247</v>
      </c>
      <c r="H84" s="0" t="n">
        <v>20.294</v>
      </c>
      <c r="I84" s="0" t="n">
        <v>2.124</v>
      </c>
      <c r="J84" s="0" t="n">
        <v>0.02124</v>
      </c>
      <c r="K84" s="0" t="n">
        <v>0.02124</v>
      </c>
      <c r="M84" s="0" t="n">
        <v>20.756</v>
      </c>
      <c r="N84" s="0" t="n">
        <v>1.913</v>
      </c>
      <c r="O84" s="0" t="n">
        <v>0.01913</v>
      </c>
      <c r="P84" s="0" t="n">
        <v>0.01945</v>
      </c>
      <c r="R84" s="0" t="n">
        <v>20.2815</v>
      </c>
      <c r="S84" s="0" t="n">
        <v>2.435</v>
      </c>
      <c r="T84" s="0" t="n">
        <v>0.02435</v>
      </c>
      <c r="U84" s="0" t="n">
        <v>0.02654</v>
      </c>
      <c r="W84" s="0" t="n">
        <v>22.3525</v>
      </c>
      <c r="X84" s="0" t="n">
        <v>2.177</v>
      </c>
      <c r="Y84" s="0" t="n">
        <v>0.02177</v>
      </c>
      <c r="Z84" s="0" t="n">
        <v>0.02179</v>
      </c>
    </row>
    <row r="85" customFormat="false" ht="16" hidden="false" customHeight="false" outlineLevel="0" collapsed="false">
      <c r="A85" s="0" t="s">
        <v>53</v>
      </c>
      <c r="B85" s="40" t="s">
        <v>258</v>
      </c>
      <c r="C85" s="0" t="n">
        <v>20.9796</v>
      </c>
      <c r="D85" s="0" t="n">
        <v>2.221</v>
      </c>
      <c r="E85" s="0" t="n">
        <v>0.02221</v>
      </c>
      <c r="F85" s="0" t="n">
        <v>0.02221</v>
      </c>
      <c r="H85" s="0" t="n">
        <v>21.3881</v>
      </c>
      <c r="I85" s="0" t="n">
        <v>2.12</v>
      </c>
      <c r="J85" s="0" t="n">
        <v>0.0212</v>
      </c>
      <c r="K85" s="0" t="n">
        <v>0.0212</v>
      </c>
      <c r="M85" s="0" t="n">
        <v>21.59</v>
      </c>
      <c r="N85" s="0" t="n">
        <v>1.914</v>
      </c>
      <c r="O85" s="0" t="n">
        <v>0.01914</v>
      </c>
      <c r="P85" s="0" t="n">
        <v>0.01914</v>
      </c>
      <c r="R85" s="0" t="n">
        <v>21.1255</v>
      </c>
      <c r="S85" s="0" t="n">
        <v>2.411</v>
      </c>
      <c r="T85" s="0" t="n">
        <v>0.02411</v>
      </c>
      <c r="U85" s="0" t="n">
        <v>0.02364</v>
      </c>
      <c r="W85" s="0" t="n">
        <v>23.3904</v>
      </c>
      <c r="X85" s="0" t="n">
        <v>2.199</v>
      </c>
      <c r="Y85" s="0" t="n">
        <v>0.02199</v>
      </c>
      <c r="Z85" s="0" t="n">
        <v>0.02199</v>
      </c>
    </row>
    <row r="86" customFormat="false" ht="16" hidden="false" customHeight="false" outlineLevel="0" collapsed="false">
      <c r="A86" s="0" t="s">
        <v>53</v>
      </c>
      <c r="B86" s="40" t="s">
        <v>279</v>
      </c>
      <c r="C86" s="0" t="n">
        <v>21.8823</v>
      </c>
      <c r="D86" s="0" t="n">
        <v>2.24</v>
      </c>
      <c r="E86" s="0" t="n">
        <v>0.0224</v>
      </c>
      <c r="F86" s="0" t="n">
        <v>0.0224</v>
      </c>
      <c r="H86" s="0" t="n">
        <v>22.5477</v>
      </c>
      <c r="I86" s="0" t="n">
        <v>2.115</v>
      </c>
      <c r="J86" s="0" t="n">
        <v>0.02115</v>
      </c>
      <c r="K86" s="0" t="n">
        <v>0.02115</v>
      </c>
      <c r="M86" s="0" t="n">
        <v>22.457</v>
      </c>
      <c r="N86" s="0" t="n">
        <v>1.898</v>
      </c>
      <c r="O86" s="0" t="n">
        <v>0.01898</v>
      </c>
      <c r="P86" s="0" t="n">
        <v>0.01898</v>
      </c>
      <c r="R86" s="0" t="n">
        <v>21.9954</v>
      </c>
      <c r="S86" s="0" t="n">
        <v>2.413</v>
      </c>
      <c r="T86" s="0" t="n">
        <v>0.02413</v>
      </c>
      <c r="U86" s="0" t="n">
        <v>0.02413</v>
      </c>
      <c r="W86" s="0" t="n">
        <v>24.3415</v>
      </c>
      <c r="X86" s="0" t="n">
        <v>2.19</v>
      </c>
      <c r="Y86" s="0" t="n">
        <v>0.0219</v>
      </c>
      <c r="Z86" s="0" t="n">
        <v>0.0219</v>
      </c>
    </row>
    <row r="87" customFormat="false" ht="16" hidden="false" customHeight="false" outlineLevel="0" collapsed="false">
      <c r="A87" s="0" t="s">
        <v>53</v>
      </c>
      <c r="B87" s="40" t="s">
        <v>237</v>
      </c>
      <c r="C87" s="0" t="n">
        <v>22.4704</v>
      </c>
      <c r="D87" s="0" t="n">
        <v>2.238</v>
      </c>
      <c r="E87" s="0" t="n">
        <v>0.02238</v>
      </c>
      <c r="F87" s="0" t="n">
        <v>0.02238</v>
      </c>
      <c r="H87" s="0" t="n">
        <v>23.2599</v>
      </c>
      <c r="I87" s="0" t="n">
        <v>2.136</v>
      </c>
      <c r="J87" s="0" t="n">
        <v>0.02136</v>
      </c>
      <c r="K87" s="0" t="n">
        <v>0.02214</v>
      </c>
      <c r="M87" s="0" t="n">
        <v>23.07</v>
      </c>
      <c r="N87" s="0" t="n">
        <v>1.909</v>
      </c>
      <c r="O87" s="0" t="n">
        <v>0.01909</v>
      </c>
      <c r="P87" s="0" t="n">
        <v>0.01909</v>
      </c>
      <c r="R87" s="0" t="n">
        <v>22.6195</v>
      </c>
      <c r="S87" s="0" t="n">
        <v>2.424</v>
      </c>
      <c r="T87" s="0" t="n">
        <v>0.02424</v>
      </c>
      <c r="U87" s="0" t="n">
        <v>0.02424</v>
      </c>
      <c r="W87" s="0" t="n">
        <v>25.0001</v>
      </c>
      <c r="X87" s="0" t="n">
        <v>2.193</v>
      </c>
      <c r="Y87" s="0" t="n">
        <v>0.02193</v>
      </c>
      <c r="Z87" s="0" t="n">
        <v>0.02108</v>
      </c>
    </row>
    <row r="88" customFormat="false" ht="16" hidden="false" customHeight="false" outlineLevel="0" collapsed="false">
      <c r="A88" s="0" t="s">
        <v>53</v>
      </c>
      <c r="B88" s="40" t="s">
        <v>244</v>
      </c>
      <c r="C88" s="0" t="n">
        <v>22.629</v>
      </c>
      <c r="D88" s="0" t="n">
        <v>2.244</v>
      </c>
      <c r="E88" s="0" t="n">
        <v>0.02244</v>
      </c>
      <c r="F88" s="0" t="n">
        <v>0.02244</v>
      </c>
      <c r="H88" s="0" t="n">
        <v>23.4642</v>
      </c>
      <c r="I88" s="0" t="n">
        <v>2.122</v>
      </c>
      <c r="J88" s="0" t="n">
        <v>0.02122</v>
      </c>
      <c r="K88" s="0" t="n">
        <v>0.02122</v>
      </c>
      <c r="M88" s="0" t="n">
        <v>23.21</v>
      </c>
      <c r="N88" s="0" t="n">
        <v>1.885</v>
      </c>
      <c r="O88" s="0" t="n">
        <v>0.01885</v>
      </c>
      <c r="P88" s="0" t="n">
        <v>0.01885</v>
      </c>
      <c r="R88" s="0" t="n">
        <v>22.7972</v>
      </c>
      <c r="S88" s="0" t="n">
        <v>2.424</v>
      </c>
      <c r="T88" s="0" t="n">
        <v>0.02424</v>
      </c>
      <c r="U88" s="0" t="n">
        <v>0.02424</v>
      </c>
      <c r="W88" s="0" t="n">
        <v>25.1778</v>
      </c>
      <c r="X88" s="0" t="n">
        <v>2.206</v>
      </c>
      <c r="Y88" s="0" t="n">
        <v>0.02206</v>
      </c>
      <c r="Z88" s="0" t="n">
        <v>0.02206</v>
      </c>
    </row>
    <row r="89" customFormat="false" ht="16" hidden="false" customHeight="false" outlineLevel="0" collapsed="false">
      <c r="A89" s="0" t="s">
        <v>53</v>
      </c>
      <c r="B89" s="40" t="s">
        <v>253</v>
      </c>
      <c r="C89" s="0" t="n">
        <v>22.59</v>
      </c>
      <c r="D89" s="0" t="n">
        <v>2.241</v>
      </c>
      <c r="E89" s="0" t="n">
        <v>0.02241</v>
      </c>
      <c r="F89" s="0" t="n">
        <v>0.02241</v>
      </c>
      <c r="H89" s="0" t="n">
        <v>23.4894</v>
      </c>
      <c r="I89" s="0" t="n">
        <v>2.136</v>
      </c>
      <c r="J89" s="0" t="n">
        <v>0.02136</v>
      </c>
      <c r="K89" s="0" t="n">
        <v>0.02136</v>
      </c>
      <c r="M89" s="0" t="n">
        <v>23.213</v>
      </c>
      <c r="N89" s="0" t="n">
        <v>1.912</v>
      </c>
      <c r="O89" s="0" t="n">
        <v>0.01912</v>
      </c>
      <c r="P89" s="0" t="n">
        <v>0.01877</v>
      </c>
      <c r="R89" s="0" t="n">
        <v>22.7842</v>
      </c>
      <c r="S89" s="0" t="n">
        <v>2.433</v>
      </c>
      <c r="T89" s="0" t="n">
        <v>0.02433</v>
      </c>
      <c r="U89" s="0" t="n">
        <v>0.02433</v>
      </c>
      <c r="W89" s="0" t="n">
        <v>25.2126</v>
      </c>
      <c r="X89" s="0" t="n">
        <v>2.213</v>
      </c>
      <c r="Y89" s="0" t="n">
        <v>0.02213</v>
      </c>
      <c r="Z89" s="0" t="n">
        <v>0.02213</v>
      </c>
    </row>
    <row r="90" customFormat="false" ht="16" hidden="false" customHeight="false" outlineLevel="0" collapsed="false">
      <c r="A90" s="0" t="s">
        <v>53</v>
      </c>
      <c r="B90" s="40" t="s">
        <v>260</v>
      </c>
      <c r="C90" s="0" t="n">
        <v>22.1432</v>
      </c>
      <c r="D90" s="0" t="n">
        <v>2.236</v>
      </c>
      <c r="E90" s="0" t="n">
        <v>0.02236</v>
      </c>
      <c r="F90" s="0" t="n">
        <v>0.02236</v>
      </c>
      <c r="H90" s="0" t="n">
        <v>22.8617</v>
      </c>
      <c r="I90" s="0" t="n">
        <v>2.097</v>
      </c>
      <c r="J90" s="0" t="n">
        <v>0.02097</v>
      </c>
      <c r="K90" s="0" t="n">
        <v>0.02097</v>
      </c>
      <c r="M90" s="0" t="n">
        <v>22.712</v>
      </c>
      <c r="N90" s="0" t="n">
        <v>1.906</v>
      </c>
      <c r="O90" s="0" t="n">
        <v>0.01906</v>
      </c>
      <c r="P90" s="0" t="n">
        <v>0.01899</v>
      </c>
      <c r="R90" s="0" t="n">
        <v>22.289</v>
      </c>
      <c r="S90" s="0" t="n">
        <v>2.411</v>
      </c>
      <c r="T90" s="0" t="n">
        <v>0.02411</v>
      </c>
      <c r="U90" s="0" t="n">
        <v>0.02411</v>
      </c>
      <c r="W90" s="0" t="n">
        <v>24.6966</v>
      </c>
      <c r="X90" s="0" t="n">
        <v>2.217</v>
      </c>
      <c r="Y90" s="0" t="n">
        <v>0.02217</v>
      </c>
      <c r="Z90" s="0" t="n">
        <v>0.02217</v>
      </c>
    </row>
    <row r="91" customFormat="false" ht="16" hidden="false" customHeight="false" outlineLevel="0" collapsed="false">
      <c r="A91" s="0" t="s">
        <v>53</v>
      </c>
      <c r="B91" s="40" t="s">
        <v>267</v>
      </c>
      <c r="C91" s="0" t="n">
        <v>22.0349</v>
      </c>
      <c r="D91" s="0" t="n">
        <v>2.246</v>
      </c>
      <c r="E91" s="0" t="n">
        <v>0.02246</v>
      </c>
      <c r="F91" s="0" t="n">
        <v>0.02308</v>
      </c>
      <c r="H91" s="0" t="n">
        <v>22.7378</v>
      </c>
      <c r="I91" s="0" t="n">
        <v>2.093</v>
      </c>
      <c r="J91" s="0" t="n">
        <v>0.02093</v>
      </c>
      <c r="K91" s="0" t="n">
        <v>0.02166</v>
      </c>
      <c r="M91" s="0" t="n">
        <v>22.632</v>
      </c>
      <c r="N91" s="0" t="n">
        <v>1.926</v>
      </c>
      <c r="O91" s="0" t="n">
        <v>0.01926</v>
      </c>
      <c r="P91" s="0" t="n">
        <v>0.01926</v>
      </c>
      <c r="R91" s="0" t="n">
        <v>22.1904</v>
      </c>
      <c r="S91" s="0" t="n">
        <v>2.419</v>
      </c>
      <c r="T91" s="0" t="n">
        <v>0.02419</v>
      </c>
      <c r="U91" s="0" t="n">
        <v>0.02419</v>
      </c>
      <c r="W91" s="0" t="n">
        <v>24.539</v>
      </c>
      <c r="X91" s="0" t="n">
        <v>2.239</v>
      </c>
      <c r="Y91" s="0" t="n">
        <v>0.02239</v>
      </c>
      <c r="Z91" s="0" t="n">
        <v>0.02239</v>
      </c>
    </row>
    <row r="92" customFormat="false" ht="16" hidden="false" customHeight="false" outlineLevel="0" collapsed="false">
      <c r="A92" s="0" t="s">
        <v>53</v>
      </c>
      <c r="B92" s="40" t="s">
        <v>272</v>
      </c>
      <c r="C92" s="0" t="n">
        <v>21.5259</v>
      </c>
      <c r="D92" s="0" t="n">
        <v>2.202</v>
      </c>
      <c r="E92" s="0" t="n">
        <v>0.02202</v>
      </c>
      <c r="F92" s="0" t="n">
        <v>0.02202</v>
      </c>
      <c r="H92" s="0" t="n">
        <v>22.1178</v>
      </c>
      <c r="I92" s="0" t="n">
        <v>2.111</v>
      </c>
      <c r="J92" s="0" t="n">
        <v>0.02111</v>
      </c>
      <c r="K92" s="0" t="n">
        <v>0.0215</v>
      </c>
      <c r="M92" s="0" t="n">
        <v>22.151</v>
      </c>
      <c r="N92" s="0" t="n">
        <v>1.899</v>
      </c>
      <c r="O92" s="0" t="n">
        <v>0.01899</v>
      </c>
      <c r="P92" s="0" t="n">
        <v>0.01899</v>
      </c>
      <c r="R92" s="0" t="n">
        <v>21.6339</v>
      </c>
      <c r="S92" s="0" t="n">
        <v>2.431</v>
      </c>
      <c r="T92" s="0" t="n">
        <v>0.02431</v>
      </c>
      <c r="U92" s="0" t="n">
        <v>0.02431</v>
      </c>
      <c r="W92" s="0" t="n">
        <v>23.9919</v>
      </c>
      <c r="X92" s="0" t="n">
        <v>2.19</v>
      </c>
      <c r="Y92" s="0" t="n">
        <v>0.0219</v>
      </c>
      <c r="Z92" s="0" t="n">
        <v>0.0219</v>
      </c>
    </row>
    <row r="93" customFormat="false" ht="16" hidden="false" customHeight="false" outlineLevel="0" collapsed="false">
      <c r="A93" s="0" t="s">
        <v>53</v>
      </c>
      <c r="B93" s="40" t="s">
        <v>281</v>
      </c>
      <c r="C93" s="0" t="n">
        <v>21.639</v>
      </c>
      <c r="D93" s="0" t="n">
        <v>2.229</v>
      </c>
      <c r="E93" s="0" t="n">
        <v>0.02229</v>
      </c>
      <c r="F93" s="0" t="n">
        <v>0.02229</v>
      </c>
      <c r="H93" s="0" t="n">
        <v>22.1757</v>
      </c>
      <c r="I93" s="0" t="n">
        <v>2.124</v>
      </c>
      <c r="J93" s="0" t="n">
        <v>0.02124</v>
      </c>
      <c r="K93" s="0" t="n">
        <v>0.02217</v>
      </c>
      <c r="M93" s="0" t="n">
        <v>22.189</v>
      </c>
      <c r="N93" s="0" t="n">
        <v>1.893</v>
      </c>
      <c r="O93" s="0" t="n">
        <v>0.01893</v>
      </c>
      <c r="P93" s="0" t="n">
        <v>0.01824</v>
      </c>
      <c r="R93" s="0" t="n">
        <v>21.7926</v>
      </c>
      <c r="S93" s="0" t="n">
        <v>2.409</v>
      </c>
      <c r="T93" s="0" t="n">
        <v>0.02409</v>
      </c>
      <c r="U93" s="0" t="n">
        <v>0.02363</v>
      </c>
      <c r="W93" s="0" t="n">
        <v>24.0538</v>
      </c>
      <c r="X93" s="0" t="n">
        <v>2.221</v>
      </c>
      <c r="Y93" s="0" t="n">
        <v>0.02221</v>
      </c>
      <c r="Z93" s="0" t="n">
        <v>0.0223</v>
      </c>
    </row>
    <row r="94" customFormat="false" ht="16" hidden="false" customHeight="false" outlineLevel="0" collapsed="false">
      <c r="A94" s="0" t="s">
        <v>53</v>
      </c>
      <c r="B94" s="40" t="s">
        <v>288</v>
      </c>
      <c r="C94" s="0" t="n">
        <v>22.4856</v>
      </c>
      <c r="D94" s="0" t="n">
        <v>2.225</v>
      </c>
      <c r="E94" s="0" t="n">
        <v>0.02225</v>
      </c>
      <c r="F94" s="0" t="n">
        <v>0.02278</v>
      </c>
      <c r="H94" s="0" t="n">
        <v>23.2869</v>
      </c>
      <c r="I94" s="0" t="n">
        <v>2.094</v>
      </c>
      <c r="J94" s="0" t="n">
        <v>0.02094</v>
      </c>
      <c r="K94" s="0" t="n">
        <v>0.02094</v>
      </c>
      <c r="M94" s="0" t="n">
        <v>23.041</v>
      </c>
      <c r="N94" s="0" t="n">
        <v>1.891</v>
      </c>
      <c r="O94" s="0" t="n">
        <v>0.01891</v>
      </c>
      <c r="P94" s="0" t="n">
        <v>0.01919</v>
      </c>
      <c r="R94" s="0" t="n">
        <v>22.6177</v>
      </c>
      <c r="S94" s="0" t="n">
        <v>2.428</v>
      </c>
      <c r="T94" s="0" t="n">
        <v>0.02428</v>
      </c>
      <c r="U94" s="0" t="n">
        <v>0.02405</v>
      </c>
      <c r="W94" s="0" t="n">
        <v>25.0065</v>
      </c>
      <c r="X94" s="0" t="n">
        <v>2.223</v>
      </c>
      <c r="Y94" s="0" t="n">
        <v>0.02223</v>
      </c>
      <c r="Z94" s="0" t="n">
        <v>0.02207</v>
      </c>
    </row>
    <row r="95" customFormat="false" ht="16" hidden="false" customHeight="false" outlineLevel="0" collapsed="false">
      <c r="A95" s="0" t="s">
        <v>53</v>
      </c>
      <c r="B95" s="40" t="s">
        <v>301</v>
      </c>
      <c r="C95" s="0" t="n">
        <v>20.5425</v>
      </c>
      <c r="D95" s="0" t="n">
        <v>2.239</v>
      </c>
      <c r="E95" s="0" t="n">
        <v>0.02239</v>
      </c>
      <c r="F95" s="0" t="n">
        <v>0.02239</v>
      </c>
      <c r="H95" s="0" t="n">
        <v>20.8311</v>
      </c>
      <c r="I95" s="0" t="n">
        <v>2.129</v>
      </c>
      <c r="J95" s="0" t="n">
        <v>0.02129</v>
      </c>
      <c r="K95" s="0" t="n">
        <v>0.02173</v>
      </c>
      <c r="M95" s="0" t="n">
        <v>21.159</v>
      </c>
      <c r="N95" s="0" t="n">
        <v>1.895</v>
      </c>
      <c r="O95" s="0" t="n">
        <v>0.01895</v>
      </c>
      <c r="P95" s="0" t="n">
        <v>0.01895</v>
      </c>
      <c r="R95" s="0" t="n">
        <v>20.6948</v>
      </c>
      <c r="S95" s="0" t="n">
        <v>2.42</v>
      </c>
      <c r="T95" s="0" t="n">
        <v>0.0242</v>
      </c>
      <c r="U95" s="0" t="n">
        <v>0.02313</v>
      </c>
      <c r="W95" s="0" t="n">
        <v>22.8667</v>
      </c>
      <c r="X95" s="0" t="n">
        <v>2.24</v>
      </c>
      <c r="Y95" s="0" t="n">
        <v>0.0224</v>
      </c>
      <c r="Z95" s="0" t="n">
        <v>0.02283</v>
      </c>
    </row>
    <row r="96" customFormat="false" ht="16" hidden="false" customHeight="false" outlineLevel="0" collapsed="false">
      <c r="A96" s="0" t="s">
        <v>438</v>
      </c>
      <c r="B96" s="0" t="s">
        <v>437</v>
      </c>
      <c r="C96" s="0" t="n">
        <v>19.8522</v>
      </c>
      <c r="D96" s="0" t="n">
        <v>2.229</v>
      </c>
      <c r="E96" s="0" t="n">
        <v>0.02229</v>
      </c>
      <c r="F96" s="0" t="n">
        <v>0.02229</v>
      </c>
      <c r="H96" s="0" t="n">
        <v>20.0348</v>
      </c>
      <c r="I96" s="0" t="n">
        <v>2.113</v>
      </c>
      <c r="J96" s="0" t="n">
        <v>0.02113</v>
      </c>
      <c r="K96" s="0" t="n">
        <v>0.02113</v>
      </c>
      <c r="M96" s="0" t="n">
        <v>20.527</v>
      </c>
      <c r="N96" s="0" t="n">
        <v>1.916</v>
      </c>
      <c r="O96" s="0" t="n">
        <v>0.01916</v>
      </c>
      <c r="P96" s="0" t="n">
        <v>0.0184</v>
      </c>
      <c r="R96" s="0" t="n">
        <v>20.0877</v>
      </c>
      <c r="S96" s="0" t="n">
        <v>2.423</v>
      </c>
      <c r="T96" s="0" t="n">
        <v>0.02423</v>
      </c>
      <c r="U96" s="0" t="n">
        <v>0.02423</v>
      </c>
      <c r="W96" s="0" t="n">
        <v>22.098</v>
      </c>
      <c r="X96" s="0" t="n">
        <v>2.216</v>
      </c>
      <c r="Y96" s="0" t="n">
        <v>0.02216</v>
      </c>
      <c r="Z96" s="0" t="n">
        <v>0.02216</v>
      </c>
    </row>
    <row r="97" customFormat="false" ht="16" hidden="false" customHeight="false" outlineLevel="0" collapsed="false">
      <c r="A97" s="0" t="s">
        <v>438</v>
      </c>
      <c r="B97" s="0" t="s">
        <v>441</v>
      </c>
      <c r="C97" s="0" t="n">
        <v>24.8818</v>
      </c>
      <c r="D97" s="0" t="n">
        <v>2.249</v>
      </c>
      <c r="E97" s="0" t="n">
        <v>0.02249</v>
      </c>
      <c r="F97" s="0" t="n">
        <v>0.02249</v>
      </c>
      <c r="H97" s="0" t="n">
        <v>26.3484</v>
      </c>
      <c r="I97" s="0" t="n">
        <v>2.107</v>
      </c>
      <c r="J97" s="0" t="n">
        <v>0.02107</v>
      </c>
      <c r="K97" s="0" t="n">
        <v>0.0217</v>
      </c>
      <c r="M97" s="0" t="n">
        <v>25.472</v>
      </c>
      <c r="N97" s="0" t="n">
        <v>1.874</v>
      </c>
      <c r="O97" s="0" t="n">
        <v>0.01874</v>
      </c>
      <c r="P97" s="0" t="n">
        <v>0.01862</v>
      </c>
      <c r="R97" s="0" t="n">
        <v>24.995</v>
      </c>
      <c r="S97" s="0" t="n">
        <v>2.437</v>
      </c>
      <c r="T97" s="0" t="n">
        <v>0.02437</v>
      </c>
      <c r="U97" s="0" t="n">
        <v>0.02437</v>
      </c>
      <c r="W97" s="0" t="n">
        <v>27.725</v>
      </c>
      <c r="X97" s="0" t="n">
        <v>2.257</v>
      </c>
      <c r="Y97" s="0" t="n">
        <v>0.02257</v>
      </c>
      <c r="Z97" s="0" t="n">
        <v>0.02255</v>
      </c>
    </row>
    <row r="98" customFormat="false" ht="16" hidden="false" customHeight="false" outlineLevel="0" collapsed="false">
      <c r="A98" s="0" t="s">
        <v>438</v>
      </c>
      <c r="B98" s="0" t="s">
        <v>444</v>
      </c>
      <c r="C98" s="0" t="n">
        <v>20.1176</v>
      </c>
      <c r="D98" s="0" t="n">
        <v>2.244</v>
      </c>
      <c r="E98" s="0" t="n">
        <v>0.02244</v>
      </c>
      <c r="F98" s="0" t="n">
        <v>0.02244</v>
      </c>
      <c r="H98" s="0" t="n">
        <v>20.289</v>
      </c>
      <c r="I98" s="0" t="n">
        <v>2.115</v>
      </c>
      <c r="J98" s="0" t="n">
        <v>0.02115</v>
      </c>
      <c r="K98" s="0" t="n">
        <v>0.02115</v>
      </c>
      <c r="M98" s="0" t="n">
        <v>20.727</v>
      </c>
      <c r="N98" s="0" t="n">
        <v>1.901</v>
      </c>
      <c r="O98" s="0" t="n">
        <v>0.01901</v>
      </c>
      <c r="P98" s="0" t="n">
        <v>0.01901</v>
      </c>
      <c r="R98" s="0" t="n">
        <v>20.3202</v>
      </c>
      <c r="S98" s="0" t="n">
        <v>2.404</v>
      </c>
      <c r="T98" s="0" t="n">
        <v>0.02404</v>
      </c>
      <c r="U98" s="0" t="n">
        <v>0.02404</v>
      </c>
      <c r="W98" s="0" t="n">
        <v>22.3912</v>
      </c>
      <c r="X98" s="0" t="n">
        <v>2.205</v>
      </c>
      <c r="Y98" s="0" t="n">
        <v>0.02205</v>
      </c>
      <c r="Z98" s="0" t="n">
        <v>0.02205</v>
      </c>
    </row>
    <row r="99" customFormat="false" ht="16" hidden="false" customHeight="false" outlineLevel="0" collapsed="false">
      <c r="A99" s="0" t="s">
        <v>438</v>
      </c>
      <c r="B99" s="0" t="s">
        <v>447</v>
      </c>
      <c r="C99" s="0" t="n">
        <v>19.8812</v>
      </c>
      <c r="D99" s="0" t="n">
        <v>2.235</v>
      </c>
      <c r="E99" s="0" t="n">
        <v>0.02235</v>
      </c>
      <c r="F99" s="0" t="n">
        <v>0.02235</v>
      </c>
      <c r="H99" s="0" t="n">
        <v>19.9449</v>
      </c>
      <c r="I99" s="0" t="n">
        <v>2.127</v>
      </c>
      <c r="J99" s="0" t="n">
        <v>0.02127</v>
      </c>
      <c r="K99" s="0" t="n">
        <v>0.02127</v>
      </c>
      <c r="M99" s="0" t="n">
        <v>20.479</v>
      </c>
      <c r="N99" s="0" t="n">
        <v>1.879</v>
      </c>
      <c r="O99" s="0" t="n">
        <v>0.01879</v>
      </c>
      <c r="P99" s="0" t="n">
        <v>0.01879</v>
      </c>
      <c r="R99" s="0" t="n">
        <v>20.0484</v>
      </c>
      <c r="S99" s="0" t="n">
        <v>2.413</v>
      </c>
      <c r="T99" s="0" t="n">
        <v>0.02413</v>
      </c>
      <c r="U99" s="0" t="n">
        <v>0.02389</v>
      </c>
      <c r="W99" s="0" t="n">
        <v>22.0476</v>
      </c>
      <c r="X99" s="0" t="n">
        <v>2.157</v>
      </c>
      <c r="Y99" s="0" t="n">
        <v>0.02157</v>
      </c>
      <c r="Z99" s="0" t="n">
        <v>0.02181</v>
      </c>
    </row>
    <row r="100" customFormat="false" ht="16" hidden="false" customHeight="false" outlineLevel="0" collapsed="false">
      <c r="A100" s="0" t="s">
        <v>438</v>
      </c>
      <c r="B100" s="0" t="s">
        <v>450</v>
      </c>
      <c r="C100" s="0" t="n">
        <v>17.9761</v>
      </c>
      <c r="D100" s="0" t="n">
        <v>2.233</v>
      </c>
      <c r="E100" s="0" t="n">
        <v>0.02233</v>
      </c>
      <c r="F100" s="0" t="n">
        <v>0.02233</v>
      </c>
      <c r="H100" s="0" t="n">
        <v>17.5638</v>
      </c>
      <c r="I100" s="0" t="n">
        <v>2.126</v>
      </c>
      <c r="J100" s="0" t="n">
        <v>0.02126</v>
      </c>
      <c r="K100" s="0" t="n">
        <v>0.02126</v>
      </c>
      <c r="M100" s="0" t="n">
        <v>18.607</v>
      </c>
      <c r="N100" s="0" t="n">
        <v>1.911</v>
      </c>
      <c r="O100" s="0" t="n">
        <v>0.01911</v>
      </c>
      <c r="P100" s="0" t="n">
        <v>0.01911</v>
      </c>
      <c r="R100" s="0" t="n">
        <v>18.1818</v>
      </c>
      <c r="S100" s="0" t="n">
        <v>2.42</v>
      </c>
      <c r="T100" s="0" t="n">
        <v>0.0242</v>
      </c>
      <c r="U100" s="0" t="n">
        <v>0.0242</v>
      </c>
      <c r="W100" s="0" t="n">
        <v>19.9888</v>
      </c>
      <c r="X100" s="0" t="n">
        <v>2.188</v>
      </c>
      <c r="Y100" s="0" t="n">
        <v>0.02188</v>
      </c>
      <c r="Z100" s="0" t="n">
        <v>0.02188</v>
      </c>
    </row>
    <row r="101" customFormat="false" ht="16" hidden="false" customHeight="false" outlineLevel="0" collapsed="false">
      <c r="A101" s="0" t="s">
        <v>438</v>
      </c>
      <c r="B101" s="0" t="s">
        <v>453</v>
      </c>
      <c r="C101" s="0" t="n">
        <v>18.0881</v>
      </c>
      <c r="D101" s="0" t="n">
        <v>2.248</v>
      </c>
      <c r="E101" s="0" t="n">
        <v>0.02248</v>
      </c>
      <c r="F101" s="0" t="n">
        <v>0.02248</v>
      </c>
      <c r="H101" s="0" t="n">
        <v>17.7275</v>
      </c>
      <c r="I101" s="0" t="n">
        <v>2.167</v>
      </c>
      <c r="J101" s="0" t="n">
        <v>0.02167</v>
      </c>
      <c r="K101" s="0" t="n">
        <v>0.02167</v>
      </c>
      <c r="M101" s="0" t="n">
        <v>18.735</v>
      </c>
      <c r="N101" s="0" t="n">
        <v>1.914</v>
      </c>
      <c r="O101" s="0" t="n">
        <v>0.01914</v>
      </c>
      <c r="P101" s="0" t="n">
        <v>0.01914</v>
      </c>
      <c r="R101" s="0" t="n">
        <v>18.3139</v>
      </c>
      <c r="S101" s="0" t="n">
        <v>2.43</v>
      </c>
      <c r="T101" s="0" t="n">
        <v>0.0243</v>
      </c>
      <c r="U101" s="0" t="n">
        <v>0.02468</v>
      </c>
      <c r="W101" s="0" t="n">
        <v>20.1553</v>
      </c>
      <c r="X101" s="0" t="n">
        <v>2.196</v>
      </c>
      <c r="Y101" s="0" t="n">
        <v>0.02196</v>
      </c>
      <c r="Z101" s="0" t="n">
        <v>0.02196</v>
      </c>
    </row>
    <row r="102" customFormat="false" ht="16" hidden="false" customHeight="false" outlineLevel="0" collapsed="false">
      <c r="A102" s="0" t="s">
        <v>438</v>
      </c>
      <c r="B102" s="0" t="s">
        <v>456</v>
      </c>
      <c r="C102" s="0" t="n">
        <v>16.6814</v>
      </c>
      <c r="D102" s="0" t="n">
        <v>2.221</v>
      </c>
      <c r="E102" s="0" t="n">
        <v>0.02221</v>
      </c>
      <c r="F102" s="0" t="n">
        <v>0.02265</v>
      </c>
      <c r="H102" s="0" t="n">
        <v>15.8943</v>
      </c>
      <c r="I102" s="0" t="n">
        <v>2.132</v>
      </c>
      <c r="J102" s="0" t="n">
        <v>0.02132</v>
      </c>
      <c r="K102" s="0" t="n">
        <v>0.0219</v>
      </c>
      <c r="M102" s="0" t="n">
        <v>17.362</v>
      </c>
      <c r="N102" s="0" t="n">
        <v>1.912</v>
      </c>
      <c r="O102" s="0" t="n">
        <v>0.01912</v>
      </c>
      <c r="P102" s="0" t="n">
        <v>0.01978</v>
      </c>
      <c r="R102" s="0" t="n">
        <v>16.9161</v>
      </c>
      <c r="S102" s="0" t="n">
        <v>2.424</v>
      </c>
      <c r="T102" s="0" t="n">
        <v>0.02424</v>
      </c>
      <c r="U102" s="0" t="n">
        <v>0.02424</v>
      </c>
      <c r="W102" s="0" t="n">
        <v>18.5465</v>
      </c>
      <c r="X102" s="0" t="n">
        <v>2.195</v>
      </c>
      <c r="Y102" s="0" t="n">
        <v>0.02195</v>
      </c>
      <c r="Z102" s="0" t="n">
        <v>0.02195</v>
      </c>
    </row>
    <row r="103" customFormat="false" ht="16" hidden="false" customHeight="false" outlineLevel="0" collapsed="false">
      <c r="A103" s="0" t="s">
        <v>438</v>
      </c>
      <c r="B103" s="0" t="s">
        <v>459</v>
      </c>
      <c r="C103" s="0" t="n">
        <v>16.0683</v>
      </c>
      <c r="D103" s="0" t="n">
        <v>2.234</v>
      </c>
      <c r="E103" s="0" t="n">
        <v>0.02234</v>
      </c>
      <c r="F103" s="0" t="n">
        <v>0.02194</v>
      </c>
      <c r="H103" s="0" t="n">
        <v>15.1041</v>
      </c>
      <c r="I103" s="0" t="n">
        <v>2.155</v>
      </c>
      <c r="J103" s="0" t="n">
        <v>0.02155</v>
      </c>
      <c r="K103" s="0" t="n">
        <v>0.02195</v>
      </c>
      <c r="M103" s="0" t="n">
        <v>16.705</v>
      </c>
      <c r="N103" s="0" t="n">
        <v>1.912</v>
      </c>
      <c r="O103" s="0" t="n">
        <v>0.01912</v>
      </c>
      <c r="P103" s="0" t="n">
        <v>0.01912</v>
      </c>
      <c r="R103" s="0" t="n">
        <v>16.2822</v>
      </c>
      <c r="S103" s="0" t="n">
        <v>2.451</v>
      </c>
      <c r="T103" s="0" t="n">
        <v>0.02451</v>
      </c>
      <c r="U103" s="0" t="n">
        <v>0.02451</v>
      </c>
      <c r="W103" s="0" t="n">
        <v>17.8278</v>
      </c>
      <c r="X103" s="0" t="n">
        <v>2.181</v>
      </c>
      <c r="Y103" s="0" t="n">
        <v>0.02181</v>
      </c>
      <c r="Z103" s="0" t="n">
        <v>0.02181</v>
      </c>
    </row>
    <row r="104" customFormat="false" ht="16" hidden="false" customHeight="false" outlineLevel="0" collapsed="false">
      <c r="A104" s="0" t="s">
        <v>438</v>
      </c>
      <c r="B104" s="0" t="s">
        <v>462</v>
      </c>
      <c r="C104" s="0" t="n">
        <v>14.6235</v>
      </c>
      <c r="D104" s="0" t="n">
        <v>2.226</v>
      </c>
      <c r="E104" s="0" t="n">
        <v>0.02226</v>
      </c>
      <c r="F104" s="0" t="n">
        <v>0.02216</v>
      </c>
      <c r="H104" s="0" t="n">
        <v>13.3684</v>
      </c>
      <c r="I104" s="0" t="n">
        <v>2.16</v>
      </c>
      <c r="J104" s="0" t="n">
        <v>0.0216</v>
      </c>
      <c r="K104" s="0" t="n">
        <v>0.0216</v>
      </c>
      <c r="M104" s="0" t="n">
        <v>15.304</v>
      </c>
      <c r="N104" s="0" t="n">
        <v>1.94</v>
      </c>
      <c r="O104" s="0" t="n">
        <v>0.0194</v>
      </c>
      <c r="P104" s="0" t="n">
        <v>0.0194</v>
      </c>
      <c r="R104" s="0" t="n">
        <v>14.8535</v>
      </c>
      <c r="S104" s="0" t="n">
        <v>2.416</v>
      </c>
      <c r="T104" s="0" t="n">
        <v>0.02416</v>
      </c>
      <c r="U104" s="0" t="n">
        <v>0.02416</v>
      </c>
      <c r="W104" s="0" t="n">
        <v>16.2466</v>
      </c>
      <c r="X104" s="0" t="n">
        <v>2.144</v>
      </c>
      <c r="Y104" s="0" t="n">
        <v>0.02144</v>
      </c>
      <c r="Z104" s="0" t="n">
        <v>0.02144</v>
      </c>
    </row>
    <row r="105" customFormat="false" ht="16" hidden="false" customHeight="false" outlineLevel="0" collapsed="false">
      <c r="A105" s="0" t="s">
        <v>438</v>
      </c>
      <c r="B105" s="0" t="s">
        <v>465</v>
      </c>
      <c r="C105" s="0" t="n">
        <v>8.8807</v>
      </c>
      <c r="D105" s="0" t="n">
        <v>2.217</v>
      </c>
      <c r="E105" s="0" t="n">
        <v>0.02217</v>
      </c>
      <c r="F105" s="0" t="n">
        <v>0.02217</v>
      </c>
      <c r="H105" s="0" t="n">
        <v>6.0409</v>
      </c>
      <c r="I105" s="0" t="n">
        <v>2.242</v>
      </c>
      <c r="J105" s="0" t="n">
        <v>0.02242</v>
      </c>
      <c r="K105" s="0" t="n">
        <v>0.02359</v>
      </c>
      <c r="M105" s="0" t="n">
        <v>9.688</v>
      </c>
      <c r="N105" s="0" t="n">
        <v>1.957</v>
      </c>
      <c r="O105" s="0" t="n">
        <v>0.01957</v>
      </c>
      <c r="P105" s="0" t="n">
        <v>0.02001</v>
      </c>
      <c r="R105" s="0" t="n">
        <v>9.2074</v>
      </c>
      <c r="S105" s="0" t="n">
        <v>2.391</v>
      </c>
      <c r="T105" s="0" t="n">
        <v>0.02391</v>
      </c>
      <c r="U105" s="0" t="n">
        <v>0.02391</v>
      </c>
      <c r="W105" s="0" t="n">
        <v>9.886</v>
      </c>
      <c r="X105" s="0" t="n">
        <v>2.155</v>
      </c>
      <c r="Y105" s="0" t="n">
        <v>0.02155</v>
      </c>
      <c r="Z105" s="0" t="n">
        <v>0.02155</v>
      </c>
    </row>
    <row r="106" customFormat="false" ht="16" hidden="false" customHeight="false" outlineLevel="0" collapsed="false">
      <c r="A106" s="0" t="s">
        <v>438</v>
      </c>
      <c r="B106" s="0" t="s">
        <v>470</v>
      </c>
      <c r="C106" s="0" t="n">
        <v>8.0348</v>
      </c>
      <c r="D106" s="0" t="n">
        <v>2.232</v>
      </c>
      <c r="E106" s="0" t="n">
        <v>0.02232</v>
      </c>
      <c r="F106" s="0" t="n">
        <v>0.02232</v>
      </c>
      <c r="H106" s="0" t="n">
        <v>5.0164</v>
      </c>
      <c r="I106" s="0" t="n">
        <v>2.243</v>
      </c>
      <c r="J106" s="0" t="n">
        <v>0.02243</v>
      </c>
      <c r="K106" s="0" t="n">
        <v>0.02315</v>
      </c>
      <c r="M106" s="0" t="n">
        <v>8.887</v>
      </c>
      <c r="N106" s="0" t="n">
        <v>1.953</v>
      </c>
      <c r="O106" s="0" t="n">
        <v>0.01953</v>
      </c>
      <c r="P106" s="0" t="n">
        <v>0.01943</v>
      </c>
      <c r="R106" s="0" t="n">
        <v>8.4295</v>
      </c>
      <c r="S106" s="0" t="n">
        <v>2.41</v>
      </c>
      <c r="T106" s="0" t="n">
        <v>0.0241</v>
      </c>
      <c r="U106" s="0" t="n">
        <v>0.02359</v>
      </c>
      <c r="W106" s="0" t="n">
        <v>8.9219</v>
      </c>
      <c r="X106" s="0" t="n">
        <v>2.181</v>
      </c>
      <c r="Y106" s="0" t="n">
        <v>0.02181</v>
      </c>
      <c r="Z106" s="0" t="n">
        <v>0.02181</v>
      </c>
    </row>
    <row r="107" customFormat="false" ht="16" hidden="false" customHeight="false" outlineLevel="0" collapsed="false">
      <c r="A107" s="0" t="s">
        <v>438</v>
      </c>
      <c r="B107" s="0" t="s">
        <v>475</v>
      </c>
      <c r="C107" s="0" t="n">
        <v>6.9856</v>
      </c>
      <c r="D107" s="0" t="n">
        <v>2.244</v>
      </c>
      <c r="E107" s="0" t="n">
        <v>0.02244</v>
      </c>
      <c r="F107" s="0" t="n">
        <v>0.02244</v>
      </c>
      <c r="H107" s="0" t="n">
        <v>3.6367</v>
      </c>
      <c r="I107" s="0" t="n">
        <v>2.283</v>
      </c>
      <c r="J107" s="0" t="n">
        <v>0.02283</v>
      </c>
      <c r="K107" s="0" t="n">
        <v>0.02407</v>
      </c>
      <c r="M107" s="0" t="n">
        <v>7.838</v>
      </c>
      <c r="N107" s="0" t="n">
        <v>1.958</v>
      </c>
      <c r="O107" s="0" t="n">
        <v>0.01958</v>
      </c>
      <c r="P107" s="0" t="n">
        <v>0.01958</v>
      </c>
      <c r="R107" s="0" t="n">
        <v>7.3367</v>
      </c>
      <c r="S107" s="0" t="n">
        <v>2.411</v>
      </c>
      <c r="T107" s="0" t="n">
        <v>0.02411</v>
      </c>
      <c r="U107" s="0" t="n">
        <v>0.02411</v>
      </c>
      <c r="W107" s="0" t="n">
        <v>7.7605</v>
      </c>
      <c r="X107" s="0" t="n">
        <v>2.145</v>
      </c>
      <c r="Y107" s="0" t="n">
        <v>0.02145</v>
      </c>
      <c r="Z107" s="0" t="n">
        <v>0.02145</v>
      </c>
    </row>
    <row r="108" customFormat="false" ht="16" hidden="false" customHeight="false" outlineLevel="0" collapsed="false">
      <c r="A108" s="0" t="s">
        <v>438</v>
      </c>
      <c r="B108" s="0" t="s">
        <v>480</v>
      </c>
      <c r="C108" s="0" t="n">
        <v>11.4591</v>
      </c>
      <c r="D108" s="0" t="n">
        <v>2.233</v>
      </c>
      <c r="E108" s="0" t="n">
        <v>0.02233</v>
      </c>
      <c r="F108" s="0" t="n">
        <v>0.02233</v>
      </c>
      <c r="H108" s="0" t="n">
        <v>9.3678</v>
      </c>
      <c r="I108" s="0" t="n">
        <v>2.196</v>
      </c>
      <c r="J108" s="0" t="n">
        <v>0.02196</v>
      </c>
      <c r="K108" s="0" t="n">
        <v>0.02241</v>
      </c>
      <c r="M108" s="0" t="n">
        <v>12.247</v>
      </c>
      <c r="N108" s="0" t="n">
        <v>1.938</v>
      </c>
      <c r="O108" s="0" t="n">
        <v>0.01938</v>
      </c>
      <c r="P108" s="0" t="n">
        <v>0.01938</v>
      </c>
      <c r="R108" s="0" t="n">
        <v>11.7958</v>
      </c>
      <c r="S108" s="0" t="n">
        <v>2.41</v>
      </c>
      <c r="T108" s="0" t="n">
        <v>0.0241</v>
      </c>
      <c r="U108" s="0" t="n">
        <v>0.02477</v>
      </c>
      <c r="W108" s="0" t="n">
        <v>12.7956</v>
      </c>
      <c r="X108" s="0" t="n">
        <v>2.132</v>
      </c>
      <c r="Y108" s="0" t="n">
        <v>0.02132</v>
      </c>
      <c r="Z108" s="0" t="n">
        <v>0.02255</v>
      </c>
    </row>
    <row r="109" customFormat="false" ht="16" hidden="false" customHeight="false" outlineLevel="0" collapsed="false">
      <c r="A109" s="0" t="s">
        <v>438</v>
      </c>
      <c r="B109" s="0" t="s">
        <v>487</v>
      </c>
      <c r="C109" s="0" t="n">
        <v>26.7875</v>
      </c>
      <c r="D109" s="0" t="n">
        <v>2.219</v>
      </c>
      <c r="E109" s="0" t="n">
        <v>0.02219</v>
      </c>
      <c r="F109" s="0" t="n">
        <v>0.02186</v>
      </c>
      <c r="H109" s="0" t="n">
        <v>28.7787</v>
      </c>
      <c r="I109" s="0" t="n">
        <v>2.12</v>
      </c>
      <c r="J109" s="0" t="n">
        <v>0.0212</v>
      </c>
      <c r="K109" s="0" t="n">
        <v>0.02089</v>
      </c>
      <c r="M109" s="0" t="n">
        <v>27.302</v>
      </c>
      <c r="N109" s="0" t="n">
        <v>1.906</v>
      </c>
      <c r="O109" s="0" t="n">
        <v>0.01906</v>
      </c>
      <c r="P109" s="0" t="n">
        <v>0.01906</v>
      </c>
      <c r="R109" s="0" t="n">
        <v>26.8709</v>
      </c>
      <c r="S109" s="0" t="n">
        <v>2.417</v>
      </c>
      <c r="T109" s="0" t="n">
        <v>0.02417</v>
      </c>
      <c r="U109" s="0" t="n">
        <v>0.02376</v>
      </c>
      <c r="W109" s="0" t="n">
        <v>29.8205</v>
      </c>
      <c r="X109" s="0" t="n">
        <v>2.225</v>
      </c>
      <c r="Y109" s="0" t="n">
        <v>0.02225</v>
      </c>
      <c r="Z109" s="0" t="n">
        <v>0.02225</v>
      </c>
    </row>
    <row r="110" customFormat="false" ht="16" hidden="false" customHeight="false" outlineLevel="0" collapsed="false">
      <c r="A110" s="0" t="s">
        <v>438</v>
      </c>
      <c r="B110" s="0" t="s">
        <v>490</v>
      </c>
      <c r="C110" s="0" t="n">
        <v>17.0336</v>
      </c>
      <c r="D110" s="0" t="n">
        <v>2.203</v>
      </c>
      <c r="E110" s="0" t="n">
        <v>0.02203</v>
      </c>
      <c r="F110" s="0" t="n">
        <v>0.02203</v>
      </c>
      <c r="H110" s="0" t="n">
        <v>16.4508</v>
      </c>
      <c r="I110" s="0" t="n">
        <v>2.161</v>
      </c>
      <c r="J110" s="0" t="n">
        <v>0.02161</v>
      </c>
      <c r="K110" s="0" t="n">
        <v>0.02161</v>
      </c>
      <c r="M110" s="0" t="n">
        <v>17.757</v>
      </c>
      <c r="N110" s="0" t="n">
        <v>1.918</v>
      </c>
      <c r="O110" s="0" t="n">
        <v>0.01918</v>
      </c>
      <c r="P110" s="0" t="n">
        <v>0.01848</v>
      </c>
      <c r="R110" s="0" t="n">
        <v>17.277</v>
      </c>
      <c r="S110" s="0" t="n">
        <v>2.403</v>
      </c>
      <c r="T110" s="0" t="n">
        <v>0.02403</v>
      </c>
      <c r="U110" s="0" t="n">
        <v>0.02535</v>
      </c>
      <c r="W110" s="0" t="n">
        <v>18.9836</v>
      </c>
      <c r="X110" s="0" t="n">
        <v>2.152</v>
      </c>
      <c r="Y110" s="0" t="n">
        <v>0.02152</v>
      </c>
      <c r="Z110" s="0" t="n">
        <v>0.02152</v>
      </c>
    </row>
    <row r="111" customFormat="false" ht="16" hidden="false" customHeight="false" outlineLevel="0" collapsed="false">
      <c r="A111" s="0" t="s">
        <v>438</v>
      </c>
      <c r="B111" s="0" t="s">
        <v>493</v>
      </c>
      <c r="C111" s="0" t="n">
        <v>27.1236</v>
      </c>
      <c r="D111" s="0" t="n">
        <v>2.259</v>
      </c>
      <c r="E111" s="0" t="n">
        <v>0.02259</v>
      </c>
      <c r="F111" s="0" t="n">
        <v>0.02259</v>
      </c>
      <c r="H111" s="0" t="n">
        <v>29.179</v>
      </c>
      <c r="I111" s="0" t="n">
        <v>2.126</v>
      </c>
      <c r="J111" s="0" t="n">
        <v>0.02126</v>
      </c>
      <c r="K111" s="0" t="n">
        <v>0.02082</v>
      </c>
      <c r="M111" s="0" t="n">
        <v>27.666</v>
      </c>
      <c r="N111" s="0" t="n">
        <v>1.9</v>
      </c>
      <c r="O111" s="0" t="n">
        <v>0.019</v>
      </c>
      <c r="P111" s="0" t="n">
        <v>0.019</v>
      </c>
      <c r="R111" s="0" t="n">
        <v>27.1447</v>
      </c>
      <c r="S111" s="0" t="n">
        <v>2.407</v>
      </c>
      <c r="T111" s="0" t="n">
        <v>0.02407</v>
      </c>
      <c r="U111" s="0" t="n">
        <v>0.02407</v>
      </c>
      <c r="W111" s="0" t="n">
        <v>30.1722</v>
      </c>
      <c r="X111" s="0" t="n">
        <v>2.27</v>
      </c>
      <c r="Y111" s="0" t="n">
        <v>0.0227</v>
      </c>
      <c r="Z111" s="0" t="n">
        <v>0.0227</v>
      </c>
    </row>
    <row r="112" customFormat="false" ht="16" hidden="false" customHeight="false" outlineLevel="0" collapsed="false">
      <c r="A112" s="0" t="s">
        <v>438</v>
      </c>
      <c r="B112" s="0" t="s">
        <v>496</v>
      </c>
      <c r="C112" s="0" t="n">
        <v>17.1305</v>
      </c>
      <c r="D112" s="0" t="n">
        <v>2.231</v>
      </c>
      <c r="E112" s="0" t="n">
        <v>0.02231</v>
      </c>
      <c r="F112" s="0" t="n">
        <v>0.0229</v>
      </c>
      <c r="H112" s="0" t="n">
        <v>16.4903</v>
      </c>
      <c r="I112" s="0" t="n">
        <v>2.164</v>
      </c>
      <c r="J112" s="0" t="n">
        <v>0.02164</v>
      </c>
      <c r="K112" s="0" t="n">
        <v>0.02213</v>
      </c>
      <c r="M112" s="0" t="n">
        <v>17.833</v>
      </c>
      <c r="N112" s="0" t="n">
        <v>1.943</v>
      </c>
      <c r="O112" s="0" t="n">
        <v>0.01943</v>
      </c>
      <c r="P112" s="0" t="n">
        <v>0.01943</v>
      </c>
      <c r="R112" s="0" t="n">
        <v>17.3239</v>
      </c>
      <c r="S112" s="0" t="n">
        <v>2.436</v>
      </c>
      <c r="T112" s="0" t="n">
        <v>0.02436</v>
      </c>
      <c r="U112" s="0" t="n">
        <v>0.02436</v>
      </c>
      <c r="W112" s="0" t="n">
        <v>19.0474</v>
      </c>
      <c r="X112" s="0" t="n">
        <v>2.165</v>
      </c>
      <c r="Y112" s="0" t="n">
        <v>0.02165</v>
      </c>
      <c r="Z112" s="0" t="n">
        <v>0.02133</v>
      </c>
    </row>
    <row r="113" customFormat="false" ht="16" hidden="false" customHeight="false" outlineLevel="0" collapsed="false">
      <c r="A113" s="0" t="s">
        <v>438</v>
      </c>
      <c r="B113" s="0" t="s">
        <v>499</v>
      </c>
      <c r="C113" s="0" t="n">
        <v>26.987</v>
      </c>
      <c r="D113" s="0" t="n">
        <v>2.228</v>
      </c>
      <c r="E113" s="0" t="n">
        <v>0.02228</v>
      </c>
      <c r="F113" s="0" t="n">
        <v>0.02228</v>
      </c>
      <c r="H113" s="0" t="n">
        <v>29.0813</v>
      </c>
      <c r="I113" s="0" t="n">
        <v>2.132</v>
      </c>
      <c r="J113" s="0" t="n">
        <v>0.02132</v>
      </c>
      <c r="K113" s="0" t="n">
        <v>0.02165</v>
      </c>
      <c r="M113" s="0" t="n">
        <v>27.57</v>
      </c>
      <c r="N113" s="0" t="n">
        <v>1.881</v>
      </c>
      <c r="O113" s="0" t="n">
        <v>0.01881</v>
      </c>
      <c r="P113" s="0" t="n">
        <v>0.01881</v>
      </c>
      <c r="R113" s="0" t="n">
        <v>27.0997</v>
      </c>
      <c r="S113" s="0" t="n">
        <v>2.385</v>
      </c>
      <c r="T113" s="0" t="n">
        <v>0.02385</v>
      </c>
      <c r="U113" s="0" t="n">
        <v>0.02425</v>
      </c>
      <c r="W113" s="0" t="n">
        <v>30.1459</v>
      </c>
      <c r="X113" s="0" t="n">
        <v>2.265</v>
      </c>
      <c r="Y113" s="0" t="n">
        <v>0.02265</v>
      </c>
      <c r="Z113" s="0" t="n">
        <v>0.02246</v>
      </c>
    </row>
    <row r="114" customFormat="false" ht="16" hidden="false" customHeight="false" outlineLevel="0" collapsed="false">
      <c r="A114" s="0" t="s">
        <v>438</v>
      </c>
      <c r="B114" s="0" t="s">
        <v>502</v>
      </c>
      <c r="C114" s="0" t="n">
        <v>24.0596</v>
      </c>
      <c r="D114" s="0" t="n">
        <v>2.224</v>
      </c>
      <c r="E114" s="0" t="n">
        <v>0.02224</v>
      </c>
      <c r="F114" s="0" t="n">
        <v>0.02224</v>
      </c>
      <c r="H114" s="0" t="n">
        <v>25.3283</v>
      </c>
      <c r="I114" s="0" t="n">
        <v>2.107</v>
      </c>
      <c r="J114" s="0" t="n">
        <v>0.02107</v>
      </c>
      <c r="K114" s="0" t="n">
        <v>0.02107</v>
      </c>
      <c r="M114" s="0" t="n">
        <v>24.679</v>
      </c>
      <c r="N114" s="0" t="n">
        <v>1.898</v>
      </c>
      <c r="O114" s="0" t="n">
        <v>0.01898</v>
      </c>
      <c r="P114" s="0" t="n">
        <v>0.01898</v>
      </c>
      <c r="R114" s="0" t="n">
        <v>24.2183</v>
      </c>
      <c r="S114" s="0" t="n">
        <v>2.416</v>
      </c>
      <c r="T114" s="0" t="n">
        <v>0.02416</v>
      </c>
      <c r="U114" s="0" t="n">
        <v>0.02416</v>
      </c>
      <c r="W114" s="0" t="n">
        <v>26.8326</v>
      </c>
      <c r="X114" s="0" t="n">
        <v>2.243</v>
      </c>
      <c r="Y114" s="0" t="n">
        <v>0.02243</v>
      </c>
      <c r="Z114" s="0" t="n">
        <v>0.02192</v>
      </c>
    </row>
    <row r="115" customFormat="false" ht="16" hidden="false" customHeight="false" outlineLevel="0" collapsed="false">
      <c r="A115" s="0" t="s">
        <v>438</v>
      </c>
      <c r="B115" s="0" t="s">
        <v>504</v>
      </c>
      <c r="C115" s="0" t="n">
        <v>14.461</v>
      </c>
      <c r="D115" s="0" t="n">
        <v>2.222</v>
      </c>
      <c r="E115" s="0" t="n">
        <v>0.02222</v>
      </c>
      <c r="F115" s="0" t="n">
        <v>0.02222</v>
      </c>
      <c r="H115" s="0" t="n">
        <v>13.1871</v>
      </c>
      <c r="I115" s="0" t="n">
        <v>2.159</v>
      </c>
      <c r="J115" s="0" t="n">
        <v>0.02159</v>
      </c>
      <c r="K115" s="0" t="n">
        <v>0.02236</v>
      </c>
      <c r="M115" s="0" t="n">
        <v>15.208</v>
      </c>
      <c r="N115" s="0" t="n">
        <v>1.939</v>
      </c>
      <c r="O115" s="0" t="n">
        <v>0.01939</v>
      </c>
      <c r="P115" s="0" t="n">
        <v>0.01935</v>
      </c>
      <c r="R115" s="0" t="n">
        <v>14.6959</v>
      </c>
      <c r="S115" s="0" t="n">
        <v>2.435</v>
      </c>
      <c r="T115" s="0" t="n">
        <v>0.02435</v>
      </c>
      <c r="U115" s="0" t="n">
        <v>0.02435</v>
      </c>
      <c r="W115" s="0" t="n">
        <v>16.1203</v>
      </c>
      <c r="X115" s="0" t="n">
        <v>2.198</v>
      </c>
      <c r="Y115" s="0" t="n">
        <v>0.02198</v>
      </c>
      <c r="Z115" s="0" t="n">
        <v>0.02033</v>
      </c>
    </row>
    <row r="116" customFormat="false" ht="16" hidden="false" customHeight="false" outlineLevel="0" collapsed="false">
      <c r="A116" s="0" t="s">
        <v>438</v>
      </c>
      <c r="B116" s="0" t="s">
        <v>506</v>
      </c>
      <c r="C116" s="0" t="n">
        <v>21.9857</v>
      </c>
      <c r="D116" s="0" t="n">
        <v>2.23</v>
      </c>
      <c r="E116" s="0" t="n">
        <v>0.0223</v>
      </c>
      <c r="F116" s="0" t="n">
        <v>0.02266</v>
      </c>
      <c r="H116" s="0" t="n">
        <v>22.6812</v>
      </c>
      <c r="I116" s="0" t="n">
        <v>2.133</v>
      </c>
      <c r="J116" s="0" t="n">
        <v>0.02133</v>
      </c>
      <c r="K116" s="0" t="n">
        <v>0.02133</v>
      </c>
      <c r="M116" s="0" t="n">
        <v>22.566</v>
      </c>
      <c r="N116" s="0" t="n">
        <v>1.888</v>
      </c>
      <c r="O116" s="0" t="n">
        <v>0.01888</v>
      </c>
      <c r="P116" s="0" t="n">
        <v>0.01888</v>
      </c>
      <c r="R116" s="0" t="n">
        <v>22.1226</v>
      </c>
      <c r="S116" s="0" t="n">
        <v>2.447</v>
      </c>
      <c r="T116" s="0" t="n">
        <v>0.02447</v>
      </c>
      <c r="U116" s="0" t="n">
        <v>0.02447</v>
      </c>
      <c r="W116" s="0" t="n">
        <v>24.4729</v>
      </c>
      <c r="X116" s="0" t="n">
        <v>2.204</v>
      </c>
      <c r="Y116" s="0" t="n">
        <v>0.02204</v>
      </c>
      <c r="Z116" s="0" t="n">
        <v>0.02204</v>
      </c>
    </row>
    <row r="117" customFormat="false" ht="16" hidden="false" customHeight="false" outlineLevel="0" collapsed="false">
      <c r="A117" s="0" t="s">
        <v>438</v>
      </c>
      <c r="B117" s="0" t="s">
        <v>508</v>
      </c>
      <c r="C117" s="0" t="n">
        <v>22.6768</v>
      </c>
      <c r="D117" s="0" t="n">
        <v>2.219</v>
      </c>
      <c r="E117" s="0" t="n">
        <v>0.02219</v>
      </c>
      <c r="F117" s="0" t="n">
        <v>0.02219</v>
      </c>
      <c r="H117" s="0" t="n">
        <v>23.5999</v>
      </c>
      <c r="I117" s="0" t="n">
        <v>2.107</v>
      </c>
      <c r="J117" s="0" t="n">
        <v>0.02107</v>
      </c>
      <c r="K117" s="0" t="n">
        <v>0.02107</v>
      </c>
      <c r="M117" s="0" t="n">
        <v>23.298</v>
      </c>
      <c r="N117" s="0" t="n">
        <v>1.891</v>
      </c>
      <c r="O117" s="0" t="n">
        <v>0.01891</v>
      </c>
      <c r="P117" s="0" t="n">
        <v>0.01866</v>
      </c>
      <c r="R117" s="0" t="n">
        <v>22.8492</v>
      </c>
      <c r="S117" s="0" t="n">
        <v>2.438</v>
      </c>
      <c r="T117" s="0" t="n">
        <v>0.02438</v>
      </c>
      <c r="U117" s="0" t="n">
        <v>0.02438</v>
      </c>
      <c r="W117" s="0" t="n">
        <v>25.2973</v>
      </c>
      <c r="X117" s="0" t="n">
        <v>2.232</v>
      </c>
      <c r="Y117" s="0" t="n">
        <v>0.02232</v>
      </c>
      <c r="Z117" s="0" t="n">
        <v>0.02232</v>
      </c>
    </row>
    <row r="118" customFormat="false" ht="16" hidden="false" customHeight="false" outlineLevel="0" collapsed="false">
      <c r="A118" s="0" t="s">
        <v>438</v>
      </c>
      <c r="B118" s="0" t="s">
        <v>511</v>
      </c>
      <c r="C118" s="0" t="n">
        <v>22.2635</v>
      </c>
      <c r="D118" s="0" t="n">
        <v>2.233</v>
      </c>
      <c r="E118" s="0" t="n">
        <v>0.02233</v>
      </c>
      <c r="F118" s="0" t="n">
        <v>0.02233</v>
      </c>
      <c r="H118" s="0" t="n">
        <v>23.0224</v>
      </c>
      <c r="I118" s="0" t="n">
        <v>2.115</v>
      </c>
      <c r="J118" s="0" t="n">
        <v>0.02115</v>
      </c>
      <c r="K118" s="0" t="n">
        <v>0.02115</v>
      </c>
      <c r="M118" s="0" t="n">
        <v>22.855</v>
      </c>
      <c r="N118" s="0" t="n">
        <v>1.893</v>
      </c>
      <c r="O118" s="0" t="n">
        <v>0.01893</v>
      </c>
      <c r="P118" s="0" t="n">
        <v>0.01893</v>
      </c>
      <c r="R118" s="0" t="n">
        <v>22.4097</v>
      </c>
      <c r="S118" s="0" t="n">
        <v>2.435</v>
      </c>
      <c r="T118" s="0" t="n">
        <v>0.02435</v>
      </c>
      <c r="U118" s="0" t="n">
        <v>0.02435</v>
      </c>
      <c r="W118" s="0" t="n">
        <v>24.796</v>
      </c>
      <c r="X118" s="0" t="n">
        <v>2.229</v>
      </c>
      <c r="Y118" s="0" t="n">
        <v>0.02229</v>
      </c>
      <c r="Z118" s="0" t="n">
        <v>0.02229</v>
      </c>
    </row>
    <row r="119" customFormat="false" ht="16" hidden="false" customHeight="false" outlineLevel="0" collapsed="false">
      <c r="A119" s="0" t="s">
        <v>438</v>
      </c>
      <c r="B119" s="0" t="s">
        <v>514</v>
      </c>
      <c r="C119" s="0" t="n">
        <v>26.2622</v>
      </c>
      <c r="D119" s="0" t="n">
        <v>2.247</v>
      </c>
      <c r="E119" s="0" t="n">
        <v>0.02247</v>
      </c>
      <c r="F119" s="0" t="n">
        <v>0.02178</v>
      </c>
      <c r="H119" s="0" t="n">
        <v>28.1595</v>
      </c>
      <c r="I119" s="0" t="n">
        <v>2.115</v>
      </c>
      <c r="J119" s="0" t="n">
        <v>0.02115</v>
      </c>
      <c r="K119" s="0" t="n">
        <v>0.02115</v>
      </c>
      <c r="M119" s="0" t="n">
        <v>26.813</v>
      </c>
      <c r="N119" s="0" t="n">
        <v>1.911</v>
      </c>
      <c r="O119" s="0" t="n">
        <v>0.01911</v>
      </c>
      <c r="P119" s="0" t="n">
        <v>0.01967</v>
      </c>
      <c r="R119" s="0" t="n">
        <v>26.367</v>
      </c>
      <c r="S119" s="0" t="n">
        <v>2.439</v>
      </c>
      <c r="T119" s="0" t="n">
        <v>0.02439</v>
      </c>
      <c r="U119" s="0" t="n">
        <v>0.02403</v>
      </c>
      <c r="W119" s="0" t="n">
        <v>29.3052</v>
      </c>
      <c r="X119" s="0" t="n">
        <v>2.249</v>
      </c>
      <c r="Y119" s="0" t="n">
        <v>0.02249</v>
      </c>
      <c r="Z119" s="0" t="n">
        <v>0.02306</v>
      </c>
    </row>
    <row r="120" customFormat="false" ht="16" hidden="false" customHeight="false" outlineLevel="0" collapsed="false">
      <c r="A120" s="0" t="s">
        <v>438</v>
      </c>
      <c r="B120" s="0" t="s">
        <v>516</v>
      </c>
      <c r="C120" s="0" t="n">
        <v>24.2502</v>
      </c>
      <c r="D120" s="0" t="n">
        <v>2.204</v>
      </c>
      <c r="E120" s="0" t="n">
        <v>0.02204</v>
      </c>
      <c r="F120" s="0" t="n">
        <v>0.02204</v>
      </c>
      <c r="H120" s="0" t="n">
        <v>25.5377</v>
      </c>
      <c r="I120" s="0" t="n">
        <v>2.095</v>
      </c>
      <c r="J120" s="0" t="n">
        <v>0.02095</v>
      </c>
      <c r="K120" s="0" t="n">
        <v>0.02095</v>
      </c>
      <c r="M120" s="0" t="n">
        <v>24.797</v>
      </c>
      <c r="N120" s="0" t="n">
        <v>1.924</v>
      </c>
      <c r="O120" s="0" t="n">
        <v>0.01924</v>
      </c>
      <c r="P120" s="0" t="n">
        <v>0.01924</v>
      </c>
      <c r="R120" s="0" t="n">
        <v>24.3745</v>
      </c>
      <c r="S120" s="0" t="n">
        <v>2.435</v>
      </c>
      <c r="T120" s="0" t="n">
        <v>0.02435</v>
      </c>
      <c r="U120" s="0" t="n">
        <v>0.02435</v>
      </c>
      <c r="W120" s="0" t="n">
        <v>27.033</v>
      </c>
      <c r="X120" s="0" t="n">
        <v>2.234</v>
      </c>
      <c r="Y120" s="0" t="n">
        <v>0.02234</v>
      </c>
      <c r="Z120" s="0" t="n">
        <v>0.02234</v>
      </c>
    </row>
    <row r="121" customFormat="false" ht="16" hidden="false" customHeight="false" outlineLevel="0" collapsed="false">
      <c r="A121" s="0" t="s">
        <v>438</v>
      </c>
      <c r="B121" s="0" t="s">
        <v>519</v>
      </c>
      <c r="C121" s="0" t="n">
        <v>26.7318</v>
      </c>
      <c r="D121" s="0" t="n">
        <v>2.233</v>
      </c>
      <c r="E121" s="0" t="n">
        <v>0.02233</v>
      </c>
      <c r="F121" s="0" t="n">
        <v>0.02265</v>
      </c>
      <c r="H121" s="0" t="n">
        <v>28.7307</v>
      </c>
      <c r="I121" s="0" t="n">
        <v>2.12</v>
      </c>
      <c r="J121" s="0" t="n">
        <v>0.0212</v>
      </c>
      <c r="K121" s="0" t="n">
        <v>0.02135</v>
      </c>
      <c r="M121" s="0" t="n">
        <v>27.275</v>
      </c>
      <c r="N121" s="0" t="n">
        <v>1.889</v>
      </c>
      <c r="O121" s="0" t="n">
        <v>0.01889</v>
      </c>
      <c r="P121" s="0" t="n">
        <v>0.01889</v>
      </c>
      <c r="R121" s="0" t="n">
        <v>26.826</v>
      </c>
      <c r="S121" s="0" t="n">
        <v>2.406</v>
      </c>
      <c r="T121" s="0" t="n">
        <v>0.02406</v>
      </c>
      <c r="U121" s="0" t="n">
        <v>0.0235</v>
      </c>
      <c r="W121" s="0" t="n">
        <v>29.7923</v>
      </c>
      <c r="X121" s="0" t="n">
        <v>2.241</v>
      </c>
      <c r="Y121" s="0" t="n">
        <v>0.02241</v>
      </c>
      <c r="Z121" s="0" t="n">
        <v>0.02284</v>
      </c>
    </row>
    <row r="122" customFormat="false" ht="16" hidden="false" customHeight="false" outlineLevel="0" collapsed="false">
      <c r="A122" s="0" t="s">
        <v>438</v>
      </c>
      <c r="B122" s="0" t="s">
        <v>522</v>
      </c>
      <c r="C122" s="0" t="n">
        <v>5.0427</v>
      </c>
      <c r="D122" s="0" t="n">
        <v>2.229</v>
      </c>
      <c r="E122" s="0" t="n">
        <v>0.02229</v>
      </c>
      <c r="F122" s="0" t="n">
        <v>0.02229</v>
      </c>
      <c r="H122" s="0" t="n">
        <v>1.1383</v>
      </c>
      <c r="I122" s="0" t="n">
        <v>2.284</v>
      </c>
      <c r="J122" s="0" t="n">
        <v>0.02284</v>
      </c>
      <c r="K122" s="0" t="n">
        <v>0.02353</v>
      </c>
      <c r="M122" s="0" t="n">
        <v>5.878</v>
      </c>
      <c r="N122" s="0" t="n">
        <v>1.999</v>
      </c>
      <c r="O122" s="0" t="n">
        <v>0.01999</v>
      </c>
      <c r="P122" s="0" t="n">
        <v>0.02035</v>
      </c>
      <c r="R122" s="0" t="n">
        <v>5.4092</v>
      </c>
      <c r="S122" s="0" t="n">
        <v>2.42</v>
      </c>
      <c r="T122" s="0" t="n">
        <v>0.0242</v>
      </c>
      <c r="U122" s="0" t="n">
        <v>0.02275</v>
      </c>
      <c r="W122" s="0" t="n">
        <v>5.5514</v>
      </c>
      <c r="X122" s="0" t="n">
        <v>2.118</v>
      </c>
      <c r="Y122" s="0" t="n">
        <v>0.02118</v>
      </c>
      <c r="Z122" s="0" t="n">
        <v>0.02118</v>
      </c>
    </row>
    <row r="123" customFormat="false" ht="16" hidden="false" customHeight="false" outlineLevel="0" collapsed="false">
      <c r="A123" s="0" t="s">
        <v>438</v>
      </c>
      <c r="B123" s="0" t="s">
        <v>525</v>
      </c>
      <c r="C123" s="0" t="n">
        <v>12.0614</v>
      </c>
      <c r="D123" s="0" t="n">
        <v>2.252</v>
      </c>
      <c r="E123" s="0" t="n">
        <v>0.02252</v>
      </c>
      <c r="F123" s="0" t="n">
        <v>0.02273</v>
      </c>
      <c r="H123" s="0" t="n">
        <v>10.1225</v>
      </c>
      <c r="I123" s="0" t="n">
        <v>2.187</v>
      </c>
      <c r="J123" s="0" t="n">
        <v>0.02187</v>
      </c>
      <c r="K123" s="0" t="n">
        <v>0.02187</v>
      </c>
      <c r="M123" s="0" t="n">
        <v>12.861</v>
      </c>
      <c r="N123" s="0" t="n">
        <v>1.946</v>
      </c>
      <c r="O123" s="0" t="n">
        <v>0.01946</v>
      </c>
      <c r="P123" s="0" t="n">
        <v>0.02</v>
      </c>
      <c r="R123" s="0" t="n">
        <v>12.3956</v>
      </c>
      <c r="S123" s="0" t="n">
        <v>2.388</v>
      </c>
      <c r="T123" s="0" t="n">
        <v>0.02388</v>
      </c>
      <c r="U123" s="0" t="n">
        <v>0.02388</v>
      </c>
      <c r="W123" s="0" t="n">
        <v>13.4746</v>
      </c>
      <c r="X123" s="0" t="n">
        <v>2.169</v>
      </c>
      <c r="Y123" s="0" t="n">
        <v>0.02169</v>
      </c>
      <c r="Z123" s="0" t="n">
        <v>0.02169</v>
      </c>
    </row>
    <row r="124" customFormat="false" ht="16" hidden="false" customHeight="false" outlineLevel="0" collapsed="false">
      <c r="A124" s="0" t="s">
        <v>438</v>
      </c>
      <c r="B124" s="0" t="s">
        <v>528</v>
      </c>
      <c r="C124" s="0" t="n">
        <v>7.8177</v>
      </c>
      <c r="D124" s="0" t="n">
        <v>2.27</v>
      </c>
      <c r="E124" s="0" t="n">
        <v>0.0227</v>
      </c>
      <c r="F124" s="0" t="n">
        <v>0.0227</v>
      </c>
      <c r="H124" s="0" t="n">
        <v>4.7128</v>
      </c>
      <c r="I124" s="0" t="n">
        <v>2.248</v>
      </c>
      <c r="J124" s="0" t="n">
        <v>0.02248</v>
      </c>
      <c r="K124" s="0" t="n">
        <v>0.02343</v>
      </c>
      <c r="M124" s="0" t="n">
        <v>8.654</v>
      </c>
      <c r="N124" s="0" t="n">
        <v>1.973</v>
      </c>
      <c r="O124" s="0" t="n">
        <v>0.01973</v>
      </c>
      <c r="P124" s="0" t="n">
        <v>0.01973</v>
      </c>
      <c r="R124" s="0" t="n">
        <v>8.192</v>
      </c>
      <c r="S124" s="0" t="n">
        <v>2.36</v>
      </c>
      <c r="T124" s="0" t="n">
        <v>0.0236</v>
      </c>
      <c r="U124" s="0" t="n">
        <v>0.0236</v>
      </c>
      <c r="W124" s="0" t="n">
        <v>8.7049</v>
      </c>
      <c r="X124" s="0" t="n">
        <v>2.141</v>
      </c>
      <c r="Y124" s="0" t="n">
        <v>0.02141</v>
      </c>
      <c r="Z124" s="0" t="n">
        <v>0.02109</v>
      </c>
    </row>
    <row r="125" customFormat="false" ht="16" hidden="false" customHeight="false" outlineLevel="0" collapsed="false">
      <c r="A125" s="0" t="s">
        <v>438</v>
      </c>
      <c r="B125" s="0" t="s">
        <v>530</v>
      </c>
      <c r="C125" s="0" t="n">
        <v>7.9179</v>
      </c>
      <c r="D125" s="0" t="n">
        <v>2.227</v>
      </c>
      <c r="E125" s="0" t="n">
        <v>0.02227</v>
      </c>
      <c r="F125" s="0" t="n">
        <v>0.02227</v>
      </c>
      <c r="H125" s="0" t="n">
        <v>4.7987</v>
      </c>
      <c r="I125" s="0" t="n">
        <v>2.24</v>
      </c>
      <c r="J125" s="0" t="n">
        <v>0.0224</v>
      </c>
      <c r="K125" s="0" t="n">
        <v>0.02432</v>
      </c>
      <c r="M125" s="0" t="n">
        <v>8.762</v>
      </c>
      <c r="N125" s="0" t="n">
        <v>1.913</v>
      </c>
      <c r="O125" s="0" t="n">
        <v>0.01913</v>
      </c>
      <c r="P125" s="0" t="n">
        <v>0.01913</v>
      </c>
      <c r="R125" s="0" t="n">
        <v>8.2542</v>
      </c>
      <c r="S125" s="0" t="n">
        <v>2.43</v>
      </c>
      <c r="T125" s="0" t="n">
        <v>0.0243</v>
      </c>
      <c r="U125" s="0" t="n">
        <v>0.0243</v>
      </c>
      <c r="W125" s="0" t="n">
        <v>8.7645</v>
      </c>
      <c r="X125" s="0" t="n">
        <v>2.148</v>
      </c>
      <c r="Y125" s="0" t="n">
        <v>0.02148</v>
      </c>
      <c r="Z125" s="0" t="n">
        <v>0.02191</v>
      </c>
    </row>
    <row r="126" customFormat="false" ht="16" hidden="false" customHeight="false" outlineLevel="0" collapsed="false">
      <c r="A126" s="0" t="s">
        <v>438</v>
      </c>
      <c r="B126" s="0" t="s">
        <v>533</v>
      </c>
      <c r="C126" s="0" t="n">
        <v>2.3844</v>
      </c>
      <c r="D126" s="0" t="n">
        <v>2.199</v>
      </c>
      <c r="E126" s="0" t="n">
        <v>0.02199</v>
      </c>
      <c r="F126" s="0" t="n">
        <v>0.02199</v>
      </c>
      <c r="H126" s="0" t="n">
        <v>-2.2642</v>
      </c>
      <c r="I126" s="0" t="n">
        <v>2.361</v>
      </c>
      <c r="J126" s="0" t="n">
        <v>0.02361</v>
      </c>
      <c r="K126" s="0" t="n">
        <v>0.02561</v>
      </c>
      <c r="M126" s="0" t="n">
        <v>3.275</v>
      </c>
      <c r="N126" s="0" t="n">
        <v>2.028</v>
      </c>
      <c r="O126" s="0" t="n">
        <v>0.02028</v>
      </c>
      <c r="P126" s="0" t="n">
        <v>0.02028</v>
      </c>
      <c r="R126" s="0" t="n">
        <v>2.7636</v>
      </c>
      <c r="S126" s="0" t="n">
        <v>2.394</v>
      </c>
      <c r="T126" s="0" t="n">
        <v>0.02394</v>
      </c>
      <c r="U126" s="0" t="n">
        <v>0.02394</v>
      </c>
      <c r="W126" s="0" t="n">
        <v>2.5749</v>
      </c>
      <c r="X126" s="0" t="n">
        <v>2.14</v>
      </c>
      <c r="Y126" s="0" t="n">
        <v>0.0214</v>
      </c>
      <c r="Z126" s="0" t="n">
        <v>0.02256</v>
      </c>
    </row>
    <row r="127" customFormat="false" ht="16" hidden="false" customHeight="false" outlineLevel="0" collapsed="false">
      <c r="A127" s="0" t="s">
        <v>438</v>
      </c>
      <c r="B127" s="0" t="s">
        <v>536</v>
      </c>
      <c r="C127" s="0" t="n">
        <v>2.6359</v>
      </c>
      <c r="D127" s="0" t="n">
        <v>2.233</v>
      </c>
      <c r="E127" s="0" t="n">
        <v>0.02233</v>
      </c>
      <c r="F127" s="0" t="n">
        <v>0.02233</v>
      </c>
      <c r="H127" s="0" t="n">
        <v>-1.9421</v>
      </c>
      <c r="I127" s="0" t="n">
        <v>2.346</v>
      </c>
      <c r="J127" s="0" t="n">
        <v>0.02346</v>
      </c>
      <c r="K127" s="0" t="n">
        <v>0.02451</v>
      </c>
      <c r="M127" s="0" t="n">
        <v>3.517</v>
      </c>
      <c r="N127" s="0" t="n">
        <v>2.02</v>
      </c>
      <c r="O127" s="0" t="n">
        <v>0.0202</v>
      </c>
      <c r="P127" s="0" t="n">
        <v>0.02015</v>
      </c>
      <c r="R127" s="0" t="n">
        <v>3.0533</v>
      </c>
      <c r="S127" s="0" t="n">
        <v>2.398</v>
      </c>
      <c r="T127" s="0" t="n">
        <v>0.02398</v>
      </c>
      <c r="U127" s="0" t="n">
        <v>0.02278</v>
      </c>
      <c r="W127" s="0" t="n">
        <v>2.8758</v>
      </c>
      <c r="X127" s="0" t="n">
        <v>2.176</v>
      </c>
      <c r="Y127" s="0" t="n">
        <v>0.02176</v>
      </c>
      <c r="Z127" s="0" t="n">
        <v>0.02176</v>
      </c>
    </row>
    <row r="128" customFormat="false" ht="16" hidden="false" customHeight="false" outlineLevel="0" collapsed="false">
      <c r="A128" s="0" t="s">
        <v>438</v>
      </c>
      <c r="B128" s="0" t="s">
        <v>539</v>
      </c>
      <c r="C128" s="0" t="n">
        <v>16.916</v>
      </c>
      <c r="D128" s="0" t="n">
        <v>2.239</v>
      </c>
      <c r="E128" s="0" t="n">
        <v>0.02239</v>
      </c>
      <c r="F128" s="0" t="n">
        <v>0.02239</v>
      </c>
      <c r="H128" s="0" t="n">
        <v>16.3244</v>
      </c>
      <c r="I128" s="0" t="n">
        <v>2.142</v>
      </c>
      <c r="J128" s="0" t="n">
        <v>0.02142</v>
      </c>
      <c r="K128" s="0" t="n">
        <v>0.02142</v>
      </c>
      <c r="M128" s="0" t="n">
        <v>17.658</v>
      </c>
      <c r="N128" s="0" t="n">
        <v>1.923</v>
      </c>
      <c r="O128" s="0" t="n">
        <v>0.01923</v>
      </c>
      <c r="P128" s="0" t="n">
        <v>0.01923</v>
      </c>
      <c r="R128" s="0" t="n">
        <v>17.2224</v>
      </c>
      <c r="S128" s="0" t="n">
        <v>2.392</v>
      </c>
      <c r="T128" s="0" t="n">
        <v>0.02392</v>
      </c>
      <c r="U128" s="0" t="n">
        <v>0.02426</v>
      </c>
      <c r="W128" s="0" t="n">
        <v>18.8983</v>
      </c>
      <c r="X128" s="0" t="n">
        <v>2.155</v>
      </c>
      <c r="Y128" s="0" t="n">
        <v>0.02155</v>
      </c>
      <c r="Z128" s="0" t="n">
        <v>0.02155</v>
      </c>
    </row>
    <row r="129" customFormat="false" ht="16" hidden="false" customHeight="false" outlineLevel="0" collapsed="false">
      <c r="A129" s="0" t="s">
        <v>438</v>
      </c>
      <c r="B129" s="0" t="s">
        <v>543</v>
      </c>
      <c r="C129" s="0" t="n">
        <v>13.7368</v>
      </c>
      <c r="D129" s="0" t="n">
        <v>2.239</v>
      </c>
      <c r="E129" s="0" t="n">
        <v>0.02239</v>
      </c>
      <c r="F129" s="0" t="n">
        <v>0.02184</v>
      </c>
      <c r="H129" s="0" t="n">
        <v>12.2045</v>
      </c>
      <c r="I129" s="0" t="n">
        <v>2.18</v>
      </c>
      <c r="J129" s="0" t="n">
        <v>0.0218</v>
      </c>
      <c r="K129" s="0" t="n">
        <v>0.02288</v>
      </c>
      <c r="M129" s="0" t="n">
        <v>14.5</v>
      </c>
      <c r="N129" s="0" t="n">
        <v>1.928</v>
      </c>
      <c r="O129" s="0" t="n">
        <v>0.01928</v>
      </c>
      <c r="P129" s="0" t="n">
        <v>0.01928</v>
      </c>
      <c r="R129" s="0" t="n">
        <v>14.0825</v>
      </c>
      <c r="S129" s="0" t="n">
        <v>2.415</v>
      </c>
      <c r="T129" s="0" t="n">
        <v>0.02415</v>
      </c>
      <c r="U129" s="0" t="n">
        <v>0.02415</v>
      </c>
      <c r="W129" s="0" t="n">
        <v>15.333</v>
      </c>
      <c r="X129" s="0" t="n">
        <v>2.138</v>
      </c>
      <c r="Y129" s="0" t="n">
        <v>0.02138</v>
      </c>
      <c r="Z129" s="0" t="n">
        <v>0.02138</v>
      </c>
    </row>
    <row r="130" customFormat="false" ht="16" hidden="false" customHeight="false" outlineLevel="0" collapsed="false">
      <c r="A130" s="0" t="s">
        <v>438</v>
      </c>
      <c r="B130" s="0" t="s">
        <v>548</v>
      </c>
      <c r="C130" s="0" t="n">
        <v>11.7553</v>
      </c>
      <c r="D130" s="0" t="n">
        <v>2.229</v>
      </c>
      <c r="E130" s="0" t="n">
        <v>0.02229</v>
      </c>
      <c r="F130" s="0" t="n">
        <v>0.0223</v>
      </c>
      <c r="H130" s="0" t="n">
        <v>9.7074</v>
      </c>
      <c r="I130" s="0" t="n">
        <v>2.166</v>
      </c>
      <c r="J130" s="0" t="n">
        <v>0.02166</v>
      </c>
      <c r="K130" s="0" t="n">
        <v>0.02222</v>
      </c>
      <c r="M130" s="0" t="n">
        <v>12.517</v>
      </c>
      <c r="N130" s="0" t="n">
        <v>1.931</v>
      </c>
      <c r="O130" s="0" t="n">
        <v>0.01931</v>
      </c>
      <c r="P130" s="0" t="n">
        <v>0.01931</v>
      </c>
      <c r="R130" s="0" t="n">
        <v>12.0424</v>
      </c>
      <c r="S130" s="0" t="n">
        <v>2.409</v>
      </c>
      <c r="T130" s="0" t="n">
        <v>0.02409</v>
      </c>
      <c r="U130" s="0" t="n">
        <v>0.02409</v>
      </c>
      <c r="W130" s="0" t="n">
        <v>13.0857</v>
      </c>
      <c r="X130" s="0" t="n">
        <v>2.175</v>
      </c>
      <c r="Y130" s="0" t="n">
        <v>0.02175</v>
      </c>
      <c r="Z130" s="0" t="n">
        <v>0.02175</v>
      </c>
    </row>
    <row r="131" customFormat="false" ht="16" hidden="false" customHeight="false" outlineLevel="0" collapsed="false">
      <c r="A131" s="0" t="s">
        <v>438</v>
      </c>
      <c r="B131" s="0" t="s">
        <v>551</v>
      </c>
      <c r="C131" s="0" t="n">
        <v>25.8359</v>
      </c>
      <c r="D131" s="0" t="n">
        <v>2.257</v>
      </c>
      <c r="E131" s="0" t="n">
        <v>0.02257</v>
      </c>
      <c r="F131" s="0" t="n">
        <v>0.02257</v>
      </c>
      <c r="H131" s="0" t="n">
        <v>27.5427</v>
      </c>
      <c r="I131" s="0" t="n">
        <v>2.095</v>
      </c>
      <c r="J131" s="0" t="n">
        <v>0.02095</v>
      </c>
      <c r="K131" s="0" t="n">
        <v>0.02095</v>
      </c>
      <c r="M131" s="0" t="n">
        <v>26.38</v>
      </c>
      <c r="N131" s="0" t="n">
        <v>1.864</v>
      </c>
      <c r="O131" s="0" t="n">
        <v>0.01864</v>
      </c>
      <c r="P131" s="0" t="n">
        <v>0.01864</v>
      </c>
      <c r="R131" s="0" t="n">
        <v>25.9815</v>
      </c>
      <c r="S131" s="0" t="n">
        <v>2.443</v>
      </c>
      <c r="T131" s="0" t="n">
        <v>0.02443</v>
      </c>
      <c r="U131" s="0" t="n">
        <v>0.02443</v>
      </c>
      <c r="W131" s="0" t="n">
        <v>28.7962</v>
      </c>
      <c r="X131" s="0" t="n">
        <v>2.239</v>
      </c>
      <c r="Y131" s="0" t="n">
        <v>0.02239</v>
      </c>
      <c r="Z131" s="0" t="n">
        <v>0.02239</v>
      </c>
    </row>
    <row r="132" customFormat="false" ht="16" hidden="false" customHeight="false" outlineLevel="0" collapsed="false">
      <c r="A132" s="0" t="s">
        <v>438</v>
      </c>
      <c r="B132" s="0" t="s">
        <v>554</v>
      </c>
      <c r="C132" s="0" t="n">
        <v>24.6039</v>
      </c>
      <c r="D132" s="0" t="n">
        <v>2.239</v>
      </c>
      <c r="E132" s="0" t="n">
        <v>0.02239</v>
      </c>
      <c r="F132" s="0" t="n">
        <v>0.02239</v>
      </c>
      <c r="H132" s="0" t="n">
        <v>26.0505</v>
      </c>
      <c r="I132" s="0" t="n">
        <v>2.129</v>
      </c>
      <c r="J132" s="0" t="n">
        <v>0.02129</v>
      </c>
      <c r="K132" s="0" t="n">
        <v>0.02129</v>
      </c>
      <c r="M132" s="0" t="n">
        <v>25.166</v>
      </c>
      <c r="N132" s="0" t="n">
        <v>1.914</v>
      </c>
      <c r="O132" s="0" t="n">
        <v>0.01914</v>
      </c>
      <c r="P132" s="0" t="n">
        <v>0.01914</v>
      </c>
      <c r="R132" s="0" t="n">
        <v>24.7551</v>
      </c>
      <c r="S132" s="0" t="n">
        <v>2.453</v>
      </c>
      <c r="T132" s="0" t="n">
        <v>0.02453</v>
      </c>
      <c r="U132" s="0" t="n">
        <v>0.02453</v>
      </c>
      <c r="W132" s="0" t="n">
        <v>27.4284</v>
      </c>
      <c r="X132" s="0" t="n">
        <v>2.225</v>
      </c>
      <c r="Y132" s="0" t="n">
        <v>0.02225</v>
      </c>
      <c r="Z132" s="0" t="n">
        <v>0.02225</v>
      </c>
    </row>
    <row r="133" customFormat="false" ht="16" hidden="false" customHeight="false" outlineLevel="0" collapsed="false">
      <c r="A133" s="0" t="s">
        <v>557</v>
      </c>
      <c r="B133" s="64" t="s">
        <v>556</v>
      </c>
      <c r="C133" s="77" t="n">
        <v>12.309</v>
      </c>
      <c r="D133" s="77" t="n">
        <v>2.205</v>
      </c>
      <c r="E133" s="77" t="n">
        <v>0.02205</v>
      </c>
      <c r="F133" s="77" t="n">
        <v>0.02122</v>
      </c>
      <c r="H133" s="77" t="n">
        <v>10.396</v>
      </c>
      <c r="I133" s="77" t="n">
        <v>2.196</v>
      </c>
      <c r="J133" s="77" t="n">
        <v>0.02196</v>
      </c>
      <c r="K133" s="77" t="n">
        <v>0.02196</v>
      </c>
      <c r="M133" s="77" t="n">
        <v>13.045</v>
      </c>
      <c r="N133" s="77" t="n">
        <v>1.927</v>
      </c>
      <c r="O133" s="77" t="n">
        <v>0.01927</v>
      </c>
      <c r="P133" s="77" t="n">
        <v>0.01927</v>
      </c>
      <c r="R133" s="77" t="n">
        <v>12.576</v>
      </c>
      <c r="S133" s="77" t="n">
        <v>2.421</v>
      </c>
      <c r="T133" s="77" t="n">
        <v>0.02421</v>
      </c>
      <c r="U133" s="77" t="n">
        <v>0.02421</v>
      </c>
      <c r="W133" s="77" t="n">
        <v>13.6965</v>
      </c>
      <c r="X133" s="77" t="n">
        <v>2.151</v>
      </c>
      <c r="Y133" s="77" t="n">
        <v>0.02151</v>
      </c>
      <c r="Z133" s="77" t="n">
        <v>0.02202</v>
      </c>
    </row>
    <row r="134" customFormat="false" ht="16" hidden="false" customHeight="false" outlineLevel="0" collapsed="false">
      <c r="A134" s="0" t="s">
        <v>557</v>
      </c>
      <c r="B134" s="64" t="s">
        <v>559</v>
      </c>
      <c r="C134" s="77" t="n">
        <v>12.307</v>
      </c>
      <c r="D134" s="77" t="n">
        <v>2.265</v>
      </c>
      <c r="E134" s="77" t="n">
        <v>0.02265</v>
      </c>
      <c r="F134" s="77" t="n">
        <v>0.02265</v>
      </c>
      <c r="H134" s="77" t="n">
        <v>10.368</v>
      </c>
      <c r="I134" s="77" t="n">
        <v>2.172</v>
      </c>
      <c r="J134" s="77" t="n">
        <v>0.02172</v>
      </c>
      <c r="K134" s="77" t="n">
        <v>0.02231</v>
      </c>
      <c r="M134" s="77" t="n">
        <v>13.029</v>
      </c>
      <c r="N134" s="77" t="n">
        <v>1.942</v>
      </c>
      <c r="O134" s="77" t="n">
        <v>0.01942</v>
      </c>
      <c r="P134" s="77" t="n">
        <v>0.0198</v>
      </c>
      <c r="R134" s="77" t="n">
        <v>12.548</v>
      </c>
      <c r="S134" s="77" t="n">
        <v>2.376</v>
      </c>
      <c r="T134" s="77" t="n">
        <v>0.02376</v>
      </c>
      <c r="U134" s="77" t="n">
        <v>0.02414</v>
      </c>
      <c r="W134" s="77" t="n">
        <v>13.6971</v>
      </c>
      <c r="X134" s="77" t="n">
        <v>2.132</v>
      </c>
      <c r="Y134" s="77" t="n">
        <v>0.02132</v>
      </c>
      <c r="Z134" s="77" t="n">
        <v>0.02132</v>
      </c>
    </row>
    <row r="135" customFormat="false" ht="16" hidden="false" customHeight="false" outlineLevel="0" collapsed="false">
      <c r="A135" s="0" t="s">
        <v>557</v>
      </c>
      <c r="B135" s="64" t="s">
        <v>560</v>
      </c>
      <c r="C135" s="77" t="n">
        <v>10.242</v>
      </c>
      <c r="D135" s="77" t="n">
        <v>2.234</v>
      </c>
      <c r="E135" s="77" t="n">
        <v>0.02234</v>
      </c>
      <c r="F135" s="77" t="n">
        <v>0.02201</v>
      </c>
      <c r="H135" s="77" t="n">
        <v>7.703</v>
      </c>
      <c r="I135" s="77" t="n">
        <v>2.238</v>
      </c>
      <c r="J135" s="77" t="n">
        <v>0.02238</v>
      </c>
      <c r="K135" s="77" t="n">
        <v>0.02238</v>
      </c>
      <c r="M135" s="77" t="n">
        <v>10.995</v>
      </c>
      <c r="N135" s="77" t="n">
        <v>1.957</v>
      </c>
      <c r="O135" s="77" t="n">
        <v>0.01957</v>
      </c>
      <c r="P135" s="77" t="n">
        <v>0.02006</v>
      </c>
      <c r="R135" s="77" t="n">
        <v>10.552</v>
      </c>
      <c r="S135" s="77" t="n">
        <v>2.415</v>
      </c>
      <c r="T135" s="77" t="n">
        <v>0.02415</v>
      </c>
      <c r="U135" s="77" t="n">
        <v>0.02415</v>
      </c>
      <c r="W135" s="77" t="n">
        <v>11.3862</v>
      </c>
      <c r="X135" s="77" t="n">
        <v>2.162</v>
      </c>
      <c r="Y135" s="77" t="n">
        <v>0.02162</v>
      </c>
      <c r="Z135" s="77" t="n">
        <v>0.0222</v>
      </c>
    </row>
    <row r="136" customFormat="false" ht="16" hidden="false" customHeight="false" outlineLevel="0" collapsed="false">
      <c r="A136" s="0" t="s">
        <v>557</v>
      </c>
      <c r="B136" s="64" t="s">
        <v>562</v>
      </c>
      <c r="C136" s="77" t="n">
        <v>26.733</v>
      </c>
      <c r="D136" s="77" t="n">
        <v>2.204</v>
      </c>
      <c r="E136" s="77" t="n">
        <v>0.02204</v>
      </c>
      <c r="F136" s="77" t="n">
        <v>0.02204</v>
      </c>
      <c r="H136" s="77" t="n">
        <v>28.73</v>
      </c>
      <c r="I136" s="77" t="n">
        <v>2.133</v>
      </c>
      <c r="J136" s="77" t="n">
        <v>0.02133</v>
      </c>
      <c r="K136" s="77" t="n">
        <v>0.02133</v>
      </c>
      <c r="M136" s="77" t="n">
        <v>27.259</v>
      </c>
      <c r="N136" s="77" t="n">
        <v>1.892</v>
      </c>
      <c r="O136" s="77" t="n">
        <v>0.01892</v>
      </c>
      <c r="P136" s="77" t="n">
        <v>0.01892</v>
      </c>
      <c r="R136" s="77" t="n">
        <v>26.905</v>
      </c>
      <c r="S136" s="77" t="n">
        <v>2.431</v>
      </c>
      <c r="T136" s="77" t="n">
        <v>0.02431</v>
      </c>
      <c r="U136" s="77" t="n">
        <v>0.02431</v>
      </c>
      <c r="W136" s="77" t="n">
        <v>29.8363</v>
      </c>
      <c r="X136" s="77" t="n">
        <v>2.262</v>
      </c>
      <c r="Y136" s="77" t="n">
        <v>0.02262</v>
      </c>
      <c r="Z136" s="77" t="n">
        <v>0.02262</v>
      </c>
    </row>
    <row r="137" customFormat="false" ht="16" hidden="false" customHeight="false" outlineLevel="0" collapsed="false">
      <c r="A137" s="0" t="s">
        <v>557</v>
      </c>
      <c r="B137" s="64" t="s">
        <v>564</v>
      </c>
      <c r="C137" s="77" t="n">
        <v>20.177</v>
      </c>
      <c r="D137" s="77" t="n">
        <v>2.229</v>
      </c>
      <c r="E137" s="77" t="n">
        <v>0.02229</v>
      </c>
      <c r="F137" s="77" t="n">
        <v>0.02229</v>
      </c>
      <c r="H137" s="77" t="n">
        <v>20.395</v>
      </c>
      <c r="I137" s="77" t="n">
        <v>2.117</v>
      </c>
      <c r="J137" s="77" t="n">
        <v>0.02117</v>
      </c>
      <c r="K137" s="77" t="n">
        <v>0.02117</v>
      </c>
      <c r="M137" s="77" t="n">
        <v>20.819</v>
      </c>
      <c r="N137" s="77" t="n">
        <v>1.889</v>
      </c>
      <c r="O137" s="77" t="n">
        <v>0.01889</v>
      </c>
      <c r="P137" s="77" t="n">
        <v>0.01889</v>
      </c>
      <c r="R137" s="77" t="n">
        <v>20.388</v>
      </c>
      <c r="S137" s="77" t="n">
        <v>2.377</v>
      </c>
      <c r="T137" s="77" t="n">
        <v>0.02377</v>
      </c>
      <c r="U137" s="77" t="n">
        <v>0.02377</v>
      </c>
      <c r="W137" s="77" t="n">
        <v>22.4822</v>
      </c>
      <c r="X137" s="77" t="n">
        <v>2.208</v>
      </c>
      <c r="Y137" s="77" t="n">
        <v>0.02208</v>
      </c>
      <c r="Z137" s="77" t="n">
        <v>0.02208</v>
      </c>
    </row>
    <row r="138" customFormat="false" ht="16" hidden="false" customHeight="false" outlineLevel="0" collapsed="false">
      <c r="A138" s="0" t="s">
        <v>557</v>
      </c>
      <c r="B138" s="64" t="s">
        <v>567</v>
      </c>
      <c r="C138" s="77" t="n">
        <v>20.361</v>
      </c>
      <c r="D138" s="77" t="n">
        <v>2.233</v>
      </c>
      <c r="E138" s="77" t="n">
        <v>0.02233</v>
      </c>
      <c r="F138" s="77" t="n">
        <v>0.02192</v>
      </c>
      <c r="H138" s="77" t="n">
        <v>20.629</v>
      </c>
      <c r="I138" s="77" t="n">
        <v>2.127</v>
      </c>
      <c r="J138" s="77" t="n">
        <v>0.02127</v>
      </c>
      <c r="K138" s="77" t="n">
        <v>0.02163</v>
      </c>
      <c r="M138" s="77" t="n">
        <v>20.937</v>
      </c>
      <c r="N138" s="77" t="n">
        <v>1.917</v>
      </c>
      <c r="O138" s="77" t="n">
        <v>0.01917</v>
      </c>
      <c r="P138" s="77" t="n">
        <v>0.01917</v>
      </c>
      <c r="R138" s="77" t="n">
        <v>20.502</v>
      </c>
      <c r="S138" s="77" t="n">
        <v>2.425</v>
      </c>
      <c r="T138" s="77" t="n">
        <v>0.02425</v>
      </c>
      <c r="U138" s="77" t="n">
        <v>0.02425</v>
      </c>
      <c r="W138" s="77" t="n">
        <v>22.6593</v>
      </c>
      <c r="X138" s="77" t="n">
        <v>2.209</v>
      </c>
      <c r="Y138" s="77" t="n">
        <v>0.02209</v>
      </c>
      <c r="Z138" s="77" t="n">
        <v>0.02209</v>
      </c>
    </row>
    <row r="139" customFormat="false" ht="16" hidden="false" customHeight="false" outlineLevel="0" collapsed="false">
      <c r="A139" s="0" t="s">
        <v>557</v>
      </c>
      <c r="B139" s="64" t="s">
        <v>569</v>
      </c>
      <c r="C139" s="77" t="n">
        <v>2.03</v>
      </c>
      <c r="D139" s="77" t="n">
        <v>2.214</v>
      </c>
      <c r="E139" s="77" t="n">
        <v>0.02214</v>
      </c>
      <c r="F139" s="77" t="n">
        <v>0.0218</v>
      </c>
      <c r="H139" s="77" t="n">
        <v>-2.616</v>
      </c>
      <c r="I139" s="77" t="n">
        <v>2.381</v>
      </c>
      <c r="J139" s="77" t="n">
        <v>0.02381</v>
      </c>
      <c r="K139" s="77" t="n">
        <v>0.02556</v>
      </c>
      <c r="M139" s="77" t="n">
        <v>2.96</v>
      </c>
      <c r="N139" s="77" t="n">
        <v>2.016</v>
      </c>
      <c r="O139" s="77" t="n">
        <v>0.02016</v>
      </c>
      <c r="P139" s="77" t="n">
        <v>0.02016</v>
      </c>
      <c r="R139" s="77" t="n">
        <v>2.43</v>
      </c>
      <c r="S139" s="77" t="n">
        <v>2.407</v>
      </c>
      <c r="T139" s="77" t="n">
        <v>0.02407</v>
      </c>
      <c r="U139" s="77" t="n">
        <v>0.02443</v>
      </c>
      <c r="W139" s="77" t="n">
        <v>2.2126</v>
      </c>
      <c r="X139" s="77" t="n">
        <v>2.134</v>
      </c>
      <c r="Y139" s="77" t="n">
        <v>0.02134</v>
      </c>
      <c r="Z139" s="77" t="n">
        <v>0.02134</v>
      </c>
    </row>
    <row r="140" customFormat="false" ht="16" hidden="false" customHeight="false" outlineLevel="0" collapsed="false">
      <c r="A140" s="0" t="s">
        <v>557</v>
      </c>
      <c r="B140" s="64" t="s">
        <v>573</v>
      </c>
      <c r="C140" s="77" t="n">
        <v>0.767</v>
      </c>
      <c r="D140" s="77" t="n">
        <v>2.225</v>
      </c>
      <c r="E140" s="77" t="n">
        <v>0.02225</v>
      </c>
      <c r="F140" s="77" t="n">
        <v>0.02225</v>
      </c>
      <c r="H140" s="77" t="n">
        <v>-4.259</v>
      </c>
      <c r="I140" s="77" t="n">
        <v>2.402</v>
      </c>
      <c r="J140" s="77" t="n">
        <v>0.02402</v>
      </c>
      <c r="K140" s="77" t="n">
        <v>0.02607</v>
      </c>
      <c r="M140" s="77" t="n">
        <v>1.738</v>
      </c>
      <c r="N140" s="77" t="n">
        <v>2.059</v>
      </c>
      <c r="O140" s="77" t="n">
        <v>0.02059</v>
      </c>
      <c r="P140" s="77" t="n">
        <v>0.02101</v>
      </c>
      <c r="R140" s="77" t="n">
        <v>1.217</v>
      </c>
      <c r="S140" s="77" t="n">
        <v>2.422</v>
      </c>
      <c r="T140" s="77" t="n">
        <v>0.02422</v>
      </c>
      <c r="U140" s="77" t="n">
        <v>0.02422</v>
      </c>
      <c r="W140" s="77" t="n">
        <v>0.8496</v>
      </c>
      <c r="X140" s="77" t="n">
        <v>2.165</v>
      </c>
      <c r="Y140" s="77" t="n">
        <v>0.02165</v>
      </c>
      <c r="Z140" s="77" t="n">
        <v>0.02165</v>
      </c>
    </row>
    <row r="141" customFormat="false" ht="16" hidden="false" customHeight="false" outlineLevel="0" collapsed="false">
      <c r="A141" s="0" t="s">
        <v>557</v>
      </c>
      <c r="B141" s="64" t="s">
        <v>576</v>
      </c>
      <c r="C141" s="77" t="n">
        <v>13.884</v>
      </c>
      <c r="D141" s="77" t="n">
        <v>2.22</v>
      </c>
      <c r="E141" s="77" t="n">
        <v>0.0222</v>
      </c>
      <c r="F141" s="77" t="n">
        <v>0.02348</v>
      </c>
      <c r="H141" s="77" t="n">
        <v>12.373</v>
      </c>
      <c r="I141" s="77" t="n">
        <v>2.161</v>
      </c>
      <c r="J141" s="77" t="n">
        <v>0.02161</v>
      </c>
      <c r="K141" s="77" t="n">
        <v>0.02161</v>
      </c>
      <c r="M141" s="77" t="n">
        <v>14.59</v>
      </c>
      <c r="N141" s="77" t="n">
        <v>1.909</v>
      </c>
      <c r="O141" s="77" t="n">
        <v>0.01909</v>
      </c>
      <c r="P141" s="77" t="n">
        <v>0.01909</v>
      </c>
      <c r="R141" s="77" t="n">
        <v>14.155</v>
      </c>
      <c r="S141" s="77" t="n">
        <v>2.435</v>
      </c>
      <c r="T141" s="77" t="n">
        <v>0.02435</v>
      </c>
      <c r="U141" s="77" t="n">
        <v>0.02435</v>
      </c>
      <c r="W141" s="77" t="n">
        <v>15.4775</v>
      </c>
      <c r="X141" s="77" t="n">
        <v>2.151</v>
      </c>
      <c r="Y141" s="77" t="n">
        <v>0.02151</v>
      </c>
      <c r="Z141" s="77" t="n">
        <v>0.02151</v>
      </c>
    </row>
    <row r="142" customFormat="false" ht="16" hidden="false" customHeight="false" outlineLevel="0" collapsed="false">
      <c r="A142" s="0" t="s">
        <v>557</v>
      </c>
      <c r="B142" s="64" t="s">
        <v>578</v>
      </c>
      <c r="C142" s="77" t="n">
        <v>12.582</v>
      </c>
      <c r="D142" s="77" t="n">
        <v>2.244</v>
      </c>
      <c r="E142" s="77" t="n">
        <v>0.02244</v>
      </c>
      <c r="F142" s="77" t="n">
        <v>0.02244</v>
      </c>
      <c r="H142" s="77" t="n">
        <v>10.757</v>
      </c>
      <c r="I142" s="77" t="n">
        <v>2.18</v>
      </c>
      <c r="J142" s="77" t="n">
        <v>0.0218</v>
      </c>
      <c r="K142" s="77" t="n">
        <v>0.0218</v>
      </c>
      <c r="M142" s="77" t="n">
        <v>13.342</v>
      </c>
      <c r="N142" s="77" t="n">
        <v>1.942</v>
      </c>
      <c r="O142" s="77" t="n">
        <v>0.01942</v>
      </c>
      <c r="P142" s="77" t="n">
        <v>0.01942</v>
      </c>
      <c r="R142" s="77" t="n">
        <v>12.839</v>
      </c>
      <c r="S142" s="77" t="n">
        <v>2.432</v>
      </c>
      <c r="T142" s="77" t="n">
        <v>0.02432</v>
      </c>
      <c r="U142" s="77" t="n">
        <v>0.02432</v>
      </c>
      <c r="W142" s="77" t="n">
        <v>14.0283</v>
      </c>
      <c r="X142" s="77" t="n">
        <v>2.156</v>
      </c>
      <c r="Y142" s="77" t="n">
        <v>0.02156</v>
      </c>
      <c r="Z142" s="77" t="n">
        <v>0.02156</v>
      </c>
    </row>
    <row r="143" customFormat="false" ht="16" hidden="false" customHeight="false" outlineLevel="0" collapsed="false">
      <c r="A143" s="0" t="s">
        <v>557</v>
      </c>
      <c r="B143" s="64" t="s">
        <v>580</v>
      </c>
      <c r="C143" s="77" t="n">
        <v>18.778</v>
      </c>
      <c r="D143" s="77" t="n">
        <v>2.225</v>
      </c>
      <c r="E143" s="77" t="n">
        <v>0.02225</v>
      </c>
      <c r="F143" s="77" t="n">
        <v>0.02303</v>
      </c>
      <c r="H143" s="77" t="n">
        <v>18.629</v>
      </c>
      <c r="I143" s="77" t="n">
        <v>2.119</v>
      </c>
      <c r="J143" s="77" t="n">
        <v>0.02119</v>
      </c>
      <c r="K143" s="77" t="n">
        <v>0.02119</v>
      </c>
      <c r="M143" s="77" t="n">
        <v>19.451</v>
      </c>
      <c r="N143" s="77" t="n">
        <v>1.903</v>
      </c>
      <c r="O143" s="77" t="n">
        <v>0.01903</v>
      </c>
      <c r="P143" s="77" t="n">
        <v>0.01903</v>
      </c>
      <c r="R143" s="77" t="n">
        <v>18.992</v>
      </c>
      <c r="S143" s="77" t="n">
        <v>2.426</v>
      </c>
      <c r="T143" s="77" t="n">
        <v>0.02426</v>
      </c>
      <c r="U143" s="77" t="n">
        <v>0.02337</v>
      </c>
      <c r="W143" s="77" t="n">
        <v>20.9289</v>
      </c>
      <c r="X143" s="77" t="n">
        <v>2.193</v>
      </c>
      <c r="Y143" s="77" t="n">
        <v>0.02193</v>
      </c>
      <c r="Z143" s="77" t="n">
        <v>0.02193</v>
      </c>
    </row>
    <row r="144" customFormat="false" ht="16" hidden="false" customHeight="false" outlineLevel="0" collapsed="false">
      <c r="A144" s="0" t="s">
        <v>557</v>
      </c>
      <c r="B144" s="64" t="s">
        <v>584</v>
      </c>
      <c r="C144" s="77" t="n">
        <v>20.196</v>
      </c>
      <c r="D144" s="77" t="n">
        <v>2.237</v>
      </c>
      <c r="E144" s="77" t="n">
        <v>0.02237</v>
      </c>
      <c r="F144" s="77" t="n">
        <v>0.02237</v>
      </c>
      <c r="H144" s="77" t="n">
        <v>20.407</v>
      </c>
      <c r="I144" s="77" t="n">
        <v>2.128</v>
      </c>
      <c r="J144" s="77" t="n">
        <v>0.02128</v>
      </c>
      <c r="K144" s="77" t="n">
        <v>0.02128</v>
      </c>
      <c r="M144" s="77" t="n">
        <v>20.788</v>
      </c>
      <c r="N144" s="77" t="n">
        <v>1.9</v>
      </c>
      <c r="O144" s="77" t="n">
        <v>0.019</v>
      </c>
      <c r="P144" s="77" t="n">
        <v>0.01897</v>
      </c>
      <c r="R144" s="77" t="n">
        <v>20.363</v>
      </c>
      <c r="S144" s="77" t="n">
        <v>2.41</v>
      </c>
      <c r="T144" s="77" t="n">
        <v>0.0241</v>
      </c>
      <c r="U144" s="77" t="n">
        <v>0.0241</v>
      </c>
      <c r="W144" s="77" t="n">
        <v>22.452</v>
      </c>
      <c r="X144" s="77" t="n">
        <v>2.212</v>
      </c>
      <c r="Y144" s="77" t="n">
        <v>0.02212</v>
      </c>
      <c r="Z144" s="77" t="n">
        <v>0.02212</v>
      </c>
    </row>
    <row r="145" customFormat="false" ht="16" hidden="false" customHeight="false" outlineLevel="0" collapsed="false">
      <c r="A145" s="0" t="s">
        <v>557</v>
      </c>
      <c r="B145" s="64" t="s">
        <v>585</v>
      </c>
      <c r="C145" s="77" t="n">
        <v>17.863</v>
      </c>
      <c r="D145" s="77" t="n">
        <v>2.264</v>
      </c>
      <c r="E145" s="77" t="n">
        <v>0.02264</v>
      </c>
      <c r="F145" s="77" t="n">
        <v>0.02264</v>
      </c>
      <c r="H145" s="77" t="n">
        <v>17.483</v>
      </c>
      <c r="I145" s="77" t="n">
        <v>2.127</v>
      </c>
      <c r="J145" s="77" t="n">
        <v>0.02127</v>
      </c>
      <c r="K145" s="77" t="n">
        <v>0.02127</v>
      </c>
      <c r="M145" s="77" t="n">
        <v>18.512</v>
      </c>
      <c r="N145" s="77" t="n">
        <v>1.897</v>
      </c>
      <c r="O145" s="77" t="n">
        <v>0.01897</v>
      </c>
      <c r="P145" s="77" t="n">
        <v>0.01897</v>
      </c>
      <c r="R145" s="77" t="n">
        <v>18.105</v>
      </c>
      <c r="S145" s="77" t="n">
        <v>2.467</v>
      </c>
      <c r="T145" s="77" t="n">
        <v>0.02467</v>
      </c>
      <c r="U145" s="77" t="n">
        <v>0.0243</v>
      </c>
      <c r="W145" s="77" t="n">
        <v>19.9104</v>
      </c>
      <c r="X145" s="77" t="n">
        <v>2.189</v>
      </c>
      <c r="Y145" s="77" t="n">
        <v>0.02189</v>
      </c>
      <c r="Z145" s="77" t="n">
        <v>0.02189</v>
      </c>
    </row>
    <row r="146" customFormat="false" ht="16" hidden="false" customHeight="false" outlineLevel="0" collapsed="false">
      <c r="A146" s="0" t="s">
        <v>557</v>
      </c>
      <c r="B146" s="64" t="s">
        <v>587</v>
      </c>
      <c r="C146" s="77" t="n">
        <v>14.886</v>
      </c>
      <c r="D146" s="77" t="n">
        <v>2.237</v>
      </c>
      <c r="E146" s="77" t="n">
        <v>0.02237</v>
      </c>
      <c r="F146" s="77" t="n">
        <v>0.02237</v>
      </c>
      <c r="H146" s="77" t="n">
        <v>13.603</v>
      </c>
      <c r="I146" s="77" t="n">
        <v>2.157</v>
      </c>
      <c r="J146" s="77" t="n">
        <v>0.02157</v>
      </c>
      <c r="K146" s="77" t="n">
        <v>0.02211</v>
      </c>
      <c r="M146" s="77" t="n">
        <v>15.586</v>
      </c>
      <c r="N146" s="77" t="n">
        <v>1.916</v>
      </c>
      <c r="O146" s="77" t="n">
        <v>0.01916</v>
      </c>
      <c r="P146" s="77" t="n">
        <v>0.01916</v>
      </c>
      <c r="R146" s="77" t="n">
        <v>15.068</v>
      </c>
      <c r="S146" s="77" t="n">
        <v>2.416</v>
      </c>
      <c r="T146" s="77" t="n">
        <v>0.02416</v>
      </c>
      <c r="U146" s="77" t="n">
        <v>0.02416</v>
      </c>
      <c r="W146" s="77" t="n">
        <v>16.5188</v>
      </c>
      <c r="X146" s="77" t="n">
        <v>2.192</v>
      </c>
      <c r="Y146" s="77" t="n">
        <v>0.02192</v>
      </c>
      <c r="Z146" s="77" t="n">
        <v>0.02158</v>
      </c>
    </row>
    <row r="147" customFormat="false" ht="16" hidden="false" customHeight="false" outlineLevel="0" collapsed="false">
      <c r="A147" s="0" t="s">
        <v>557</v>
      </c>
      <c r="B147" s="64" t="s">
        <v>589</v>
      </c>
      <c r="C147" s="77" t="n">
        <v>17.113</v>
      </c>
      <c r="D147" s="77" t="n">
        <v>2.228</v>
      </c>
      <c r="E147" s="77" t="n">
        <v>0.02228</v>
      </c>
      <c r="F147" s="77" t="n">
        <v>0.02228</v>
      </c>
      <c r="H147" s="77" t="n">
        <v>16.484</v>
      </c>
      <c r="I147" s="77" t="n">
        <v>2.147</v>
      </c>
      <c r="J147" s="77" t="n">
        <v>0.02147</v>
      </c>
      <c r="K147" s="77" t="n">
        <v>0.02147</v>
      </c>
      <c r="M147" s="77" t="n">
        <v>17.816</v>
      </c>
      <c r="N147" s="77" t="n">
        <v>1.937</v>
      </c>
      <c r="O147" s="77" t="n">
        <v>0.01937</v>
      </c>
      <c r="P147" s="77" t="n">
        <v>0.01937</v>
      </c>
      <c r="R147" s="77" t="n">
        <v>17.315</v>
      </c>
      <c r="S147" s="77" t="n">
        <v>2.423</v>
      </c>
      <c r="T147" s="77" t="n">
        <v>0.02423</v>
      </c>
      <c r="U147" s="77" t="n">
        <v>0.02423</v>
      </c>
      <c r="W147" s="77" t="n">
        <v>19.0354</v>
      </c>
      <c r="X147" s="77" t="n">
        <v>2.179</v>
      </c>
      <c r="Y147" s="77" t="n">
        <v>0.02179</v>
      </c>
      <c r="Z147" s="77" t="n">
        <v>0.02179</v>
      </c>
    </row>
    <row r="148" customFormat="false" ht="16" hidden="false" customHeight="false" outlineLevel="0" collapsed="false">
      <c r="A148" s="0" t="s">
        <v>557</v>
      </c>
      <c r="B148" s="64" t="s">
        <v>590</v>
      </c>
      <c r="C148" s="77" t="n">
        <v>9.203</v>
      </c>
      <c r="D148" s="77" t="n">
        <v>2.203</v>
      </c>
      <c r="E148" s="77" t="n">
        <v>0.02203</v>
      </c>
      <c r="F148" s="77" t="n">
        <v>0.02203</v>
      </c>
      <c r="H148" s="77" t="n">
        <v>6.426</v>
      </c>
      <c r="I148" s="77" t="n">
        <v>2.203</v>
      </c>
      <c r="J148" s="77" t="n">
        <v>0.02203</v>
      </c>
      <c r="K148" s="77" t="n">
        <v>0.02257</v>
      </c>
      <c r="M148" s="77" t="n">
        <v>9.985</v>
      </c>
      <c r="N148" s="77" t="n">
        <v>1.996</v>
      </c>
      <c r="O148" s="77" t="n">
        <v>0.01996</v>
      </c>
      <c r="P148" s="77" t="n">
        <v>0.01996</v>
      </c>
      <c r="R148" s="77" t="n">
        <v>9.502</v>
      </c>
      <c r="S148" s="77" t="n">
        <v>2.398</v>
      </c>
      <c r="T148" s="77" t="n">
        <v>0.02398</v>
      </c>
      <c r="U148" s="77" t="n">
        <v>0.02398</v>
      </c>
      <c r="W148" s="77" t="n">
        <v>10.2004</v>
      </c>
      <c r="X148" s="77" t="n">
        <v>2.164</v>
      </c>
      <c r="Y148" s="77" t="n">
        <v>0.02164</v>
      </c>
      <c r="Z148" s="77" t="n">
        <v>0.02164</v>
      </c>
    </row>
    <row r="149" customFormat="false" ht="16" hidden="false" customHeight="false" outlineLevel="0" collapsed="false">
      <c r="A149" s="0" t="s">
        <v>557</v>
      </c>
      <c r="B149" s="64" t="s">
        <v>591</v>
      </c>
      <c r="C149" s="77" t="n">
        <v>9.993</v>
      </c>
      <c r="D149" s="77" t="n">
        <v>2.237</v>
      </c>
      <c r="E149" s="77" t="n">
        <v>0.02237</v>
      </c>
      <c r="F149" s="77" t="n">
        <v>0.02237</v>
      </c>
      <c r="H149" s="77" t="n">
        <v>7.515</v>
      </c>
      <c r="I149" s="77" t="n">
        <v>2.232</v>
      </c>
      <c r="J149" s="77" t="n">
        <v>0.02232</v>
      </c>
      <c r="K149" s="77" t="n">
        <v>0.02291</v>
      </c>
      <c r="M149" s="77" t="n">
        <v>10.761</v>
      </c>
      <c r="N149" s="77" t="n">
        <v>1.95</v>
      </c>
      <c r="O149" s="77" t="n">
        <v>0.0195</v>
      </c>
      <c r="P149" s="77" t="n">
        <v>0.0195</v>
      </c>
      <c r="R149" s="77" t="n">
        <v>10.288</v>
      </c>
      <c r="S149" s="77" t="n">
        <v>2.431</v>
      </c>
      <c r="T149" s="77" t="n">
        <v>0.02431</v>
      </c>
      <c r="U149" s="77" t="n">
        <v>0.02431</v>
      </c>
      <c r="W149" s="77" t="n">
        <v>11.0848</v>
      </c>
      <c r="X149" s="77" t="n">
        <v>2.111</v>
      </c>
      <c r="Y149" s="77" t="n">
        <v>0.02111</v>
      </c>
      <c r="Z149" s="77" t="n">
        <v>0.02111</v>
      </c>
    </row>
    <row r="150" customFormat="false" ht="16" hidden="false" customHeight="false" outlineLevel="0" collapsed="false">
      <c r="A150" s="0" t="s">
        <v>557</v>
      </c>
      <c r="B150" s="64" t="s">
        <v>594</v>
      </c>
      <c r="C150" s="77" t="n">
        <v>17.902</v>
      </c>
      <c r="D150" s="77" t="n">
        <v>2.239</v>
      </c>
      <c r="E150" s="77" t="n">
        <v>0.02239</v>
      </c>
      <c r="F150" s="77" t="n">
        <v>0.02213</v>
      </c>
      <c r="H150" s="77" t="n">
        <v>17.562</v>
      </c>
      <c r="I150" s="77" t="n">
        <v>2.144</v>
      </c>
      <c r="J150" s="77" t="n">
        <v>0.02144</v>
      </c>
      <c r="K150" s="77" t="n">
        <v>0.02144</v>
      </c>
      <c r="M150" s="77" t="n">
        <v>18.61</v>
      </c>
      <c r="N150" s="77" t="n">
        <v>1.9</v>
      </c>
      <c r="O150" s="77" t="n">
        <v>0.019</v>
      </c>
      <c r="P150" s="77" t="n">
        <v>0.01869</v>
      </c>
      <c r="R150" s="77" t="n">
        <v>18.139</v>
      </c>
      <c r="S150" s="77" t="n">
        <v>2.406</v>
      </c>
      <c r="T150" s="77" t="n">
        <v>0.02406</v>
      </c>
      <c r="U150" s="77" t="n">
        <v>0.02406</v>
      </c>
      <c r="W150" s="77" t="n">
        <v>19.9978</v>
      </c>
      <c r="X150" s="77" t="n">
        <v>2.221</v>
      </c>
      <c r="Y150" s="77" t="n">
        <v>0.02221</v>
      </c>
      <c r="Z150" s="77" t="n">
        <v>0.02221</v>
      </c>
    </row>
    <row r="151" customFormat="false" ht="16" hidden="false" customHeight="false" outlineLevel="0" collapsed="false">
      <c r="A151" s="0" t="s">
        <v>557</v>
      </c>
      <c r="B151" s="64" t="s">
        <v>595</v>
      </c>
      <c r="C151" s="77" t="n">
        <v>20.394</v>
      </c>
      <c r="D151" s="77" t="n">
        <v>2.249</v>
      </c>
      <c r="E151" s="77" t="n">
        <v>0.02249</v>
      </c>
      <c r="F151" s="77" t="n">
        <v>0.02249</v>
      </c>
      <c r="H151" s="77" t="n">
        <v>20.622</v>
      </c>
      <c r="I151" s="77" t="n">
        <v>2.112</v>
      </c>
      <c r="J151" s="77" t="n">
        <v>0.02112</v>
      </c>
      <c r="K151" s="77" t="n">
        <v>0.02112</v>
      </c>
      <c r="M151" s="77" t="n">
        <v>20.983</v>
      </c>
      <c r="N151" s="77" t="n">
        <v>1.887</v>
      </c>
      <c r="O151" s="77" t="n">
        <v>0.01887</v>
      </c>
      <c r="P151" s="77" t="n">
        <v>0.01887</v>
      </c>
      <c r="R151" s="77" t="n">
        <v>20.567</v>
      </c>
      <c r="S151" s="77" t="n">
        <v>2.43</v>
      </c>
      <c r="T151" s="77" t="n">
        <v>0.0243</v>
      </c>
      <c r="U151" s="77" t="n">
        <v>0.0243</v>
      </c>
      <c r="W151" s="77" t="n">
        <v>22.6666</v>
      </c>
      <c r="X151" s="77" t="n">
        <v>2.205</v>
      </c>
      <c r="Y151" s="77" t="n">
        <v>0.02205</v>
      </c>
      <c r="Z151" s="77" t="n">
        <v>0.02205</v>
      </c>
    </row>
    <row r="152" customFormat="false" ht="16" hidden="false" customHeight="false" outlineLevel="0" collapsed="false">
      <c r="A152" s="0" t="s">
        <v>597</v>
      </c>
      <c r="B152" s="64" t="s">
        <v>596</v>
      </c>
      <c r="C152" s="0" t="n">
        <v>12.8679</v>
      </c>
      <c r="D152" s="0" t="n">
        <v>2.226</v>
      </c>
      <c r="E152" s="0" t="n">
        <v>0.02226</v>
      </c>
      <c r="F152" s="0" t="n">
        <v>0.02226</v>
      </c>
      <c r="H152" s="0" t="n">
        <v>10.9958</v>
      </c>
      <c r="I152" s="0" t="n">
        <v>2.194</v>
      </c>
      <c r="J152" s="0" t="n">
        <v>0.02194</v>
      </c>
      <c r="K152" s="0" t="n">
        <v>0.02194</v>
      </c>
      <c r="M152" s="0" t="n">
        <v>13.552</v>
      </c>
      <c r="N152" s="0" t="n">
        <v>1.92</v>
      </c>
      <c r="O152" s="0" t="n">
        <v>0.0192</v>
      </c>
      <c r="P152" s="0" t="n">
        <v>0.0192</v>
      </c>
      <c r="R152" s="0" t="n">
        <v>13.0873</v>
      </c>
      <c r="S152" s="0" t="n">
        <v>2.411</v>
      </c>
      <c r="T152" s="0" t="n">
        <v>0.02411</v>
      </c>
      <c r="U152" s="0" t="n">
        <v>0.02314</v>
      </c>
      <c r="W152" s="0" t="n">
        <v>14.2677</v>
      </c>
      <c r="X152" s="0" t="n">
        <v>2.161</v>
      </c>
      <c r="Y152" s="0" t="n">
        <v>0.02161</v>
      </c>
      <c r="Z152" s="0" t="n">
        <v>0.02161</v>
      </c>
    </row>
    <row r="153" customFormat="false" ht="16" hidden="false" customHeight="false" outlineLevel="0" collapsed="false">
      <c r="A153" s="0" t="s">
        <v>597</v>
      </c>
      <c r="B153" s="64" t="s">
        <v>599</v>
      </c>
      <c r="C153" s="0" t="n">
        <v>15.708</v>
      </c>
      <c r="D153" s="0" t="n">
        <v>2.205</v>
      </c>
      <c r="E153" s="0" t="n">
        <v>0.02205</v>
      </c>
      <c r="F153" s="0" t="n">
        <v>0.02205</v>
      </c>
      <c r="H153" s="0" t="n">
        <v>14.6696</v>
      </c>
      <c r="I153" s="0" t="n">
        <v>2.139</v>
      </c>
      <c r="J153" s="0" t="n">
        <v>0.02139</v>
      </c>
      <c r="K153" s="0" t="n">
        <v>0.02139</v>
      </c>
      <c r="M153" s="0" t="n">
        <v>16.339</v>
      </c>
      <c r="N153" s="0" t="n">
        <v>1.918</v>
      </c>
      <c r="O153" s="0" t="n">
        <v>0.01918</v>
      </c>
      <c r="P153" s="0" t="n">
        <v>0.01918</v>
      </c>
      <c r="R153" s="0" t="n">
        <v>15.9191</v>
      </c>
      <c r="S153" s="0" t="n">
        <v>2.433</v>
      </c>
      <c r="T153" s="0" t="n">
        <v>0.02433</v>
      </c>
      <c r="U153" s="0" t="n">
        <v>0.02433</v>
      </c>
      <c r="W153" s="0" t="n">
        <v>17.4666</v>
      </c>
      <c r="X153" s="0" t="n">
        <v>2.191</v>
      </c>
      <c r="Y153" s="0" t="n">
        <v>0.02191</v>
      </c>
      <c r="Z153" s="0" t="n">
        <v>0.02191</v>
      </c>
    </row>
    <row r="154" customFormat="false" ht="16" hidden="false" customHeight="false" outlineLevel="0" collapsed="false">
      <c r="A154" s="0" t="s">
        <v>597</v>
      </c>
      <c r="B154" s="64" t="s">
        <v>601</v>
      </c>
      <c r="C154" s="0" t="n">
        <v>11.1326</v>
      </c>
      <c r="D154" s="0" t="n">
        <v>2.251</v>
      </c>
      <c r="E154" s="0" t="n">
        <v>0.02251</v>
      </c>
      <c r="F154" s="0" t="n">
        <v>0.02251</v>
      </c>
      <c r="H154" s="0" t="n">
        <v>8.9148</v>
      </c>
      <c r="I154" s="0" t="n">
        <v>2.219</v>
      </c>
      <c r="J154" s="0" t="n">
        <v>0.02219</v>
      </c>
      <c r="K154" s="0" t="n">
        <v>0.02219</v>
      </c>
      <c r="M154" s="0" t="n">
        <v>11.907</v>
      </c>
      <c r="N154" s="0" t="n">
        <v>1.972</v>
      </c>
      <c r="O154" s="0" t="n">
        <v>0.01972</v>
      </c>
      <c r="P154" s="0" t="n">
        <v>0.01972</v>
      </c>
      <c r="R154" s="0" t="n">
        <v>11.4411</v>
      </c>
      <c r="S154" s="0" t="n">
        <v>2.431</v>
      </c>
      <c r="T154" s="0" t="n">
        <v>0.02431</v>
      </c>
      <c r="U154" s="0" t="n">
        <v>0.02431</v>
      </c>
      <c r="W154" s="0" t="n">
        <v>12.3871</v>
      </c>
      <c r="X154" s="0" t="n">
        <v>2.171</v>
      </c>
      <c r="Y154" s="0" t="n">
        <v>0.02171</v>
      </c>
      <c r="Z154" s="0" t="n">
        <v>0.02306</v>
      </c>
    </row>
    <row r="155" customFormat="false" ht="16" hidden="false" customHeight="false" outlineLevel="0" collapsed="false">
      <c r="A155" s="0" t="s">
        <v>597</v>
      </c>
      <c r="B155" s="64" t="s">
        <v>603</v>
      </c>
      <c r="C155" s="0" t="n">
        <v>14.675</v>
      </c>
      <c r="D155" s="0" t="n">
        <v>2.24</v>
      </c>
      <c r="E155" s="0" t="n">
        <v>0.0224</v>
      </c>
      <c r="F155" s="0" t="n">
        <v>0.0224</v>
      </c>
      <c r="H155" s="0" t="n">
        <v>13.3921</v>
      </c>
      <c r="I155" s="0" t="n">
        <v>2.146</v>
      </c>
      <c r="J155" s="0" t="n">
        <v>0.02146</v>
      </c>
      <c r="K155" s="0" t="n">
        <v>0.02181</v>
      </c>
      <c r="M155" s="0" t="n">
        <v>15.405</v>
      </c>
      <c r="N155" s="0" t="n">
        <v>1.933</v>
      </c>
      <c r="O155" s="0" t="n">
        <v>0.01933</v>
      </c>
      <c r="P155" s="0" t="n">
        <v>0.01933</v>
      </c>
      <c r="R155" s="0" t="n">
        <v>14.9735</v>
      </c>
      <c r="S155" s="0" t="n">
        <v>2.391</v>
      </c>
      <c r="T155" s="0" t="n">
        <v>0.02391</v>
      </c>
      <c r="U155" s="0" t="n">
        <v>0.02431</v>
      </c>
      <c r="W155" s="0" t="n">
        <v>16.3743</v>
      </c>
      <c r="X155" s="0" t="n">
        <v>2.169</v>
      </c>
      <c r="Y155" s="0" t="n">
        <v>0.02169</v>
      </c>
      <c r="Z155" s="0" t="n">
        <v>0.02197</v>
      </c>
    </row>
    <row r="156" customFormat="false" ht="16" hidden="false" customHeight="false" outlineLevel="0" collapsed="false">
      <c r="A156" s="0" t="s">
        <v>597</v>
      </c>
      <c r="B156" s="64" t="s">
        <v>606</v>
      </c>
      <c r="C156" s="0" t="n">
        <v>8.3023</v>
      </c>
      <c r="D156" s="0" t="n">
        <v>2.202</v>
      </c>
      <c r="E156" s="0" t="n">
        <v>0.02202</v>
      </c>
      <c r="F156" s="0" t="n">
        <v>0.02202</v>
      </c>
      <c r="H156" s="0" t="n">
        <v>5.3014</v>
      </c>
      <c r="I156" s="0" t="n">
        <v>2.242</v>
      </c>
      <c r="J156" s="0" t="n">
        <v>0.02242</v>
      </c>
      <c r="K156" s="0" t="n">
        <v>0.02326</v>
      </c>
      <c r="M156" s="0" t="n">
        <v>9.138</v>
      </c>
      <c r="N156" s="0" t="n">
        <v>1.962</v>
      </c>
      <c r="O156" s="0" t="n">
        <v>0.01962</v>
      </c>
      <c r="P156" s="0" t="n">
        <v>0.01925</v>
      </c>
      <c r="R156" s="0" t="n">
        <v>8.6268</v>
      </c>
      <c r="S156" s="0" t="n">
        <v>2.439</v>
      </c>
      <c r="T156" s="0" t="n">
        <v>0.02439</v>
      </c>
      <c r="U156" s="0" t="n">
        <v>0.02517</v>
      </c>
      <c r="W156" s="0" t="n">
        <v>9.2195</v>
      </c>
      <c r="X156" s="0" t="n">
        <v>2.168</v>
      </c>
      <c r="Y156" s="0" t="n">
        <v>0.02168</v>
      </c>
      <c r="Z156" s="0" t="n">
        <v>0.02168</v>
      </c>
    </row>
    <row r="157" customFormat="false" ht="16" hidden="false" customHeight="false" outlineLevel="0" collapsed="false">
      <c r="A157" s="0" t="s">
        <v>597</v>
      </c>
      <c r="B157" s="64" t="s">
        <v>610</v>
      </c>
      <c r="C157" s="0" t="n">
        <v>25.4944</v>
      </c>
      <c r="D157" s="0" t="n">
        <v>2.215</v>
      </c>
      <c r="E157" s="0" t="n">
        <v>0.02215</v>
      </c>
      <c r="F157" s="0" t="n">
        <v>0.02215</v>
      </c>
      <c r="H157" s="0" t="n">
        <v>27.0979</v>
      </c>
      <c r="I157" s="0" t="n">
        <v>2.112</v>
      </c>
      <c r="J157" s="0" t="n">
        <v>0.02112</v>
      </c>
      <c r="K157" s="0" t="n">
        <v>0.02112</v>
      </c>
      <c r="M157" s="0" t="n">
        <v>26.009</v>
      </c>
      <c r="N157" s="0" t="n">
        <v>1.903</v>
      </c>
      <c r="O157" s="0" t="n">
        <v>0.01903</v>
      </c>
      <c r="P157" s="0" t="n">
        <v>0.01832</v>
      </c>
      <c r="R157" s="0" t="n">
        <v>25.5971</v>
      </c>
      <c r="S157" s="0" t="n">
        <v>2.392</v>
      </c>
      <c r="T157" s="0" t="n">
        <v>0.02392</v>
      </c>
      <c r="U157" s="0" t="n">
        <v>0.02392</v>
      </c>
      <c r="W157" s="0" t="n">
        <v>28.3676</v>
      </c>
      <c r="X157" s="0" t="n">
        <v>2.276</v>
      </c>
      <c r="Y157" s="0" t="n">
        <v>0.02276</v>
      </c>
      <c r="Z157" s="0" t="n">
        <v>0.02203</v>
      </c>
    </row>
    <row r="158" customFormat="false" ht="16" hidden="false" customHeight="false" outlineLevel="0" collapsed="false">
      <c r="A158" s="0" t="s">
        <v>597</v>
      </c>
      <c r="B158" s="64" t="s">
        <v>615</v>
      </c>
      <c r="C158" s="0" t="n">
        <v>23.4137</v>
      </c>
      <c r="D158" s="0" t="n">
        <v>2.218</v>
      </c>
      <c r="E158" s="0" t="n">
        <v>0.02218</v>
      </c>
      <c r="F158" s="0" t="n">
        <v>0.02265</v>
      </c>
      <c r="H158" s="0" t="n">
        <v>24.4991</v>
      </c>
      <c r="I158" s="0" t="n">
        <v>2.098</v>
      </c>
      <c r="J158" s="0" t="n">
        <v>0.02098</v>
      </c>
      <c r="K158" s="0" t="n">
        <v>0.02098</v>
      </c>
      <c r="M158" s="0" t="n">
        <v>24.013</v>
      </c>
      <c r="N158" s="0" t="n">
        <v>1.908</v>
      </c>
      <c r="O158" s="0" t="n">
        <v>0.01908</v>
      </c>
      <c r="P158" s="0" t="n">
        <v>0.01908</v>
      </c>
      <c r="R158" s="0" t="n">
        <v>23.5814</v>
      </c>
      <c r="S158" s="0" t="n">
        <v>2.447</v>
      </c>
      <c r="T158" s="0" t="n">
        <v>0.02447</v>
      </c>
      <c r="U158" s="0" t="n">
        <v>0.02447</v>
      </c>
      <c r="W158" s="0" t="n">
        <v>26.1053</v>
      </c>
      <c r="X158" s="0" t="n">
        <v>2.209</v>
      </c>
      <c r="Y158" s="0" t="n">
        <v>0.02209</v>
      </c>
      <c r="Z158" s="0" t="n">
        <v>0.0223</v>
      </c>
    </row>
    <row r="159" customFormat="false" ht="16" hidden="false" customHeight="false" outlineLevel="0" collapsed="false">
      <c r="A159" s="0" t="s">
        <v>597</v>
      </c>
      <c r="B159" s="64" t="s">
        <v>619</v>
      </c>
      <c r="C159" s="0" t="n">
        <v>17.87</v>
      </c>
      <c r="D159" s="0" t="n">
        <v>2.215</v>
      </c>
      <c r="E159" s="0" t="n">
        <v>0.02215</v>
      </c>
      <c r="F159" s="0" t="n">
        <v>0.02215</v>
      </c>
      <c r="H159" s="0" t="n">
        <v>17.4515</v>
      </c>
      <c r="I159" s="0" t="n">
        <v>2.152</v>
      </c>
      <c r="J159" s="0" t="n">
        <v>0.02152</v>
      </c>
      <c r="K159" s="0" t="n">
        <v>0.02152</v>
      </c>
      <c r="M159" s="0" t="n">
        <v>18.529</v>
      </c>
      <c r="N159" s="0" t="n">
        <v>1.905</v>
      </c>
      <c r="O159" s="0" t="n">
        <v>0.01905</v>
      </c>
      <c r="P159" s="0" t="n">
        <v>0.01943</v>
      </c>
      <c r="R159" s="0" t="n">
        <v>18.0948</v>
      </c>
      <c r="S159" s="0" t="n">
        <v>2.43</v>
      </c>
      <c r="T159" s="0" t="n">
        <v>0.0243</v>
      </c>
      <c r="U159" s="0" t="n">
        <v>0.0243</v>
      </c>
      <c r="W159" s="0" t="n">
        <v>19.8866</v>
      </c>
      <c r="X159" s="0" t="n">
        <v>2.191</v>
      </c>
      <c r="Y159" s="0" t="n">
        <v>0.02191</v>
      </c>
      <c r="Z159" s="0" t="n">
        <v>0.02191</v>
      </c>
    </row>
    <row r="160" customFormat="false" ht="16" hidden="false" customHeight="false" outlineLevel="0" collapsed="false">
      <c r="A160" s="0" t="s">
        <v>597</v>
      </c>
      <c r="B160" s="64" t="s">
        <v>621</v>
      </c>
      <c r="C160" s="0" t="n">
        <v>28.1447</v>
      </c>
      <c r="D160" s="0" t="n">
        <v>2.24</v>
      </c>
      <c r="E160" s="0" t="n">
        <v>0.0224</v>
      </c>
      <c r="F160" s="0" t="n">
        <v>0.0224</v>
      </c>
      <c r="H160" s="0" t="n">
        <v>30.4518</v>
      </c>
      <c r="I160" s="0" t="n">
        <v>2.092</v>
      </c>
      <c r="J160" s="0" t="n">
        <v>0.02092</v>
      </c>
      <c r="K160" s="0" t="n">
        <v>0.02092</v>
      </c>
      <c r="M160" s="0" t="n">
        <v>28.623</v>
      </c>
      <c r="N160" s="0" t="n">
        <v>1.871</v>
      </c>
      <c r="O160" s="0" t="n">
        <v>0.01871</v>
      </c>
      <c r="P160" s="0" t="n">
        <v>0.01871</v>
      </c>
      <c r="R160" s="0" t="n">
        <v>28.2201</v>
      </c>
      <c r="S160" s="0" t="n">
        <v>2.431</v>
      </c>
      <c r="T160" s="0" t="n">
        <v>0.02431</v>
      </c>
      <c r="U160" s="0" t="n">
        <v>0.02431</v>
      </c>
      <c r="W160" s="0" t="n">
        <v>31.36</v>
      </c>
      <c r="X160" s="0" t="n">
        <v>2.256</v>
      </c>
      <c r="Y160" s="0" t="n">
        <v>0.02256</v>
      </c>
      <c r="Z160" s="0" t="n">
        <v>0.02256</v>
      </c>
    </row>
    <row r="161" customFormat="false" ht="16" hidden="false" customHeight="false" outlineLevel="0" collapsed="false">
      <c r="A161" s="0" t="s">
        <v>597</v>
      </c>
      <c r="B161" s="64" t="s">
        <v>622</v>
      </c>
      <c r="C161" s="0" t="n">
        <v>27.8764</v>
      </c>
      <c r="D161" s="0" t="n">
        <v>2.246</v>
      </c>
      <c r="E161" s="0" t="n">
        <v>0.02246</v>
      </c>
      <c r="F161" s="0" t="n">
        <v>0.02246</v>
      </c>
      <c r="H161" s="0" t="n">
        <v>30.2257</v>
      </c>
      <c r="I161" s="0" t="n">
        <v>2.092</v>
      </c>
      <c r="J161" s="0" t="n">
        <v>0.02092</v>
      </c>
      <c r="K161" s="0" t="n">
        <v>0.02092</v>
      </c>
      <c r="M161" s="0" t="n">
        <v>28.421</v>
      </c>
      <c r="N161" s="0" t="n">
        <v>1.893</v>
      </c>
      <c r="O161" s="0" t="n">
        <v>0.01893</v>
      </c>
      <c r="P161" s="0" t="n">
        <v>0.01893</v>
      </c>
      <c r="R161" s="0" t="n">
        <v>28.0743</v>
      </c>
      <c r="S161" s="0" t="n">
        <v>2.447</v>
      </c>
      <c r="T161" s="0" t="n">
        <v>0.02447</v>
      </c>
      <c r="U161" s="0" t="n">
        <v>0.02447</v>
      </c>
      <c r="W161" s="0" t="n">
        <v>31.1326</v>
      </c>
      <c r="X161" s="0" t="n">
        <v>2.274</v>
      </c>
      <c r="Y161" s="0" t="n">
        <v>0.02274</v>
      </c>
      <c r="Z161" s="0" t="n">
        <v>0.02333</v>
      </c>
    </row>
    <row r="162" customFormat="false" ht="16" hidden="false" customHeight="false" outlineLevel="0" collapsed="false">
      <c r="A162" s="0" t="s">
        <v>597</v>
      </c>
      <c r="B162" s="64" t="s">
        <v>623</v>
      </c>
      <c r="C162" s="0" t="n">
        <v>27.6814</v>
      </c>
      <c r="D162" s="0" t="n">
        <v>2.231</v>
      </c>
      <c r="E162" s="0" t="n">
        <v>0.02231</v>
      </c>
      <c r="F162" s="0" t="n">
        <v>0.02231</v>
      </c>
      <c r="H162" s="0" t="n">
        <v>29.9517</v>
      </c>
      <c r="I162" s="0" t="n">
        <v>2.115</v>
      </c>
      <c r="J162" s="0" t="n">
        <v>0.02115</v>
      </c>
      <c r="K162" s="0" t="n">
        <v>0.02115</v>
      </c>
      <c r="M162" s="0" t="n">
        <v>28.24</v>
      </c>
      <c r="N162" s="0" t="n">
        <v>1.904</v>
      </c>
      <c r="O162" s="0" t="n">
        <v>0.01904</v>
      </c>
      <c r="P162" s="0" t="n">
        <v>0.01904</v>
      </c>
      <c r="R162" s="0" t="n">
        <v>27.7772</v>
      </c>
      <c r="S162" s="0" t="n">
        <v>2.413</v>
      </c>
      <c r="T162" s="0" t="n">
        <v>0.02413</v>
      </c>
      <c r="U162" s="0" t="n">
        <v>0.02413</v>
      </c>
      <c r="W162" s="0" t="n">
        <v>30.8786</v>
      </c>
      <c r="X162" s="0" t="n">
        <v>2.258</v>
      </c>
      <c r="Y162" s="0" t="n">
        <v>0.02258</v>
      </c>
      <c r="Z162" s="0" t="n">
        <v>0.02258</v>
      </c>
    </row>
    <row r="163" customFormat="false" ht="16" hidden="false" customHeight="false" outlineLevel="0" collapsed="false">
      <c r="A163" s="0" t="s">
        <v>597</v>
      </c>
      <c r="B163" s="64" t="s">
        <v>625</v>
      </c>
      <c r="C163" s="0" t="n">
        <v>24.7705</v>
      </c>
      <c r="D163" s="0" t="n">
        <v>2.216</v>
      </c>
      <c r="E163" s="0" t="n">
        <v>0.02216</v>
      </c>
      <c r="F163" s="0" t="n">
        <v>0.02216</v>
      </c>
      <c r="H163" s="0" t="n">
        <v>26.216</v>
      </c>
      <c r="I163" s="0" t="n">
        <v>2.105</v>
      </c>
      <c r="J163" s="0" t="n">
        <v>0.02105</v>
      </c>
      <c r="K163" s="0" t="n">
        <v>0.02105</v>
      </c>
      <c r="M163" s="0" t="n">
        <v>25.331</v>
      </c>
      <c r="N163" s="0" t="n">
        <v>1.878</v>
      </c>
      <c r="O163" s="0" t="n">
        <v>0.01878</v>
      </c>
      <c r="P163" s="0" t="n">
        <v>0.01878</v>
      </c>
      <c r="R163" s="0" t="n">
        <v>24.8434</v>
      </c>
      <c r="S163" s="0" t="n">
        <v>2.417</v>
      </c>
      <c r="T163" s="0" t="n">
        <v>0.02417</v>
      </c>
      <c r="U163" s="0" t="n">
        <v>0.02417</v>
      </c>
      <c r="W163" s="0" t="n">
        <v>27.582</v>
      </c>
      <c r="X163" s="0" t="n">
        <v>2.252</v>
      </c>
      <c r="Y163" s="0" t="n">
        <v>0.02252</v>
      </c>
      <c r="Z163" s="0" t="n">
        <v>0.02209</v>
      </c>
    </row>
    <row r="164" customFormat="false" ht="16" hidden="false" customHeight="false" outlineLevel="0" collapsed="false">
      <c r="A164" s="0" t="s">
        <v>597</v>
      </c>
      <c r="B164" s="64" t="s">
        <v>628</v>
      </c>
      <c r="C164" s="0" t="n">
        <v>24.5452</v>
      </c>
      <c r="D164" s="0" t="n">
        <v>2.231</v>
      </c>
      <c r="E164" s="0" t="n">
        <v>0.02231</v>
      </c>
      <c r="F164" s="0" t="n">
        <v>0.02231</v>
      </c>
      <c r="H164" s="0" t="n">
        <v>25.9089</v>
      </c>
      <c r="I164" s="0" t="n">
        <v>2.115</v>
      </c>
      <c r="J164" s="0" t="n">
        <v>0.02115</v>
      </c>
      <c r="K164" s="0" t="n">
        <v>0.02057</v>
      </c>
      <c r="M164" s="0" t="n">
        <v>25.106</v>
      </c>
      <c r="N164" s="0" t="n">
        <v>1.911</v>
      </c>
      <c r="O164" s="0" t="n">
        <v>0.01911</v>
      </c>
      <c r="P164" s="0" t="n">
        <v>0.01911</v>
      </c>
      <c r="R164" s="0" t="n">
        <v>24.6663</v>
      </c>
      <c r="S164" s="0" t="n">
        <v>2.421</v>
      </c>
      <c r="T164" s="0" t="n">
        <v>0.02421</v>
      </c>
      <c r="U164" s="0" t="n">
        <v>0.02521</v>
      </c>
      <c r="W164" s="0" t="n">
        <v>27.3447</v>
      </c>
      <c r="X164" s="0" t="n">
        <v>2.25</v>
      </c>
      <c r="Y164" s="0" t="n">
        <v>0.0225</v>
      </c>
      <c r="Z164" s="0" t="n">
        <v>0.0225</v>
      </c>
    </row>
    <row r="165" customFormat="false" ht="16" hidden="false" customHeight="false" outlineLevel="0" collapsed="false">
      <c r="A165" s="0" t="s">
        <v>597</v>
      </c>
      <c r="B165" s="64" t="s">
        <v>630</v>
      </c>
      <c r="C165" s="0" t="n">
        <v>6.5278</v>
      </c>
      <c r="D165" s="0" t="n">
        <v>2.224</v>
      </c>
      <c r="E165" s="0" t="n">
        <v>0.02224</v>
      </c>
      <c r="F165" s="0" t="n">
        <v>0.02224</v>
      </c>
      <c r="H165" s="0" t="n">
        <v>2.9885</v>
      </c>
      <c r="I165" s="0" t="n">
        <v>2.286</v>
      </c>
      <c r="J165" s="0" t="n">
        <v>0.02286</v>
      </c>
      <c r="K165" s="0" t="n">
        <v>0.02435</v>
      </c>
      <c r="M165" s="0" t="n">
        <v>7.335</v>
      </c>
      <c r="N165" s="0" t="n">
        <v>1.983</v>
      </c>
      <c r="O165" s="0" t="n">
        <v>0.01983</v>
      </c>
      <c r="P165" s="0" t="n">
        <v>0.01983</v>
      </c>
      <c r="R165" s="0" t="n">
        <v>6.8464</v>
      </c>
      <c r="S165" s="0" t="n">
        <v>2.403</v>
      </c>
      <c r="T165" s="0" t="n">
        <v>0.02403</v>
      </c>
      <c r="U165" s="0" t="n">
        <v>0.02475</v>
      </c>
      <c r="W165" s="0" t="n">
        <v>7.1598</v>
      </c>
      <c r="X165" s="0" t="n">
        <v>2.159</v>
      </c>
      <c r="Y165" s="0" t="n">
        <v>0.02159</v>
      </c>
      <c r="Z165" s="0" t="n">
        <v>0.02159</v>
      </c>
    </row>
    <row r="166" customFormat="false" ht="16" hidden="false" customHeight="false" outlineLevel="0" collapsed="false">
      <c r="A166" s="0" t="s">
        <v>597</v>
      </c>
      <c r="B166" s="64" t="s">
        <v>634</v>
      </c>
      <c r="C166" s="0" t="n">
        <v>2.1133</v>
      </c>
      <c r="D166" s="0" t="n">
        <v>2.235</v>
      </c>
      <c r="E166" s="0" t="n">
        <v>0.02235</v>
      </c>
      <c r="F166" s="0" t="n">
        <v>0.02289</v>
      </c>
      <c r="H166" s="0" t="n">
        <v>-2.5418</v>
      </c>
      <c r="I166" s="0" t="n">
        <v>2.384</v>
      </c>
      <c r="J166" s="0" t="n">
        <v>0.02384</v>
      </c>
      <c r="K166" s="0" t="n">
        <v>0.02566</v>
      </c>
      <c r="M166" s="0" t="n">
        <v>3.069</v>
      </c>
      <c r="N166" s="0" t="n">
        <v>2.04</v>
      </c>
      <c r="O166" s="0" t="n">
        <v>0.0204</v>
      </c>
      <c r="P166" s="0" t="n">
        <v>0.0204</v>
      </c>
      <c r="R166" s="0" t="n">
        <v>2.534</v>
      </c>
      <c r="S166" s="0" t="n">
        <v>2.434</v>
      </c>
      <c r="T166" s="0" t="n">
        <v>0.02434</v>
      </c>
      <c r="U166" s="0" t="n">
        <v>0.02434</v>
      </c>
      <c r="W166" s="0" t="n">
        <v>2.3212</v>
      </c>
      <c r="X166" s="0" t="n">
        <v>2.128</v>
      </c>
      <c r="Y166" s="0" t="n">
        <v>0.02128</v>
      </c>
      <c r="Z166" s="0" t="n">
        <v>0.02128</v>
      </c>
    </row>
    <row r="167" customFormat="false" ht="16" hidden="false" customHeight="false" outlineLevel="0" collapsed="false">
      <c r="A167" s="0" t="s">
        <v>597</v>
      </c>
      <c r="B167" s="64" t="s">
        <v>636</v>
      </c>
      <c r="C167" s="0" t="n">
        <v>2.3276</v>
      </c>
      <c r="D167" s="0" t="n">
        <v>2.239</v>
      </c>
      <c r="E167" s="0" t="n">
        <v>0.02239</v>
      </c>
      <c r="F167" s="0" t="n">
        <v>0.02239</v>
      </c>
      <c r="H167" s="0" t="n">
        <v>-2.2733</v>
      </c>
      <c r="I167" s="0" t="n">
        <v>2.364</v>
      </c>
      <c r="J167" s="0" t="n">
        <v>0.02364</v>
      </c>
      <c r="K167" s="0" t="n">
        <v>0.02541</v>
      </c>
      <c r="M167" s="0" t="n">
        <v>3.275</v>
      </c>
      <c r="N167" s="0" t="n">
        <v>2.006</v>
      </c>
      <c r="O167" s="0" t="n">
        <v>0.02006</v>
      </c>
      <c r="P167" s="0" t="n">
        <v>0.0204</v>
      </c>
      <c r="R167" s="0" t="n">
        <v>2.7526</v>
      </c>
      <c r="S167" s="0" t="n">
        <v>2.442</v>
      </c>
      <c r="T167" s="0" t="n">
        <v>0.02442</v>
      </c>
      <c r="U167" s="0" t="n">
        <v>0.02442</v>
      </c>
      <c r="W167" s="0" t="n">
        <v>2.5666</v>
      </c>
      <c r="X167" s="0" t="n">
        <v>2.158</v>
      </c>
      <c r="Y167" s="0" t="n">
        <v>0.02158</v>
      </c>
      <c r="Z167" s="0" t="n">
        <v>0.02181</v>
      </c>
    </row>
    <row r="168" customFormat="false" ht="16" hidden="false" customHeight="false" outlineLevel="0" collapsed="false">
      <c r="A168" s="0" t="s">
        <v>597</v>
      </c>
      <c r="B168" s="64" t="s">
        <v>638</v>
      </c>
      <c r="C168" s="0" t="n">
        <v>24.1165</v>
      </c>
      <c r="D168" s="0" t="n">
        <v>2.218</v>
      </c>
      <c r="E168" s="0" t="n">
        <v>0.02218</v>
      </c>
      <c r="F168" s="0" t="n">
        <v>0.02218</v>
      </c>
      <c r="H168" s="0" t="n">
        <v>25.3349</v>
      </c>
      <c r="I168" s="0" t="n">
        <v>2.125</v>
      </c>
      <c r="J168" s="0" t="n">
        <v>0.02125</v>
      </c>
      <c r="K168" s="0" t="n">
        <v>0.02125</v>
      </c>
      <c r="M168" s="0" t="n">
        <v>24.635</v>
      </c>
      <c r="N168" s="0" t="n">
        <v>1.878</v>
      </c>
      <c r="O168" s="0" t="n">
        <v>0.01878</v>
      </c>
      <c r="P168" s="0" t="n">
        <v>0.01785</v>
      </c>
      <c r="R168" s="0" t="n">
        <v>24.2258</v>
      </c>
      <c r="S168" s="0" t="n">
        <v>2.417</v>
      </c>
      <c r="T168" s="0" t="n">
        <v>0.02417</v>
      </c>
      <c r="U168" s="0" t="n">
        <v>0.02417</v>
      </c>
      <c r="W168" s="0" t="n">
        <v>26.8579</v>
      </c>
      <c r="X168" s="0" t="n">
        <v>2.248</v>
      </c>
      <c r="Y168" s="0" t="n">
        <v>0.02248</v>
      </c>
      <c r="Z168" s="0" t="n">
        <v>0.02248</v>
      </c>
    </row>
    <row r="169" customFormat="false" ht="16" hidden="false" customHeight="false" outlineLevel="0" collapsed="false">
      <c r="A169" s="0" t="s">
        <v>597</v>
      </c>
      <c r="B169" s="64" t="s">
        <v>639</v>
      </c>
      <c r="C169" s="0" t="n">
        <v>19.5759</v>
      </c>
      <c r="D169" s="0" t="n">
        <v>2.234</v>
      </c>
      <c r="E169" s="0" t="n">
        <v>0.02234</v>
      </c>
      <c r="F169" s="0" t="n">
        <v>0.02234</v>
      </c>
      <c r="H169" s="0" t="n">
        <v>19.6111</v>
      </c>
      <c r="I169" s="0" t="n">
        <v>2.143</v>
      </c>
      <c r="J169" s="0" t="n">
        <v>0.02143</v>
      </c>
      <c r="K169" s="0" t="n">
        <v>0.02143</v>
      </c>
      <c r="M169" s="0" t="n">
        <v>20.163</v>
      </c>
      <c r="N169" s="0" t="n">
        <v>1.913</v>
      </c>
      <c r="O169" s="0" t="n">
        <v>0.01913</v>
      </c>
      <c r="P169" s="0" t="n">
        <v>0.01952</v>
      </c>
      <c r="R169" s="0" t="n">
        <v>19.7986</v>
      </c>
      <c r="S169" s="0" t="n">
        <v>2.429</v>
      </c>
      <c r="T169" s="0" t="n">
        <v>0.02429</v>
      </c>
      <c r="U169" s="0" t="n">
        <v>0.02429</v>
      </c>
      <c r="W169" s="0" t="n">
        <v>21.7872</v>
      </c>
      <c r="X169" s="0" t="n">
        <v>2.186</v>
      </c>
      <c r="Y169" s="0" t="n">
        <v>0.02186</v>
      </c>
      <c r="Z169" s="0" t="n">
        <v>0.02186</v>
      </c>
    </row>
    <row r="170" customFormat="false" ht="16" hidden="false" customHeight="false" outlineLevel="0" collapsed="false">
      <c r="A170" s="0" t="s">
        <v>597</v>
      </c>
      <c r="B170" s="64" t="s">
        <v>641</v>
      </c>
      <c r="C170" s="0" t="n">
        <v>20.2284</v>
      </c>
      <c r="D170" s="0" t="n">
        <v>2.214</v>
      </c>
      <c r="E170" s="0" t="n">
        <v>0.02214</v>
      </c>
      <c r="F170" s="0" t="n">
        <v>0.02214</v>
      </c>
      <c r="H170" s="0" t="n">
        <v>20.3611</v>
      </c>
      <c r="I170" s="0" t="n">
        <v>2.135</v>
      </c>
      <c r="J170" s="0" t="n">
        <v>0.02135</v>
      </c>
      <c r="K170" s="0" t="n">
        <v>0.02135</v>
      </c>
      <c r="M170" s="0" t="n">
        <v>20.808</v>
      </c>
      <c r="N170" s="0" t="n">
        <v>1.883</v>
      </c>
      <c r="O170" s="0" t="n">
        <v>0.01883</v>
      </c>
      <c r="P170" s="0" t="n">
        <v>0.01883</v>
      </c>
      <c r="R170" s="0" t="n">
        <v>20.3839</v>
      </c>
      <c r="S170" s="0" t="n">
        <v>2.451</v>
      </c>
      <c r="T170" s="0" t="n">
        <v>0.02451</v>
      </c>
      <c r="U170" s="0" t="n">
        <v>0.02451</v>
      </c>
      <c r="W170" s="0" t="n">
        <v>22.4978</v>
      </c>
      <c r="X170" s="0" t="n">
        <v>2.214</v>
      </c>
      <c r="Y170" s="0" t="n">
        <v>0.02214</v>
      </c>
      <c r="Z170" s="0" t="n">
        <v>0.0223</v>
      </c>
    </row>
    <row r="171" customFormat="false" ht="16" hidden="false" customHeight="false" outlineLevel="0" collapsed="false">
      <c r="A171" s="0" t="s">
        <v>597</v>
      </c>
      <c r="B171" s="64" t="s">
        <v>642</v>
      </c>
      <c r="C171" s="0" t="n">
        <v>23.9286</v>
      </c>
      <c r="D171" s="0" t="n">
        <v>2.221</v>
      </c>
      <c r="E171" s="0" t="n">
        <v>0.02221</v>
      </c>
      <c r="F171" s="0" t="n">
        <v>0.02221</v>
      </c>
      <c r="H171" s="0" t="n">
        <v>25.1857</v>
      </c>
      <c r="I171" s="0" t="n">
        <v>2.098</v>
      </c>
      <c r="J171" s="0" t="n">
        <v>0.02098</v>
      </c>
      <c r="K171" s="0" t="n">
        <v>0.02098</v>
      </c>
      <c r="M171" s="0" t="n">
        <v>24.514</v>
      </c>
      <c r="N171" s="0" t="n">
        <v>1.904</v>
      </c>
      <c r="O171" s="0" t="n">
        <v>0.01904</v>
      </c>
      <c r="P171" s="0" t="n">
        <v>0.01904</v>
      </c>
      <c r="R171" s="0" t="n">
        <v>24.1284</v>
      </c>
      <c r="S171" s="0" t="n">
        <v>2.414</v>
      </c>
      <c r="T171" s="0" t="n">
        <v>0.02414</v>
      </c>
      <c r="U171" s="0" t="n">
        <v>0.02345</v>
      </c>
      <c r="W171" s="0" t="n">
        <v>26.6482</v>
      </c>
      <c r="X171" s="0" t="n">
        <v>2.214</v>
      </c>
      <c r="Y171" s="0" t="n">
        <v>0.02214</v>
      </c>
      <c r="Z171" s="0" t="n">
        <v>0.02214</v>
      </c>
    </row>
    <row r="172" customFormat="false" ht="16" hidden="false" customHeight="false" outlineLevel="0" collapsed="false">
      <c r="A172" s="0" t="s">
        <v>597</v>
      </c>
      <c r="B172" s="64" t="s">
        <v>644</v>
      </c>
      <c r="C172" s="0" t="n">
        <v>23.2702</v>
      </c>
      <c r="D172" s="0" t="n">
        <v>2.222</v>
      </c>
      <c r="E172" s="0" t="n">
        <v>0.02222</v>
      </c>
      <c r="F172" s="0" t="n">
        <v>0.02222</v>
      </c>
      <c r="H172" s="0" t="n">
        <v>24.3669</v>
      </c>
      <c r="I172" s="0" t="n">
        <v>2.097</v>
      </c>
      <c r="J172" s="0" t="n">
        <v>0.02097</v>
      </c>
      <c r="K172" s="0" t="n">
        <v>0.02097</v>
      </c>
      <c r="M172" s="0" t="n">
        <v>23.929</v>
      </c>
      <c r="N172" s="0" t="n">
        <v>1.892</v>
      </c>
      <c r="O172" s="0" t="n">
        <v>0.01892</v>
      </c>
      <c r="P172" s="0" t="n">
        <v>0.01892</v>
      </c>
      <c r="R172" s="0" t="n">
        <v>23.4423</v>
      </c>
      <c r="S172" s="0" t="n">
        <v>2.406</v>
      </c>
      <c r="T172" s="0" t="n">
        <v>0.02406</v>
      </c>
      <c r="U172" s="0" t="n">
        <v>0.02406</v>
      </c>
      <c r="W172" s="0" t="n">
        <v>25.9941</v>
      </c>
      <c r="X172" s="0" t="n">
        <v>2.217</v>
      </c>
      <c r="Y172" s="0" t="n">
        <v>0.02217</v>
      </c>
      <c r="Z172" s="0" t="n">
        <v>0.02217</v>
      </c>
    </row>
    <row r="173" customFormat="false" ht="16" hidden="false" customHeight="false" outlineLevel="0" collapsed="false">
      <c r="A173" s="0" t="s">
        <v>597</v>
      </c>
      <c r="B173" s="64" t="s">
        <v>646</v>
      </c>
      <c r="C173" s="0" t="n">
        <v>25.2971</v>
      </c>
      <c r="D173" s="0" t="n">
        <v>2.261</v>
      </c>
      <c r="E173" s="0" t="n">
        <v>0.02261</v>
      </c>
      <c r="F173" s="0" t="n">
        <v>0.02261</v>
      </c>
      <c r="H173" s="0" t="n">
        <v>26.9242</v>
      </c>
      <c r="I173" s="0" t="n">
        <v>2.118</v>
      </c>
      <c r="J173" s="0" t="n">
        <v>0.02118</v>
      </c>
      <c r="K173" s="0" t="n">
        <v>0.02118</v>
      </c>
      <c r="M173" s="0" t="n">
        <v>25.861</v>
      </c>
      <c r="N173" s="0" t="n">
        <v>1.896</v>
      </c>
      <c r="O173" s="0" t="n">
        <v>0.01896</v>
      </c>
      <c r="P173" s="0" t="n">
        <v>0.01931</v>
      </c>
      <c r="R173" s="0" t="n">
        <v>25.4277</v>
      </c>
      <c r="S173" s="0" t="n">
        <v>2.416</v>
      </c>
      <c r="T173" s="0" t="n">
        <v>0.02416</v>
      </c>
      <c r="U173" s="0" t="n">
        <v>0.02416</v>
      </c>
      <c r="W173" s="0" t="n">
        <v>28.2063</v>
      </c>
      <c r="X173" s="0" t="n">
        <v>2.242</v>
      </c>
      <c r="Y173" s="0" t="n">
        <v>0.02242</v>
      </c>
      <c r="Z173" s="0" t="n">
        <v>0.02242</v>
      </c>
    </row>
    <row r="174" customFormat="false" ht="16" hidden="false" customHeight="false" outlineLevel="0" collapsed="false">
      <c r="A174" s="0" t="s">
        <v>597</v>
      </c>
      <c r="B174" s="64" t="s">
        <v>648</v>
      </c>
      <c r="C174" s="0" t="n">
        <v>27.2881</v>
      </c>
      <c r="D174" s="0" t="n">
        <v>2.241</v>
      </c>
      <c r="E174" s="0" t="n">
        <v>0.02241</v>
      </c>
      <c r="F174" s="0" t="n">
        <v>0.02292</v>
      </c>
      <c r="H174" s="0" t="n">
        <v>29.4263</v>
      </c>
      <c r="I174" s="0" t="n">
        <v>2.112</v>
      </c>
      <c r="J174" s="0" t="n">
        <v>0.02112</v>
      </c>
      <c r="K174" s="0" t="n">
        <v>0.02112</v>
      </c>
      <c r="M174" s="0" t="n">
        <v>27.791</v>
      </c>
      <c r="N174" s="0" t="n">
        <v>1.891</v>
      </c>
      <c r="O174" s="0" t="n">
        <v>0.01891</v>
      </c>
      <c r="P174" s="0" t="n">
        <v>0.01891</v>
      </c>
      <c r="R174" s="0" t="n">
        <v>27.3668</v>
      </c>
      <c r="S174" s="0" t="n">
        <v>2.41</v>
      </c>
      <c r="T174" s="0" t="n">
        <v>0.0241</v>
      </c>
      <c r="U174" s="0" t="n">
        <v>0.0241</v>
      </c>
      <c r="W174" s="0" t="n">
        <v>30.4456</v>
      </c>
      <c r="X174" s="0" t="n">
        <v>2.249</v>
      </c>
      <c r="Y174" s="0" t="n">
        <v>0.02249</v>
      </c>
      <c r="Z174" s="0" t="n">
        <v>0.02208</v>
      </c>
    </row>
    <row r="175" customFormat="false" ht="16" hidden="false" customHeight="false" outlineLevel="0" collapsed="false">
      <c r="A175" s="0" t="s">
        <v>597</v>
      </c>
      <c r="B175" s="64" t="s">
        <v>649</v>
      </c>
      <c r="C175" s="0" t="n">
        <v>24.0901</v>
      </c>
      <c r="D175" s="0" t="n">
        <v>2.234</v>
      </c>
      <c r="E175" s="0" t="n">
        <v>0.02234</v>
      </c>
      <c r="F175" s="0" t="n">
        <v>0.02234</v>
      </c>
      <c r="H175" s="0" t="n">
        <v>25.3845</v>
      </c>
      <c r="I175" s="0" t="n">
        <v>2.113</v>
      </c>
      <c r="J175" s="0" t="n">
        <v>0.02113</v>
      </c>
      <c r="K175" s="0" t="n">
        <v>0.02113</v>
      </c>
      <c r="M175" s="0" t="n">
        <v>24.649</v>
      </c>
      <c r="N175" s="0" t="n">
        <v>1.895</v>
      </c>
      <c r="O175" s="0" t="n">
        <v>0.01895</v>
      </c>
      <c r="P175" s="0" t="n">
        <v>0.01931</v>
      </c>
      <c r="R175" s="0" t="n">
        <v>24.1971</v>
      </c>
      <c r="S175" s="0" t="n">
        <v>2.437</v>
      </c>
      <c r="T175" s="0" t="n">
        <v>0.02437</v>
      </c>
      <c r="U175" s="0" t="n">
        <v>0.02437</v>
      </c>
      <c r="W175" s="0" t="n">
        <v>26.8432</v>
      </c>
      <c r="X175" s="0" t="n">
        <v>2.206</v>
      </c>
      <c r="Y175" s="0" t="n">
        <v>0.02206</v>
      </c>
      <c r="Z175" s="0" t="n">
        <v>0.02206</v>
      </c>
    </row>
    <row r="176" customFormat="false" ht="16" hidden="false" customHeight="false" outlineLevel="0" collapsed="false">
      <c r="A176" s="0" t="s">
        <v>597</v>
      </c>
      <c r="B176" s="64" t="s">
        <v>650</v>
      </c>
      <c r="C176" s="0" t="n">
        <v>23.2102</v>
      </c>
      <c r="D176" s="0" t="n">
        <v>2.24</v>
      </c>
      <c r="E176" s="0" t="n">
        <v>0.0224</v>
      </c>
      <c r="F176" s="0" t="n">
        <v>0.0224</v>
      </c>
      <c r="H176" s="0" t="n">
        <v>24.2163</v>
      </c>
      <c r="I176" s="0" t="n">
        <v>2.107</v>
      </c>
      <c r="J176" s="0" t="n">
        <v>0.02107</v>
      </c>
      <c r="K176" s="0" t="n">
        <v>0.02107</v>
      </c>
      <c r="M176" s="0" t="n">
        <v>23.791</v>
      </c>
      <c r="N176" s="0" t="n">
        <v>1.924</v>
      </c>
      <c r="O176" s="0" t="n">
        <v>0.01924</v>
      </c>
      <c r="P176" s="0" t="n">
        <v>0.01956</v>
      </c>
      <c r="R176" s="0" t="n">
        <v>23.346</v>
      </c>
      <c r="S176" s="0" t="n">
        <v>2.419</v>
      </c>
      <c r="T176" s="0" t="n">
        <v>0.02419</v>
      </c>
      <c r="U176" s="0" t="n">
        <v>0.02419</v>
      </c>
      <c r="W176" s="0" t="n">
        <v>25.8569</v>
      </c>
      <c r="X176" s="0" t="n">
        <v>2.21</v>
      </c>
      <c r="Y176" s="0" t="n">
        <v>0.0221</v>
      </c>
      <c r="Z176" s="0" t="n">
        <v>0.0221</v>
      </c>
    </row>
    <row r="177" customFormat="false" ht="16" hidden="false" customHeight="false" outlineLevel="0" collapsed="false">
      <c r="A177" s="0" t="s">
        <v>597</v>
      </c>
      <c r="B177" s="64" t="s">
        <v>651</v>
      </c>
      <c r="C177" s="0" t="n">
        <v>13.1806</v>
      </c>
      <c r="D177" s="0" t="n">
        <v>2.225</v>
      </c>
      <c r="E177" s="0" t="n">
        <v>0.02225</v>
      </c>
      <c r="F177" s="0" t="n">
        <v>0.02225</v>
      </c>
      <c r="H177" s="0" t="n">
        <v>11.469</v>
      </c>
      <c r="I177" s="0" t="n">
        <v>2.175</v>
      </c>
      <c r="J177" s="0" t="n">
        <v>0.02175</v>
      </c>
      <c r="K177" s="0" t="n">
        <v>0.02216</v>
      </c>
      <c r="M177" s="0" t="n">
        <v>13.907</v>
      </c>
      <c r="N177" s="0" t="n">
        <v>1.941</v>
      </c>
      <c r="O177" s="0" t="n">
        <v>0.01941</v>
      </c>
      <c r="P177" s="0" t="n">
        <v>0.01941</v>
      </c>
      <c r="R177" s="0" t="n">
        <v>13.4836</v>
      </c>
      <c r="S177" s="0" t="n">
        <v>2.436</v>
      </c>
      <c r="T177" s="0" t="n">
        <v>0.02436</v>
      </c>
      <c r="U177" s="0" t="n">
        <v>0.02476</v>
      </c>
      <c r="W177" s="0" t="n">
        <v>14.6572</v>
      </c>
      <c r="X177" s="0" t="n">
        <v>2.144</v>
      </c>
      <c r="Y177" s="0" t="n">
        <v>0.02144</v>
      </c>
      <c r="Z177" s="0" t="n">
        <v>0.02102</v>
      </c>
    </row>
    <row r="178" customFormat="false" ht="16" hidden="false" customHeight="false" outlineLevel="0" collapsed="false">
      <c r="A178" s="0" t="s">
        <v>597</v>
      </c>
      <c r="B178" s="64" t="s">
        <v>652</v>
      </c>
      <c r="C178" s="0" t="n">
        <v>10.0447</v>
      </c>
      <c r="D178" s="0" t="n">
        <v>2.207</v>
      </c>
      <c r="E178" s="0" t="n">
        <v>0.02207</v>
      </c>
      <c r="F178" s="0" t="n">
        <v>0.02207</v>
      </c>
      <c r="H178" s="0" t="n">
        <v>7.5293</v>
      </c>
      <c r="I178" s="0" t="n">
        <v>2.208</v>
      </c>
      <c r="J178" s="0" t="n">
        <v>0.02208</v>
      </c>
      <c r="K178" s="0" t="n">
        <v>0.02259</v>
      </c>
      <c r="M178" s="0" t="n">
        <v>10.842</v>
      </c>
      <c r="N178" s="0" t="n">
        <v>1.94</v>
      </c>
      <c r="O178" s="0" t="n">
        <v>0.0194</v>
      </c>
      <c r="P178" s="0" t="n">
        <v>0.01839</v>
      </c>
      <c r="R178" s="0" t="n">
        <v>10.3779</v>
      </c>
      <c r="S178" s="0" t="n">
        <v>2.4</v>
      </c>
      <c r="T178" s="0" t="n">
        <v>0.024</v>
      </c>
      <c r="U178" s="0" t="n">
        <v>0.024</v>
      </c>
      <c r="W178" s="0" t="n">
        <v>11.1892</v>
      </c>
      <c r="X178" s="0" t="n">
        <v>2.164</v>
      </c>
      <c r="Y178" s="0" t="n">
        <v>0.02164</v>
      </c>
      <c r="Z178" s="0" t="n">
        <v>0.02085</v>
      </c>
    </row>
    <row r="179" customFormat="false" ht="16" hidden="false" customHeight="false" outlineLevel="0" collapsed="false">
      <c r="A179" s="0" t="s">
        <v>597</v>
      </c>
      <c r="B179" s="64" t="s">
        <v>653</v>
      </c>
      <c r="C179" s="0" t="n">
        <v>12.9665</v>
      </c>
      <c r="D179" s="0" t="n">
        <v>2.232</v>
      </c>
      <c r="E179" s="0" t="n">
        <v>0.02232</v>
      </c>
      <c r="F179" s="0" t="n">
        <v>0.02232</v>
      </c>
      <c r="H179" s="0" t="n">
        <v>11.1931</v>
      </c>
      <c r="I179" s="0" t="n">
        <v>2.173</v>
      </c>
      <c r="J179" s="0" t="n">
        <v>0.02173</v>
      </c>
      <c r="K179" s="0" t="n">
        <v>0.02173</v>
      </c>
      <c r="M179" s="0" t="n">
        <v>13.643</v>
      </c>
      <c r="N179" s="0" t="n">
        <v>1.959</v>
      </c>
      <c r="O179" s="0" t="n">
        <v>0.01959</v>
      </c>
      <c r="P179" s="0" t="n">
        <v>0.01994</v>
      </c>
      <c r="R179" s="0" t="n">
        <v>13.2502</v>
      </c>
      <c r="S179" s="0" t="n">
        <v>2.444</v>
      </c>
      <c r="T179" s="0" t="n">
        <v>0.02444</v>
      </c>
      <c r="U179" s="0" t="n">
        <v>0.02444</v>
      </c>
      <c r="W179" s="0" t="n">
        <v>14.3604</v>
      </c>
      <c r="X179" s="0" t="n">
        <v>2.139</v>
      </c>
      <c r="Y179" s="0" t="n">
        <v>0.02139</v>
      </c>
      <c r="Z179" s="0" t="n">
        <v>0.02038</v>
      </c>
    </row>
    <row r="180" customFormat="false" ht="16" hidden="false" customHeight="false" outlineLevel="0" collapsed="false">
      <c r="A180" s="0" t="s">
        <v>597</v>
      </c>
      <c r="B180" s="64" t="s">
        <v>654</v>
      </c>
      <c r="C180" s="0" t="n">
        <v>8.9867</v>
      </c>
      <c r="D180" s="0" t="n">
        <v>2.201</v>
      </c>
      <c r="E180" s="0" t="n">
        <v>0.02201</v>
      </c>
      <c r="F180" s="0" t="n">
        <v>0.02201</v>
      </c>
      <c r="H180" s="0" t="n">
        <v>6.196</v>
      </c>
      <c r="I180" s="0" t="n">
        <v>2.215</v>
      </c>
      <c r="J180" s="0" t="n">
        <v>0.02215</v>
      </c>
      <c r="K180" s="0" t="n">
        <v>0.02303</v>
      </c>
      <c r="M180" s="0" t="n">
        <v>9.779</v>
      </c>
      <c r="N180" s="0" t="n">
        <v>1.98</v>
      </c>
      <c r="O180" s="0" t="n">
        <v>0.0198</v>
      </c>
      <c r="P180" s="0" t="n">
        <v>0.0198</v>
      </c>
      <c r="R180" s="0" t="n">
        <v>9.3157</v>
      </c>
      <c r="S180" s="0" t="n">
        <v>2.437</v>
      </c>
      <c r="T180" s="0" t="n">
        <v>0.02437</v>
      </c>
      <c r="U180" s="0" t="n">
        <v>0.02472</v>
      </c>
      <c r="W180" s="0" t="n">
        <v>9.9989</v>
      </c>
      <c r="X180" s="0" t="n">
        <v>2.144</v>
      </c>
      <c r="Y180" s="0" t="n">
        <v>0.02144</v>
      </c>
      <c r="Z180" s="0" t="n">
        <v>0.02264</v>
      </c>
    </row>
    <row r="181" customFormat="false" ht="16" hidden="false" customHeight="false" outlineLevel="0" collapsed="false">
      <c r="A181" s="0" t="s">
        <v>597</v>
      </c>
      <c r="B181" s="64" t="s">
        <v>655</v>
      </c>
      <c r="C181" s="0" t="n">
        <v>23.1785</v>
      </c>
      <c r="D181" s="0" t="n">
        <v>2.238</v>
      </c>
      <c r="E181" s="0" t="n">
        <v>0.02238</v>
      </c>
      <c r="F181" s="0" t="n">
        <v>0.02238</v>
      </c>
      <c r="H181" s="0" t="n">
        <v>24.1957</v>
      </c>
      <c r="I181" s="0" t="n">
        <v>2.139</v>
      </c>
      <c r="J181" s="0" t="n">
        <v>0.02139</v>
      </c>
      <c r="K181" s="0" t="n">
        <v>0.02139</v>
      </c>
      <c r="M181" s="0" t="n">
        <v>23.798</v>
      </c>
      <c r="N181" s="0" t="n">
        <v>1.883</v>
      </c>
      <c r="O181" s="0" t="n">
        <v>0.01883</v>
      </c>
      <c r="P181" s="0" t="n">
        <v>0.01883</v>
      </c>
      <c r="R181" s="0" t="n">
        <v>23.3274</v>
      </c>
      <c r="S181" s="0" t="n">
        <v>2.422</v>
      </c>
      <c r="T181" s="0" t="n">
        <v>0.02422</v>
      </c>
      <c r="U181" s="0" t="n">
        <v>0.02422</v>
      </c>
      <c r="W181" s="0" t="n">
        <v>25.836</v>
      </c>
      <c r="X181" s="0" t="n">
        <v>2.21</v>
      </c>
      <c r="Y181" s="0" t="n">
        <v>0.0221</v>
      </c>
      <c r="Z181" s="0" t="n">
        <v>0.0221</v>
      </c>
    </row>
    <row r="182" customFormat="false" ht="16" hidden="false" customHeight="false" outlineLevel="0" collapsed="false">
      <c r="A182" s="0" t="s">
        <v>597</v>
      </c>
      <c r="B182" s="64" t="s">
        <v>656</v>
      </c>
      <c r="C182" s="0" t="n">
        <v>19.9253</v>
      </c>
      <c r="D182" s="0" t="n">
        <v>2.252</v>
      </c>
      <c r="E182" s="0" t="n">
        <v>0.02252</v>
      </c>
      <c r="F182" s="0" t="n">
        <v>0.02252</v>
      </c>
      <c r="H182" s="0" t="n">
        <v>20.0974</v>
      </c>
      <c r="I182" s="0" t="n">
        <v>2.107</v>
      </c>
      <c r="J182" s="0" t="n">
        <v>0.02107</v>
      </c>
      <c r="K182" s="0" t="n">
        <v>0.02107</v>
      </c>
      <c r="M182" s="0" t="n">
        <v>20.579</v>
      </c>
      <c r="N182" s="0" t="n">
        <v>1.925</v>
      </c>
      <c r="O182" s="0" t="n">
        <v>0.01925</v>
      </c>
      <c r="P182" s="0" t="n">
        <v>0.01925</v>
      </c>
      <c r="R182" s="0" t="n">
        <v>20.13</v>
      </c>
      <c r="S182" s="0" t="n">
        <v>2.436</v>
      </c>
      <c r="T182" s="0" t="n">
        <v>0.02436</v>
      </c>
      <c r="U182" s="0" t="n">
        <v>0.02436</v>
      </c>
      <c r="W182" s="0" t="n">
        <v>22.1909</v>
      </c>
      <c r="X182" s="0" t="n">
        <v>2.199</v>
      </c>
      <c r="Y182" s="0" t="n">
        <v>0.02199</v>
      </c>
      <c r="Z182" s="0" t="n">
        <v>0.02199</v>
      </c>
    </row>
    <row r="183" customFormat="false" ht="16" hidden="false" customHeight="false" outlineLevel="0" collapsed="false">
      <c r="A183" s="0" t="s">
        <v>597</v>
      </c>
      <c r="B183" s="64" t="s">
        <v>657</v>
      </c>
      <c r="C183" s="0" t="n">
        <v>14.0966</v>
      </c>
      <c r="D183" s="0" t="n">
        <v>2.234</v>
      </c>
      <c r="E183" s="0" t="n">
        <v>0.02234</v>
      </c>
      <c r="F183" s="0" t="n">
        <v>0.02277</v>
      </c>
      <c r="H183" s="0" t="n">
        <v>12.6793</v>
      </c>
      <c r="I183" s="0" t="n">
        <v>2.136</v>
      </c>
      <c r="J183" s="0" t="n">
        <v>0.02136</v>
      </c>
      <c r="K183" s="0" t="n">
        <v>0.02171</v>
      </c>
      <c r="M183" s="0" t="n">
        <v>14.842</v>
      </c>
      <c r="N183" s="0" t="n">
        <v>1.947</v>
      </c>
      <c r="O183" s="0" t="n">
        <v>0.01947</v>
      </c>
      <c r="P183" s="0" t="n">
        <v>0.01947</v>
      </c>
      <c r="R183" s="0" t="n">
        <v>14.3432</v>
      </c>
      <c r="S183" s="0" t="n">
        <v>2.389</v>
      </c>
      <c r="T183" s="0" t="n">
        <v>0.02389</v>
      </c>
      <c r="U183" s="0" t="n">
        <v>0.02389</v>
      </c>
      <c r="W183" s="0" t="n">
        <v>15.725</v>
      </c>
      <c r="X183" s="0" t="n">
        <v>2.16</v>
      </c>
      <c r="Y183" s="0" t="n">
        <v>0.0216</v>
      </c>
      <c r="Z183" s="0" t="n">
        <v>0.02129</v>
      </c>
    </row>
    <row r="184" customFormat="false" ht="16" hidden="false" customHeight="false" outlineLevel="0" collapsed="false">
      <c r="A184" s="0" t="s">
        <v>597</v>
      </c>
      <c r="B184" s="64" t="s">
        <v>658</v>
      </c>
      <c r="C184" s="0" t="n">
        <v>13.8907</v>
      </c>
      <c r="D184" s="0" t="n">
        <v>2.228</v>
      </c>
      <c r="E184" s="0" t="n">
        <v>0.02228</v>
      </c>
      <c r="F184" s="0" t="n">
        <v>0.02228</v>
      </c>
      <c r="H184" s="0" t="n">
        <v>12.4065</v>
      </c>
      <c r="I184" s="0" t="n">
        <v>2.161</v>
      </c>
      <c r="J184" s="0" t="n">
        <v>0.02161</v>
      </c>
      <c r="K184" s="0" t="n">
        <v>0.02161</v>
      </c>
      <c r="M184" s="0" t="n">
        <v>14.606</v>
      </c>
      <c r="N184" s="0" t="n">
        <v>1.963</v>
      </c>
      <c r="O184" s="0" t="n">
        <v>0.01963</v>
      </c>
      <c r="P184" s="0" t="n">
        <v>0.01963</v>
      </c>
      <c r="R184" s="0" t="n">
        <v>14.1476</v>
      </c>
      <c r="S184" s="0" t="n">
        <v>2.411</v>
      </c>
      <c r="T184" s="0" t="n">
        <v>0.02411</v>
      </c>
      <c r="U184" s="0" t="n">
        <v>0.02411</v>
      </c>
      <c r="W184" s="0" t="n">
        <v>15.462</v>
      </c>
      <c r="X184" s="0" t="n">
        <v>2.159</v>
      </c>
      <c r="Y184" s="0" t="n">
        <v>0.02159</v>
      </c>
      <c r="Z184" s="0" t="n">
        <v>0.02159</v>
      </c>
    </row>
    <row r="185" customFormat="false" ht="16" hidden="false" customHeight="false" outlineLevel="0" collapsed="false">
      <c r="A185" s="0" t="s">
        <v>597</v>
      </c>
      <c r="B185" s="64" t="s">
        <v>659</v>
      </c>
      <c r="C185" s="0" t="n">
        <v>23.4832</v>
      </c>
      <c r="D185" s="0" t="n">
        <v>2.239</v>
      </c>
      <c r="E185" s="0" t="n">
        <v>0.02239</v>
      </c>
      <c r="F185" s="0" t="n">
        <v>0.0232</v>
      </c>
      <c r="H185" s="0" t="n">
        <v>24.59</v>
      </c>
      <c r="I185" s="0" t="n">
        <v>2.124</v>
      </c>
      <c r="J185" s="0" t="n">
        <v>0.02124</v>
      </c>
      <c r="K185" s="0" t="n">
        <v>0.02124</v>
      </c>
      <c r="M185" s="0" t="n">
        <v>24.066</v>
      </c>
      <c r="N185" s="0" t="n">
        <v>1.873</v>
      </c>
      <c r="O185" s="0" t="n">
        <v>0.01873</v>
      </c>
      <c r="P185" s="0" t="n">
        <v>0.01873</v>
      </c>
      <c r="R185" s="0" t="n">
        <v>23.6157</v>
      </c>
      <c r="S185" s="0" t="n">
        <v>2.435</v>
      </c>
      <c r="T185" s="0" t="n">
        <v>0.02435</v>
      </c>
      <c r="U185" s="0" t="n">
        <v>0.02435</v>
      </c>
      <c r="W185" s="0" t="n">
        <v>26.1729</v>
      </c>
      <c r="X185" s="0" t="n">
        <v>2.23</v>
      </c>
      <c r="Y185" s="0" t="n">
        <v>0.0223</v>
      </c>
      <c r="Z185" s="0" t="n">
        <v>0.0223</v>
      </c>
    </row>
    <row r="186" customFormat="false" ht="16" hidden="false" customHeight="false" outlineLevel="0" collapsed="false">
      <c r="A186" s="0" t="s">
        <v>597</v>
      </c>
      <c r="B186" s="64" t="s">
        <v>661</v>
      </c>
      <c r="C186" s="0" t="n">
        <v>22.6978</v>
      </c>
      <c r="D186" s="0" t="n">
        <v>2.243</v>
      </c>
      <c r="E186" s="0" t="n">
        <v>0.02243</v>
      </c>
      <c r="F186" s="0" t="n">
        <v>0.02267</v>
      </c>
      <c r="H186" s="0" t="n">
        <v>23.61</v>
      </c>
      <c r="I186" s="0" t="n">
        <v>2.086</v>
      </c>
      <c r="J186" s="0" t="n">
        <v>0.02086</v>
      </c>
      <c r="K186" s="0" t="n">
        <v>0.02086</v>
      </c>
      <c r="M186" s="0" t="n">
        <v>23.253</v>
      </c>
      <c r="N186" s="0" t="n">
        <v>1.881</v>
      </c>
      <c r="O186" s="0" t="n">
        <v>0.01881</v>
      </c>
      <c r="P186" s="0" t="n">
        <v>0.01881</v>
      </c>
      <c r="R186" s="0" t="n">
        <v>22.84</v>
      </c>
      <c r="S186" s="0" t="n">
        <v>2.418</v>
      </c>
      <c r="T186" s="0" t="n">
        <v>0.02418</v>
      </c>
      <c r="U186" s="0" t="n">
        <v>0.02418</v>
      </c>
      <c r="W186" s="0" t="n">
        <v>25.2454</v>
      </c>
      <c r="X186" s="0" t="n">
        <v>2.203</v>
      </c>
      <c r="Y186" s="0" t="n">
        <v>0.02203</v>
      </c>
      <c r="Z186" s="0" t="n">
        <v>0.02203</v>
      </c>
    </row>
    <row r="187" customFormat="false" ht="16" hidden="false" customHeight="false" outlineLevel="0" collapsed="false">
      <c r="A187" s="0" t="s">
        <v>597</v>
      </c>
      <c r="B187" s="64" t="s">
        <v>662</v>
      </c>
      <c r="C187" s="0" t="n">
        <v>9.7147</v>
      </c>
      <c r="D187" s="0" t="n">
        <v>2.241</v>
      </c>
      <c r="E187" s="0" t="n">
        <v>0.02241</v>
      </c>
      <c r="F187" s="0" t="n">
        <v>0.02241</v>
      </c>
      <c r="H187" s="0" t="n">
        <v>7.1183</v>
      </c>
      <c r="I187" s="0" t="n">
        <v>2.226</v>
      </c>
      <c r="J187" s="0" t="n">
        <v>0.02226</v>
      </c>
      <c r="K187" s="0" t="n">
        <v>0.02263</v>
      </c>
      <c r="M187" s="0" t="n">
        <v>10.504</v>
      </c>
      <c r="N187" s="0" t="n">
        <v>1.952</v>
      </c>
      <c r="O187" s="0" t="n">
        <v>0.01952</v>
      </c>
      <c r="P187" s="0" t="n">
        <v>0.01921</v>
      </c>
      <c r="R187" s="0" t="n">
        <v>10.0711</v>
      </c>
      <c r="S187" s="0" t="n">
        <v>2.418</v>
      </c>
      <c r="T187" s="0" t="n">
        <v>0.02418</v>
      </c>
      <c r="U187" s="0" t="n">
        <v>0.02418</v>
      </c>
      <c r="W187" s="0" t="n">
        <v>10.7736</v>
      </c>
      <c r="X187" s="0" t="n">
        <v>2.154</v>
      </c>
      <c r="Y187" s="0" t="n">
        <v>0.02154</v>
      </c>
      <c r="Z187" s="0" t="n">
        <v>0.02146</v>
      </c>
    </row>
    <row r="188" customFormat="false" ht="16" hidden="false" customHeight="false" outlineLevel="0" collapsed="false">
      <c r="A188" s="0" t="s">
        <v>597</v>
      </c>
      <c r="B188" s="64" t="s">
        <v>663</v>
      </c>
      <c r="C188" s="0" t="n">
        <v>15.9343</v>
      </c>
      <c r="D188" s="0" t="n">
        <v>2.253</v>
      </c>
      <c r="E188" s="0" t="n">
        <v>0.02253</v>
      </c>
      <c r="F188" s="0" t="n">
        <v>0.02357</v>
      </c>
      <c r="H188" s="0" t="n">
        <v>14.9773</v>
      </c>
      <c r="I188" s="0" t="n">
        <v>2.134</v>
      </c>
      <c r="J188" s="0" t="n">
        <v>0.02134</v>
      </c>
      <c r="K188" s="0" t="n">
        <v>0.02134</v>
      </c>
      <c r="M188" s="0" t="n">
        <v>16.641</v>
      </c>
      <c r="N188" s="0" t="n">
        <v>1.932</v>
      </c>
      <c r="O188" s="0" t="n">
        <v>0.01932</v>
      </c>
      <c r="P188" s="0" t="n">
        <v>0.01932</v>
      </c>
      <c r="R188" s="0" t="n">
        <v>16.1387</v>
      </c>
      <c r="S188" s="0" t="n">
        <v>2.404</v>
      </c>
      <c r="T188" s="0" t="n">
        <v>0.02404</v>
      </c>
      <c r="U188" s="0" t="n">
        <v>0.02359</v>
      </c>
      <c r="W188" s="0" t="n">
        <v>17.743</v>
      </c>
      <c r="X188" s="0" t="n">
        <v>2.163</v>
      </c>
      <c r="Y188" s="0" t="n">
        <v>0.02163</v>
      </c>
      <c r="Z188" s="0" t="n">
        <v>0.02163</v>
      </c>
    </row>
    <row r="189" customFormat="false" ht="16" hidden="false" customHeight="false" outlineLevel="0" collapsed="false">
      <c r="A189" s="0" t="s">
        <v>597</v>
      </c>
      <c r="B189" s="64" t="s">
        <v>664</v>
      </c>
      <c r="C189" s="0" t="n">
        <v>11.7953</v>
      </c>
      <c r="D189" s="0" t="n">
        <v>2.231</v>
      </c>
      <c r="E189" s="0" t="n">
        <v>0.02231</v>
      </c>
      <c r="F189" s="0" t="n">
        <v>0.02159</v>
      </c>
      <c r="H189" s="0" t="n">
        <v>9.7705</v>
      </c>
      <c r="I189" s="0" t="n">
        <v>2.197</v>
      </c>
      <c r="J189" s="0" t="n">
        <v>0.02197</v>
      </c>
      <c r="K189" s="0" t="n">
        <v>0.0224</v>
      </c>
      <c r="M189" s="0" t="n">
        <v>12.51</v>
      </c>
      <c r="N189" s="0" t="n">
        <v>1.924</v>
      </c>
      <c r="O189" s="0" t="n">
        <v>0.01924</v>
      </c>
      <c r="P189" s="0" t="n">
        <v>0.01924</v>
      </c>
      <c r="R189" s="0" t="n">
        <v>12.0876</v>
      </c>
      <c r="S189" s="0" t="n">
        <v>2.427</v>
      </c>
      <c r="T189" s="0" t="n">
        <v>0.02427</v>
      </c>
      <c r="U189" s="0" t="n">
        <v>0.02427</v>
      </c>
      <c r="W189" s="0" t="n">
        <v>13.138</v>
      </c>
      <c r="X189" s="0" t="n">
        <v>2.144</v>
      </c>
      <c r="Y189" s="0" t="n">
        <v>0.02144</v>
      </c>
      <c r="Z189" s="0" t="n">
        <v>0.02109</v>
      </c>
    </row>
    <row r="190" customFormat="false" ht="16" hidden="false" customHeight="false" outlineLevel="0" collapsed="false">
      <c r="A190" s="0" t="s">
        <v>597</v>
      </c>
      <c r="B190" s="64" t="s">
        <v>665</v>
      </c>
      <c r="C190" s="0" t="n">
        <v>12.4929</v>
      </c>
      <c r="D190" s="0" t="n">
        <v>2.242</v>
      </c>
      <c r="E190" s="0" t="n">
        <v>0.02242</v>
      </c>
      <c r="F190" s="0" t="n">
        <v>0.02288</v>
      </c>
      <c r="H190" s="0" t="n">
        <v>10.6509</v>
      </c>
      <c r="I190" s="0" t="n">
        <v>2.185</v>
      </c>
      <c r="J190" s="0" t="n">
        <v>0.02185</v>
      </c>
      <c r="K190" s="0" t="n">
        <v>0.02245</v>
      </c>
      <c r="M190" s="0" t="n">
        <v>13.246</v>
      </c>
      <c r="N190" s="0" t="n">
        <v>1.946</v>
      </c>
      <c r="O190" s="0" t="n">
        <v>0.01946</v>
      </c>
      <c r="P190" s="0" t="n">
        <v>0.01946</v>
      </c>
      <c r="R190" s="0" t="n">
        <v>12.8491</v>
      </c>
      <c r="S190" s="0" t="n">
        <v>2.383</v>
      </c>
      <c r="T190" s="0" t="n">
        <v>0.02383</v>
      </c>
      <c r="U190" s="0" t="n">
        <v>0.02383</v>
      </c>
      <c r="W190" s="0" t="n">
        <v>13.8916</v>
      </c>
      <c r="X190" s="0" t="n">
        <v>2.119</v>
      </c>
      <c r="Y190" s="0" t="n">
        <v>0.02119</v>
      </c>
      <c r="Z190" s="0" t="n">
        <v>0.02119</v>
      </c>
    </row>
    <row r="191" customFormat="false" ht="16" hidden="false" customHeight="false" outlineLevel="0" collapsed="false">
      <c r="A191" s="0" t="s">
        <v>597</v>
      </c>
      <c r="B191" s="64" t="s">
        <v>666</v>
      </c>
      <c r="C191" s="0" t="n">
        <v>12.6724</v>
      </c>
      <c r="D191" s="0" t="n">
        <v>2.222</v>
      </c>
      <c r="E191" s="0" t="n">
        <v>0.02222</v>
      </c>
      <c r="F191" s="0" t="n">
        <v>0.02222</v>
      </c>
      <c r="H191" s="0" t="n">
        <v>10.8453</v>
      </c>
      <c r="I191" s="0" t="n">
        <v>2.189</v>
      </c>
      <c r="J191" s="0" t="n">
        <v>0.02189</v>
      </c>
      <c r="K191" s="0" t="n">
        <v>0.02189</v>
      </c>
      <c r="M191" s="0" t="n">
        <v>13.418</v>
      </c>
      <c r="N191" s="0" t="n">
        <v>1.96</v>
      </c>
      <c r="O191" s="0" t="n">
        <v>0.0196</v>
      </c>
      <c r="P191" s="0" t="n">
        <v>0.02024</v>
      </c>
      <c r="R191" s="0" t="n">
        <v>12.918</v>
      </c>
      <c r="S191" s="0" t="n">
        <v>2.425</v>
      </c>
      <c r="T191" s="0" t="n">
        <v>0.02425</v>
      </c>
      <c r="U191" s="0" t="n">
        <v>0.02425</v>
      </c>
      <c r="W191" s="0" t="n">
        <v>14.0743</v>
      </c>
      <c r="X191" s="0" t="n">
        <v>2.14</v>
      </c>
      <c r="Y191" s="0" t="n">
        <v>0.0214</v>
      </c>
      <c r="Z191" s="0" t="n">
        <v>0.0214</v>
      </c>
    </row>
    <row r="192" customFormat="false" ht="16" hidden="false" customHeight="false" outlineLevel="0" collapsed="false">
      <c r="A192" s="0" t="s">
        <v>597</v>
      </c>
      <c r="B192" s="64" t="s">
        <v>667</v>
      </c>
      <c r="C192" s="0" t="n">
        <v>7.6047</v>
      </c>
      <c r="D192" s="0" t="n">
        <v>2.237</v>
      </c>
      <c r="E192" s="0" t="n">
        <v>0.02237</v>
      </c>
      <c r="F192" s="0" t="n">
        <v>0.02237</v>
      </c>
      <c r="H192" s="0" t="n">
        <v>4.4458</v>
      </c>
      <c r="I192" s="0" t="n">
        <v>2.263</v>
      </c>
      <c r="J192" s="0" t="n">
        <v>0.02263</v>
      </c>
      <c r="K192" s="0" t="n">
        <v>0.02359</v>
      </c>
      <c r="M192" s="0" t="n">
        <v>8.431</v>
      </c>
      <c r="N192" s="0" t="n">
        <v>1.969</v>
      </c>
      <c r="O192" s="0" t="n">
        <v>0.01969</v>
      </c>
      <c r="P192" s="0" t="n">
        <v>0.01969</v>
      </c>
      <c r="R192" s="0" t="n">
        <v>7.9333</v>
      </c>
      <c r="S192" s="0" t="n">
        <v>2.432</v>
      </c>
      <c r="T192" s="0" t="n">
        <v>0.02432</v>
      </c>
      <c r="U192" s="0" t="n">
        <v>0.02432</v>
      </c>
      <c r="W192" s="0" t="n">
        <v>8.4542</v>
      </c>
      <c r="X192" s="0" t="n">
        <v>2.167</v>
      </c>
      <c r="Y192" s="0" t="n">
        <v>0.02167</v>
      </c>
      <c r="Z192" s="0" t="n">
        <v>0.02134</v>
      </c>
    </row>
    <row r="193" customFormat="false" ht="16" hidden="false" customHeight="false" outlineLevel="0" collapsed="false">
      <c r="A193" s="0" t="s">
        <v>597</v>
      </c>
      <c r="B193" s="64" t="s">
        <v>668</v>
      </c>
      <c r="C193" s="0" t="n">
        <v>17.8301</v>
      </c>
      <c r="D193" s="0" t="n">
        <v>2.205</v>
      </c>
      <c r="E193" s="0" t="n">
        <v>0.02205</v>
      </c>
      <c r="F193" s="0" t="n">
        <v>0.02241</v>
      </c>
      <c r="H193" s="0" t="n">
        <v>17.4155</v>
      </c>
      <c r="I193" s="0" t="n">
        <v>2.117</v>
      </c>
      <c r="J193" s="0" t="n">
        <v>0.02117</v>
      </c>
      <c r="K193" s="0" t="n">
        <v>0.02155</v>
      </c>
      <c r="M193" s="0" t="n">
        <v>18.538</v>
      </c>
      <c r="N193" s="0" t="n">
        <v>1.911</v>
      </c>
      <c r="O193" s="0" t="n">
        <v>0.01911</v>
      </c>
      <c r="P193" s="0" t="n">
        <v>0.01879</v>
      </c>
      <c r="R193" s="0" t="n">
        <v>18.1078</v>
      </c>
      <c r="S193" s="0" t="n">
        <v>2.428</v>
      </c>
      <c r="T193" s="0" t="n">
        <v>0.02428</v>
      </c>
      <c r="U193" s="0" t="n">
        <v>0.02428</v>
      </c>
      <c r="W193" s="0" t="n">
        <v>19.9092</v>
      </c>
      <c r="X193" s="0" t="n">
        <v>2.182</v>
      </c>
      <c r="Y193" s="0" t="n">
        <v>0.02182</v>
      </c>
      <c r="Z193" s="0" t="n">
        <v>0.02182</v>
      </c>
    </row>
    <row r="194" customFormat="false" ht="16" hidden="false" customHeight="false" outlineLevel="0" collapsed="false">
      <c r="A194" s="0" t="s">
        <v>597</v>
      </c>
      <c r="B194" s="64" t="s">
        <v>669</v>
      </c>
      <c r="C194" s="0" t="n">
        <v>14.3175</v>
      </c>
      <c r="D194" s="0" t="n">
        <v>2.216</v>
      </c>
      <c r="E194" s="0" t="n">
        <v>0.02216</v>
      </c>
      <c r="F194" s="0" t="n">
        <v>0.02216</v>
      </c>
      <c r="H194" s="0" t="n">
        <v>12.9613</v>
      </c>
      <c r="I194" s="0" t="n">
        <v>2.16</v>
      </c>
      <c r="J194" s="0" t="n">
        <v>0.0216</v>
      </c>
      <c r="K194" s="0" t="n">
        <v>0.0216</v>
      </c>
      <c r="M194" s="0" t="n">
        <v>15.1</v>
      </c>
      <c r="N194" s="0" t="n">
        <v>1.904</v>
      </c>
      <c r="O194" s="0" t="n">
        <v>0.01904</v>
      </c>
      <c r="P194" s="0" t="n">
        <v>0.01904</v>
      </c>
      <c r="R194" s="0" t="n">
        <v>14.6019</v>
      </c>
      <c r="S194" s="0" t="n">
        <v>2.395</v>
      </c>
      <c r="T194" s="0" t="n">
        <v>0.02395</v>
      </c>
      <c r="U194" s="0" t="n">
        <v>0.02395</v>
      </c>
      <c r="W194" s="0" t="n">
        <v>15.9418</v>
      </c>
      <c r="X194" s="0" t="n">
        <v>2.2</v>
      </c>
      <c r="Y194" s="0" t="n">
        <v>0.022</v>
      </c>
      <c r="Z194" s="0" t="n">
        <v>0.022</v>
      </c>
    </row>
    <row r="195" customFormat="false" ht="16" hidden="false" customHeight="false" outlineLevel="0" collapsed="false">
      <c r="A195" s="0" t="s">
        <v>671</v>
      </c>
      <c r="B195" s="64" t="s">
        <v>670</v>
      </c>
      <c r="C195" s="0" t="n">
        <v>1.565</v>
      </c>
      <c r="D195" s="0" t="n">
        <v>2.245</v>
      </c>
      <c r="E195" s="0" t="n">
        <v>0.02245</v>
      </c>
      <c r="F195" s="0" t="n">
        <v>0.02245</v>
      </c>
      <c r="H195" s="0" t="n">
        <v>-3.2002</v>
      </c>
      <c r="I195" s="0" t="n">
        <v>2.377</v>
      </c>
      <c r="J195" s="0" t="n">
        <v>0.02377</v>
      </c>
      <c r="K195" s="0" t="n">
        <v>0.02513</v>
      </c>
      <c r="M195" s="0" t="n">
        <v>2.456</v>
      </c>
      <c r="N195" s="0" t="n">
        <v>2.04</v>
      </c>
      <c r="O195" s="0" t="n">
        <v>0.0204</v>
      </c>
      <c r="P195" s="0" t="n">
        <v>0.02055</v>
      </c>
      <c r="R195" s="0" t="n">
        <v>2.0168</v>
      </c>
      <c r="S195" s="0" t="n">
        <v>2.42</v>
      </c>
      <c r="T195" s="0" t="n">
        <v>0.0242</v>
      </c>
      <c r="U195" s="0" t="n">
        <v>0.0242</v>
      </c>
      <c r="W195" s="0" t="n">
        <v>1.6753</v>
      </c>
      <c r="X195" s="0" t="n">
        <v>2.156</v>
      </c>
      <c r="Y195" s="0" t="n">
        <v>0.02156</v>
      </c>
      <c r="Z195" s="0" t="n">
        <v>0.02156</v>
      </c>
    </row>
    <row r="196" customFormat="false" ht="16" hidden="false" customHeight="false" outlineLevel="0" collapsed="false">
      <c r="A196" s="0" t="s">
        <v>671</v>
      </c>
      <c r="B196" s="64" t="s">
        <v>673</v>
      </c>
      <c r="C196" s="0" t="n">
        <v>9.7212</v>
      </c>
      <c r="D196" s="0" t="n">
        <v>2.238</v>
      </c>
      <c r="E196" s="0" t="n">
        <v>0.02238</v>
      </c>
      <c r="F196" s="0" t="n">
        <v>0.02238</v>
      </c>
      <c r="H196" s="0" t="n">
        <v>7.1339</v>
      </c>
      <c r="I196" s="0" t="n">
        <v>2.214</v>
      </c>
      <c r="J196" s="0" t="n">
        <v>0.02214</v>
      </c>
      <c r="K196" s="0" t="n">
        <v>0.02214</v>
      </c>
      <c r="M196" s="0" t="n">
        <v>10.535</v>
      </c>
      <c r="N196" s="0" t="n">
        <v>1.941</v>
      </c>
      <c r="O196" s="0" t="n">
        <v>0.01941</v>
      </c>
      <c r="P196" s="0" t="n">
        <v>0.01941</v>
      </c>
      <c r="R196" s="0" t="n">
        <v>10.0397</v>
      </c>
      <c r="S196" s="0" t="n">
        <v>2.378</v>
      </c>
      <c r="T196" s="0" t="n">
        <v>0.02378</v>
      </c>
      <c r="U196" s="0" t="n">
        <v>0.02378</v>
      </c>
      <c r="W196" s="0" t="n">
        <v>10.7437</v>
      </c>
      <c r="X196" s="0" t="n">
        <v>2.126</v>
      </c>
      <c r="Y196" s="0" t="n">
        <v>0.02126</v>
      </c>
      <c r="Z196" s="0" t="n">
        <v>0.02126</v>
      </c>
    </row>
    <row r="197" customFormat="false" ht="16" hidden="false" customHeight="false" outlineLevel="0" collapsed="false">
      <c r="A197" s="0" t="s">
        <v>671</v>
      </c>
      <c r="B197" s="64" t="s">
        <v>677</v>
      </c>
      <c r="C197" s="0" t="n">
        <v>10.1502</v>
      </c>
      <c r="D197" s="0" t="n">
        <v>2.203</v>
      </c>
      <c r="E197" s="0" t="n">
        <v>0.02203</v>
      </c>
      <c r="F197" s="0" t="n">
        <v>0.02203</v>
      </c>
      <c r="H197" s="0" t="n">
        <v>7.676</v>
      </c>
      <c r="I197" s="0" t="n">
        <v>2.218</v>
      </c>
      <c r="J197" s="0" t="n">
        <v>0.02218</v>
      </c>
      <c r="K197" s="0" t="n">
        <v>0.02295</v>
      </c>
      <c r="M197" s="0" t="n">
        <v>10.972</v>
      </c>
      <c r="N197" s="0" t="n">
        <v>1.938</v>
      </c>
      <c r="O197" s="0" t="n">
        <v>0.01938</v>
      </c>
      <c r="P197" s="0" t="n">
        <v>0.01938</v>
      </c>
      <c r="R197" s="0" t="n">
        <v>10.4775</v>
      </c>
      <c r="S197" s="0" t="n">
        <v>2.413</v>
      </c>
      <c r="T197" s="0" t="n">
        <v>0.02413</v>
      </c>
      <c r="U197" s="0" t="n">
        <v>0.02413</v>
      </c>
      <c r="W197" s="0" t="n">
        <v>11.2612</v>
      </c>
      <c r="X197" s="0" t="n">
        <v>2.155</v>
      </c>
      <c r="Y197" s="0" t="n">
        <v>0.02155</v>
      </c>
      <c r="Z197" s="0" t="n">
        <v>0.02155</v>
      </c>
    </row>
    <row r="198" customFormat="false" ht="16" hidden="false" customHeight="false" outlineLevel="0" collapsed="false">
      <c r="A198" s="0" t="s">
        <v>671</v>
      </c>
      <c r="B198" s="64" t="s">
        <v>679</v>
      </c>
      <c r="C198" s="0" t="n">
        <v>7.9288</v>
      </c>
      <c r="D198" s="0" t="n">
        <v>2.256</v>
      </c>
      <c r="E198" s="0" t="n">
        <v>0.02256</v>
      </c>
      <c r="F198" s="0" t="n">
        <v>0.02256</v>
      </c>
      <c r="H198" s="0" t="n">
        <v>4.9027</v>
      </c>
      <c r="I198" s="0" t="n">
        <v>2.236</v>
      </c>
      <c r="J198" s="0" t="n">
        <v>0.02236</v>
      </c>
      <c r="K198" s="0" t="n">
        <v>0.02278</v>
      </c>
      <c r="M198" s="0" t="n">
        <v>8.799</v>
      </c>
      <c r="N198" s="0" t="n">
        <v>1.934</v>
      </c>
      <c r="O198" s="0" t="n">
        <v>0.01934</v>
      </c>
      <c r="P198" s="0" t="n">
        <v>0.01934</v>
      </c>
      <c r="R198" s="0" t="n">
        <v>8.2861</v>
      </c>
      <c r="S198" s="0" t="n">
        <v>2.42</v>
      </c>
      <c r="T198" s="0" t="n">
        <v>0.0242</v>
      </c>
      <c r="U198" s="0" t="n">
        <v>0.02502</v>
      </c>
      <c r="W198" s="0" t="n">
        <v>8.8439</v>
      </c>
      <c r="X198" s="0" t="n">
        <v>2.154</v>
      </c>
      <c r="Y198" s="0" t="n">
        <v>0.02154</v>
      </c>
      <c r="Z198" s="0" t="n">
        <v>0.02154</v>
      </c>
    </row>
    <row r="199" customFormat="false" ht="16" hidden="false" customHeight="false" outlineLevel="0" collapsed="false">
      <c r="A199" s="0" t="s">
        <v>671</v>
      </c>
      <c r="B199" s="64" t="s">
        <v>681</v>
      </c>
      <c r="C199" s="0" t="n">
        <v>10.4523</v>
      </c>
      <c r="D199" s="0" t="n">
        <v>2.243</v>
      </c>
      <c r="E199" s="0" t="n">
        <v>0.02243</v>
      </c>
      <c r="F199" s="0" t="n">
        <v>0.02243</v>
      </c>
      <c r="H199" s="0" t="n">
        <v>8.0193</v>
      </c>
      <c r="I199" s="0" t="n">
        <v>2.205</v>
      </c>
      <c r="J199" s="0" t="n">
        <v>0.02205</v>
      </c>
      <c r="K199" s="0" t="n">
        <v>0.02281</v>
      </c>
      <c r="M199" s="0" t="n">
        <v>11.235</v>
      </c>
      <c r="N199" s="0" t="n">
        <v>1.948</v>
      </c>
      <c r="O199" s="0" t="n">
        <v>0.01948</v>
      </c>
      <c r="P199" s="0" t="n">
        <v>0.01948</v>
      </c>
      <c r="R199" s="0" t="n">
        <v>10.7687</v>
      </c>
      <c r="S199" s="0" t="n">
        <v>2.383</v>
      </c>
      <c r="T199" s="0" t="n">
        <v>0.02383</v>
      </c>
      <c r="U199" s="0" t="n">
        <v>0.02354</v>
      </c>
      <c r="W199" s="0" t="n">
        <v>11.6162</v>
      </c>
      <c r="X199" s="0" t="n">
        <v>2.157</v>
      </c>
      <c r="Y199" s="0" t="n">
        <v>0.02157</v>
      </c>
      <c r="Z199" s="0" t="n">
        <v>0.02157</v>
      </c>
    </row>
    <row r="200" customFormat="false" ht="16" hidden="false" customHeight="false" outlineLevel="0" collapsed="false">
      <c r="A200" s="0" t="s">
        <v>671</v>
      </c>
      <c r="B200" s="64" t="s">
        <v>683</v>
      </c>
      <c r="C200" s="0" t="n">
        <v>13.4258</v>
      </c>
      <c r="D200" s="0" t="n">
        <v>2.208</v>
      </c>
      <c r="E200" s="0" t="n">
        <v>0.02208</v>
      </c>
      <c r="F200" s="0" t="n">
        <v>0.02208</v>
      </c>
      <c r="H200" s="0" t="n">
        <v>11.8025</v>
      </c>
      <c r="I200" s="0" t="n">
        <v>2.168</v>
      </c>
      <c r="J200" s="0" t="n">
        <v>0.02168</v>
      </c>
      <c r="K200" s="0" t="n">
        <v>0.02216</v>
      </c>
      <c r="M200" s="0" t="n">
        <v>14.197</v>
      </c>
      <c r="N200" s="0" t="n">
        <v>1.929</v>
      </c>
      <c r="O200" s="0" t="n">
        <v>0.01929</v>
      </c>
      <c r="P200" s="0" t="n">
        <v>0.01981</v>
      </c>
      <c r="R200" s="0" t="n">
        <v>13.6712</v>
      </c>
      <c r="S200" s="0" t="n">
        <v>2.398</v>
      </c>
      <c r="T200" s="0" t="n">
        <v>0.02398</v>
      </c>
      <c r="U200" s="0" t="n">
        <v>0.02398</v>
      </c>
      <c r="W200" s="0" t="n">
        <v>14.9488</v>
      </c>
      <c r="X200" s="0" t="n">
        <v>2.154</v>
      </c>
      <c r="Y200" s="0" t="n">
        <v>0.02154</v>
      </c>
      <c r="Z200" s="0" t="n">
        <v>0.02154</v>
      </c>
    </row>
    <row r="201" customFormat="false" ht="16" hidden="false" customHeight="false" outlineLevel="0" collapsed="false">
      <c r="A201" s="0" t="s">
        <v>671</v>
      </c>
      <c r="B201" s="64" t="s">
        <v>685</v>
      </c>
      <c r="C201" s="0" t="n">
        <v>24.5737</v>
      </c>
      <c r="D201" s="0" t="n">
        <v>2.238</v>
      </c>
      <c r="E201" s="0" t="n">
        <v>0.02238</v>
      </c>
      <c r="F201" s="0" t="n">
        <v>0.02238</v>
      </c>
      <c r="H201" s="0" t="n">
        <v>26.0231</v>
      </c>
      <c r="I201" s="0" t="n">
        <v>2.126</v>
      </c>
      <c r="J201" s="0" t="n">
        <v>0.02126</v>
      </c>
      <c r="K201" s="0" t="n">
        <v>0.02128</v>
      </c>
      <c r="M201" s="0" t="n">
        <v>25.158</v>
      </c>
      <c r="N201" s="0" t="n">
        <v>1.884</v>
      </c>
      <c r="O201" s="0" t="n">
        <v>0.01884</v>
      </c>
      <c r="P201" s="0" t="n">
        <v>0.01884</v>
      </c>
      <c r="R201" s="0" t="n">
        <v>24.7517</v>
      </c>
      <c r="S201" s="0" t="n">
        <v>2.428</v>
      </c>
      <c r="T201" s="0" t="n">
        <v>0.02428</v>
      </c>
      <c r="U201" s="0" t="n">
        <v>0.02428</v>
      </c>
      <c r="W201" s="0" t="n">
        <v>27.4194</v>
      </c>
      <c r="X201" s="0" t="n">
        <v>2.212</v>
      </c>
      <c r="Y201" s="0" t="n">
        <v>0.02212</v>
      </c>
      <c r="Z201" s="0" t="n">
        <v>0.02212</v>
      </c>
    </row>
    <row r="202" customFormat="false" ht="16" hidden="false" customHeight="false" outlineLevel="0" collapsed="false">
      <c r="A202" s="0" t="s">
        <v>671</v>
      </c>
      <c r="B202" s="64" t="s">
        <v>688</v>
      </c>
      <c r="C202" s="0" t="n">
        <v>24.774</v>
      </c>
      <c r="D202" s="0" t="n">
        <v>2.245</v>
      </c>
      <c r="E202" s="0" t="n">
        <v>0.02245</v>
      </c>
      <c r="F202" s="0" t="n">
        <v>0.02294</v>
      </c>
      <c r="H202" s="0" t="n">
        <v>26.2275</v>
      </c>
      <c r="I202" s="0" t="n">
        <v>2.135</v>
      </c>
      <c r="J202" s="0" t="n">
        <v>0.02135</v>
      </c>
      <c r="K202" s="0" t="n">
        <v>0.02135</v>
      </c>
      <c r="M202" s="0" t="n">
        <v>25.328</v>
      </c>
      <c r="N202" s="0" t="n">
        <v>1.905</v>
      </c>
      <c r="O202" s="0" t="n">
        <v>0.01905</v>
      </c>
      <c r="P202" s="0" t="n">
        <v>0.01905</v>
      </c>
      <c r="R202" s="0" t="n">
        <v>24.911</v>
      </c>
      <c r="S202" s="0" t="n">
        <v>2.41</v>
      </c>
      <c r="T202" s="0" t="n">
        <v>0.0241</v>
      </c>
      <c r="U202" s="0" t="n">
        <v>0.0241</v>
      </c>
      <c r="W202" s="0" t="n">
        <v>27.6034</v>
      </c>
      <c r="X202" s="0" t="n">
        <v>2.217</v>
      </c>
      <c r="Y202" s="0" t="n">
        <v>0.02217</v>
      </c>
      <c r="Z202" s="0" t="n">
        <v>0.02217</v>
      </c>
    </row>
    <row r="203" customFormat="false" ht="16" hidden="false" customHeight="false" outlineLevel="0" collapsed="false">
      <c r="A203" s="0" t="s">
        <v>671</v>
      </c>
      <c r="B203" s="64" t="s">
        <v>690</v>
      </c>
      <c r="C203" s="0" t="n">
        <v>20.4305</v>
      </c>
      <c r="D203" s="0" t="n">
        <v>2.228</v>
      </c>
      <c r="E203" s="0" t="n">
        <v>0.02228</v>
      </c>
      <c r="F203" s="0" t="n">
        <v>0.02228</v>
      </c>
      <c r="H203" s="0" t="n">
        <v>20.7668</v>
      </c>
      <c r="I203" s="0" t="n">
        <v>2.113</v>
      </c>
      <c r="J203" s="0" t="n">
        <v>0.02113</v>
      </c>
      <c r="K203" s="0" t="n">
        <v>0.02061</v>
      </c>
      <c r="M203" s="0" t="n">
        <v>21.11</v>
      </c>
      <c r="N203" s="0" t="n">
        <v>1.913</v>
      </c>
      <c r="O203" s="0" t="n">
        <v>0.01913</v>
      </c>
      <c r="P203" s="0" t="n">
        <v>0.01913</v>
      </c>
      <c r="R203" s="0" t="n">
        <v>20.6198</v>
      </c>
      <c r="S203" s="0" t="n">
        <v>2.405</v>
      </c>
      <c r="T203" s="0" t="n">
        <v>0.02405</v>
      </c>
      <c r="U203" s="0" t="n">
        <v>0.02405</v>
      </c>
      <c r="W203" s="0" t="n">
        <v>22.8056</v>
      </c>
      <c r="X203" s="0" t="n">
        <v>2.203</v>
      </c>
      <c r="Y203" s="0" t="n">
        <v>0.02203</v>
      </c>
      <c r="Z203" s="0" t="n">
        <v>0.02235</v>
      </c>
    </row>
    <row r="204" customFormat="false" ht="16" hidden="false" customHeight="false" outlineLevel="0" collapsed="false">
      <c r="A204" s="0" t="s">
        <v>671</v>
      </c>
      <c r="B204" s="64" t="s">
        <v>692</v>
      </c>
      <c r="C204" s="0" t="n">
        <v>11.1478</v>
      </c>
      <c r="D204" s="0" t="n">
        <v>2.244</v>
      </c>
      <c r="E204" s="0" t="n">
        <v>0.02244</v>
      </c>
      <c r="F204" s="0" t="n">
        <v>0.02244</v>
      </c>
      <c r="H204" s="0" t="n">
        <v>8.8994</v>
      </c>
      <c r="I204" s="0" t="n">
        <v>2.197</v>
      </c>
      <c r="J204" s="0" t="n">
        <v>0.02197</v>
      </c>
      <c r="K204" s="0" t="n">
        <v>0.02279</v>
      </c>
      <c r="M204" s="0" t="n">
        <v>11.933</v>
      </c>
      <c r="N204" s="0" t="n">
        <v>1.967</v>
      </c>
      <c r="O204" s="0" t="n">
        <v>0.01967</v>
      </c>
      <c r="P204" s="0" t="n">
        <v>0.0203</v>
      </c>
      <c r="R204" s="0" t="n">
        <v>11.4637</v>
      </c>
      <c r="S204" s="0" t="n">
        <v>2.406</v>
      </c>
      <c r="T204" s="0" t="n">
        <v>0.02406</v>
      </c>
      <c r="U204" s="0" t="n">
        <v>0.02406</v>
      </c>
      <c r="W204" s="0" t="n">
        <v>12.377</v>
      </c>
      <c r="X204" s="0" t="n">
        <v>2.129</v>
      </c>
      <c r="Y204" s="0" t="n">
        <v>0.02129</v>
      </c>
      <c r="Z204" s="0" t="n">
        <v>0.02165</v>
      </c>
    </row>
    <row r="205" customFormat="false" ht="16" hidden="false" customHeight="false" outlineLevel="0" collapsed="false">
      <c r="A205" s="0" t="s">
        <v>671</v>
      </c>
      <c r="B205" s="64" t="s">
        <v>694</v>
      </c>
      <c r="C205" s="0" t="n">
        <v>2.628</v>
      </c>
      <c r="D205" s="0" t="n">
        <v>2.236</v>
      </c>
      <c r="E205" s="0" t="n">
        <v>0.02236</v>
      </c>
      <c r="F205" s="0" t="n">
        <v>0.02204</v>
      </c>
      <c r="H205" s="0" t="n">
        <v>-2.0087</v>
      </c>
      <c r="I205" s="0" t="n">
        <v>2.328</v>
      </c>
      <c r="J205" s="0" t="n">
        <v>0.02328</v>
      </c>
      <c r="K205" s="0" t="n">
        <v>0.02525</v>
      </c>
      <c r="M205" s="0" t="n">
        <v>3.442</v>
      </c>
      <c r="N205" s="0" t="n">
        <v>2.018</v>
      </c>
      <c r="O205" s="0" t="n">
        <v>0.02018</v>
      </c>
      <c r="P205" s="0" t="n">
        <v>0.0206</v>
      </c>
      <c r="R205" s="0" t="n">
        <v>2.9806</v>
      </c>
      <c r="S205" s="0" t="n">
        <v>2.378</v>
      </c>
      <c r="T205" s="0" t="n">
        <v>0.02378</v>
      </c>
      <c r="U205" s="0" t="n">
        <v>0.02378</v>
      </c>
      <c r="W205" s="0" t="n">
        <v>2.8127</v>
      </c>
      <c r="X205" s="0" t="n">
        <v>2.136</v>
      </c>
      <c r="Y205" s="0" t="n">
        <v>0.02136</v>
      </c>
      <c r="Z205" s="0" t="n">
        <v>0.02025</v>
      </c>
    </row>
    <row r="206" customFormat="false" ht="16" hidden="false" customHeight="false" outlineLevel="0" collapsed="false">
      <c r="A206" s="0" t="s">
        <v>671</v>
      </c>
      <c r="B206" s="64" t="s">
        <v>696</v>
      </c>
      <c r="C206" s="0" t="n">
        <v>10.4247</v>
      </c>
      <c r="D206" s="0" t="n">
        <v>2.259</v>
      </c>
      <c r="E206" s="0" t="n">
        <v>0.02259</v>
      </c>
      <c r="F206" s="0" t="n">
        <v>0.02259</v>
      </c>
      <c r="H206" s="0" t="n">
        <v>7.9758</v>
      </c>
      <c r="I206" s="0" t="n">
        <v>2.23</v>
      </c>
      <c r="J206" s="0" t="n">
        <v>0.0223</v>
      </c>
      <c r="K206" s="0" t="n">
        <v>0.02265</v>
      </c>
      <c r="M206" s="0" t="n">
        <v>11.201</v>
      </c>
      <c r="N206" s="0" t="n">
        <v>1.954</v>
      </c>
      <c r="O206" s="0" t="n">
        <v>0.01954</v>
      </c>
      <c r="P206" s="0" t="n">
        <v>0.01999</v>
      </c>
      <c r="R206" s="0" t="n">
        <v>10.7167</v>
      </c>
      <c r="S206" s="0" t="n">
        <v>2.424</v>
      </c>
      <c r="T206" s="0" t="n">
        <v>0.02424</v>
      </c>
      <c r="U206" s="0" t="n">
        <v>0.02356</v>
      </c>
      <c r="W206" s="0" t="n">
        <v>11.5556</v>
      </c>
      <c r="X206" s="0" t="n">
        <v>2.148</v>
      </c>
      <c r="Y206" s="0" t="n">
        <v>0.02148</v>
      </c>
      <c r="Z206" s="0" t="n">
        <v>0.02188</v>
      </c>
    </row>
    <row r="207" customFormat="false" ht="16" hidden="false" customHeight="false" outlineLevel="0" collapsed="false">
      <c r="A207" s="0" t="s">
        <v>671</v>
      </c>
      <c r="B207" s="64" t="s">
        <v>697</v>
      </c>
      <c r="C207" s="0" t="n">
        <v>5.4696</v>
      </c>
      <c r="D207" s="0" t="n">
        <v>2.224</v>
      </c>
      <c r="E207" s="0" t="n">
        <v>0.02224</v>
      </c>
      <c r="F207" s="0" t="n">
        <v>0.02224</v>
      </c>
      <c r="H207" s="0" t="n">
        <v>1.7241</v>
      </c>
      <c r="I207" s="0" t="n">
        <v>2.303</v>
      </c>
      <c r="J207" s="0" t="n">
        <v>0.02303</v>
      </c>
      <c r="K207" s="0" t="n">
        <v>0.02466</v>
      </c>
      <c r="M207" s="0" t="n">
        <v>6.352</v>
      </c>
      <c r="N207" s="0" t="n">
        <v>1.976</v>
      </c>
      <c r="O207" s="0" t="n">
        <v>0.01976</v>
      </c>
      <c r="P207" s="0" t="n">
        <v>0.01976</v>
      </c>
      <c r="R207" s="0" t="n">
        <v>5.8498</v>
      </c>
      <c r="S207" s="0" t="n">
        <v>2.424</v>
      </c>
      <c r="T207" s="0" t="n">
        <v>0.02424</v>
      </c>
      <c r="U207" s="0" t="n">
        <v>0.02424</v>
      </c>
      <c r="W207" s="0" t="n">
        <v>6.0538</v>
      </c>
      <c r="X207" s="0" t="n">
        <v>2.116</v>
      </c>
      <c r="Y207" s="0" t="n">
        <v>0.02116</v>
      </c>
      <c r="Z207" s="0" t="n">
        <v>0.02062</v>
      </c>
    </row>
    <row r="208" customFormat="false" ht="16" hidden="false" customHeight="false" outlineLevel="0" collapsed="false">
      <c r="A208" s="0" t="s">
        <v>671</v>
      </c>
      <c r="B208" s="64" t="s">
        <v>698</v>
      </c>
      <c r="C208" s="0" t="n">
        <v>16.9031</v>
      </c>
      <c r="D208" s="0" t="n">
        <v>2.217</v>
      </c>
      <c r="E208" s="0" t="n">
        <v>0.02217</v>
      </c>
      <c r="F208" s="0" t="n">
        <v>0.02201</v>
      </c>
      <c r="H208" s="0" t="n">
        <v>16.2501</v>
      </c>
      <c r="I208" s="0" t="n">
        <v>2.119</v>
      </c>
      <c r="J208" s="0" t="n">
        <v>0.02119</v>
      </c>
      <c r="K208" s="0" t="n">
        <v>0.02119</v>
      </c>
      <c r="M208" s="0" t="n">
        <v>17.583</v>
      </c>
      <c r="N208" s="0" t="n">
        <v>1.918</v>
      </c>
      <c r="O208" s="0" t="n">
        <v>0.01918</v>
      </c>
      <c r="P208" s="0" t="n">
        <v>0.01867</v>
      </c>
      <c r="R208" s="0" t="n">
        <v>17.1425</v>
      </c>
      <c r="S208" s="0" t="n">
        <v>2.406</v>
      </c>
      <c r="T208" s="0" t="n">
        <v>0.02406</v>
      </c>
      <c r="U208" s="0" t="n">
        <v>0.02406</v>
      </c>
      <c r="W208" s="0" t="n">
        <v>18.8311</v>
      </c>
      <c r="X208" s="0" t="n">
        <v>2.187</v>
      </c>
      <c r="Y208" s="0" t="n">
        <v>0.02187</v>
      </c>
      <c r="Z208" s="0" t="n">
        <v>0.02187</v>
      </c>
    </row>
    <row r="209" customFormat="false" ht="16" hidden="false" customHeight="false" outlineLevel="0" collapsed="false">
      <c r="A209" s="0" t="s">
        <v>671</v>
      </c>
      <c r="B209" s="64" t="s">
        <v>699</v>
      </c>
      <c r="C209" s="0" t="n">
        <v>15.9205</v>
      </c>
      <c r="D209" s="0" t="n">
        <v>2.215</v>
      </c>
      <c r="E209" s="0" t="n">
        <v>0.02215</v>
      </c>
      <c r="F209" s="0" t="n">
        <v>0.02215</v>
      </c>
      <c r="H209" s="0" t="n">
        <v>15.0043</v>
      </c>
      <c r="I209" s="0" t="n">
        <v>2.111</v>
      </c>
      <c r="J209" s="0" t="n">
        <v>0.02111</v>
      </c>
      <c r="K209" s="0" t="n">
        <v>0.02111</v>
      </c>
      <c r="M209" s="0" t="n">
        <v>16.583</v>
      </c>
      <c r="N209" s="0" t="n">
        <v>1.931</v>
      </c>
      <c r="O209" s="0" t="n">
        <v>0.01931</v>
      </c>
      <c r="P209" s="0" t="n">
        <v>0.01931</v>
      </c>
      <c r="R209" s="0" t="n">
        <v>16.139</v>
      </c>
      <c r="S209" s="0" t="n">
        <v>2.418</v>
      </c>
      <c r="T209" s="0" t="n">
        <v>0.02418</v>
      </c>
      <c r="U209" s="0" t="n">
        <v>0.02418</v>
      </c>
      <c r="W209" s="0" t="n">
        <v>17.7078</v>
      </c>
      <c r="X209" s="0" t="n">
        <v>2.151</v>
      </c>
      <c r="Y209" s="0" t="n">
        <v>0.02151</v>
      </c>
      <c r="Z209" s="0" t="n">
        <v>0.02151</v>
      </c>
    </row>
    <row r="210" customFormat="false" ht="16" hidden="false" customHeight="false" outlineLevel="0" collapsed="false">
      <c r="A210" s="0" t="s">
        <v>671</v>
      </c>
      <c r="B210" s="64" t="s">
        <v>700</v>
      </c>
      <c r="C210" s="0" t="n">
        <v>13.9297</v>
      </c>
      <c r="D210" s="0" t="n">
        <v>2.201</v>
      </c>
      <c r="E210" s="0" t="n">
        <v>0.02201</v>
      </c>
      <c r="F210" s="0" t="n">
        <v>0.02201</v>
      </c>
      <c r="H210" s="0" t="n">
        <v>12.4802</v>
      </c>
      <c r="I210" s="0" t="n">
        <v>2.189</v>
      </c>
      <c r="J210" s="0" t="n">
        <v>0.02189</v>
      </c>
      <c r="K210" s="0" t="n">
        <v>0.02189</v>
      </c>
      <c r="M210" s="0" t="n">
        <v>14.672</v>
      </c>
      <c r="N210" s="0" t="n">
        <v>1.924</v>
      </c>
      <c r="O210" s="0" t="n">
        <v>0.01924</v>
      </c>
      <c r="P210" s="0" t="n">
        <v>0.0189</v>
      </c>
      <c r="R210" s="0" t="n">
        <v>14.2133</v>
      </c>
      <c r="S210" s="0" t="n">
        <v>2.418</v>
      </c>
      <c r="T210" s="0" t="n">
        <v>0.02418</v>
      </c>
      <c r="U210" s="0" t="n">
        <v>0.02418</v>
      </c>
      <c r="W210" s="0" t="n">
        <v>15.5203</v>
      </c>
      <c r="X210" s="0" t="n">
        <v>2.178</v>
      </c>
      <c r="Y210" s="0" t="n">
        <v>0.02178</v>
      </c>
      <c r="Z210" s="0" t="n">
        <v>0.02178</v>
      </c>
    </row>
    <row r="211" customFormat="false" ht="16" hidden="false" customHeight="false" outlineLevel="0" collapsed="false">
      <c r="A211" s="0" t="s">
        <v>671</v>
      </c>
      <c r="B211" s="64" t="s">
        <v>701</v>
      </c>
      <c r="C211" s="0" t="n">
        <v>15.0597</v>
      </c>
      <c r="D211" s="0" t="n">
        <v>2.228</v>
      </c>
      <c r="E211" s="0" t="n">
        <v>0.02228</v>
      </c>
      <c r="F211" s="0" t="n">
        <v>0.02228</v>
      </c>
      <c r="H211" s="0" t="n">
        <v>13.8549</v>
      </c>
      <c r="I211" s="0" t="n">
        <v>2.179</v>
      </c>
      <c r="J211" s="0" t="n">
        <v>0.02179</v>
      </c>
      <c r="K211" s="0" t="n">
        <v>0.02244</v>
      </c>
      <c r="M211" s="0" t="n">
        <v>15.774</v>
      </c>
      <c r="N211" s="0" t="n">
        <v>1.939</v>
      </c>
      <c r="O211" s="0" t="n">
        <v>0.01939</v>
      </c>
      <c r="P211" s="0" t="n">
        <v>0.02028</v>
      </c>
      <c r="R211" s="0" t="n">
        <v>15.2703</v>
      </c>
      <c r="S211" s="0" t="n">
        <v>2.42</v>
      </c>
      <c r="T211" s="0" t="n">
        <v>0.0242</v>
      </c>
      <c r="U211" s="0" t="n">
        <v>0.0242</v>
      </c>
      <c r="W211" s="0" t="n">
        <v>16.7261</v>
      </c>
      <c r="X211" s="0" t="n">
        <v>2.179</v>
      </c>
      <c r="Y211" s="0" t="n">
        <v>0.02179</v>
      </c>
      <c r="Z211" s="0" t="n">
        <v>0.02179</v>
      </c>
    </row>
    <row r="212" customFormat="false" ht="16" hidden="false" customHeight="false" outlineLevel="0" collapsed="false">
      <c r="A212" s="0" t="s">
        <v>671</v>
      </c>
      <c r="B212" s="64" t="s">
        <v>702</v>
      </c>
      <c r="C212" s="0" t="n">
        <v>15.4662</v>
      </c>
      <c r="D212" s="0" t="n">
        <v>2.238</v>
      </c>
      <c r="E212" s="0" t="n">
        <v>0.02238</v>
      </c>
      <c r="F212" s="0" t="n">
        <v>0.02238</v>
      </c>
      <c r="H212" s="0" t="n">
        <v>14.4163</v>
      </c>
      <c r="I212" s="0" t="n">
        <v>2.151</v>
      </c>
      <c r="J212" s="0" t="n">
        <v>0.02151</v>
      </c>
      <c r="K212" s="0" t="n">
        <v>0.02151</v>
      </c>
      <c r="M212" s="0" t="n">
        <v>16.129</v>
      </c>
      <c r="N212" s="0" t="n">
        <v>1.902</v>
      </c>
      <c r="O212" s="0" t="n">
        <v>0.01902</v>
      </c>
      <c r="P212" s="0" t="n">
        <v>0.01902</v>
      </c>
      <c r="R212" s="0" t="n">
        <v>15.7067</v>
      </c>
      <c r="S212" s="0" t="n">
        <v>2.417</v>
      </c>
      <c r="T212" s="0" t="n">
        <v>0.02417</v>
      </c>
      <c r="U212" s="0" t="n">
        <v>0.02417</v>
      </c>
      <c r="W212" s="0" t="n">
        <v>17.2189</v>
      </c>
      <c r="X212" s="0" t="n">
        <v>2.193</v>
      </c>
      <c r="Y212" s="0" t="n">
        <v>0.02193</v>
      </c>
      <c r="Z212" s="0" t="n">
        <v>0.02209</v>
      </c>
    </row>
    <row r="213" customFormat="false" ht="16" hidden="false" customHeight="false" outlineLevel="0" collapsed="false">
      <c r="A213" s="0" t="s">
        <v>671</v>
      </c>
      <c r="B213" s="64" t="s">
        <v>703</v>
      </c>
      <c r="C213" s="0" t="n">
        <v>14.9064</v>
      </c>
      <c r="D213" s="0" t="n">
        <v>2.224</v>
      </c>
      <c r="E213" s="0" t="n">
        <v>0.02224</v>
      </c>
      <c r="F213" s="0" t="n">
        <v>0.02224</v>
      </c>
      <c r="H213" s="0" t="n">
        <v>13.6944</v>
      </c>
      <c r="I213" s="0" t="n">
        <v>2.154</v>
      </c>
      <c r="J213" s="0" t="n">
        <v>0.02154</v>
      </c>
      <c r="K213" s="0" t="n">
        <v>0.02181</v>
      </c>
      <c r="M213" s="0" t="n">
        <v>15.639</v>
      </c>
      <c r="N213" s="0" t="n">
        <v>1.924</v>
      </c>
      <c r="O213" s="0" t="n">
        <v>0.01924</v>
      </c>
      <c r="P213" s="0" t="n">
        <v>0.01924</v>
      </c>
      <c r="R213" s="0" t="n">
        <v>15.1879</v>
      </c>
      <c r="S213" s="0" t="n">
        <v>2.406</v>
      </c>
      <c r="T213" s="0" t="n">
        <v>0.02406</v>
      </c>
      <c r="U213" s="0" t="n">
        <v>0.02406</v>
      </c>
      <c r="W213" s="0" t="n">
        <v>16.5893</v>
      </c>
      <c r="X213" s="0" t="n">
        <v>2.149</v>
      </c>
      <c r="Y213" s="0" t="n">
        <v>0.02149</v>
      </c>
      <c r="Z213" s="0" t="n">
        <v>0.0205</v>
      </c>
    </row>
    <row r="214" customFormat="false" ht="16" hidden="false" customHeight="false" outlineLevel="0" collapsed="false">
      <c r="A214" s="0" t="s">
        <v>671</v>
      </c>
      <c r="B214" s="64" t="s">
        <v>704</v>
      </c>
      <c r="C214" s="0" t="n">
        <v>23.1753</v>
      </c>
      <c r="D214" s="0" t="n">
        <v>2.197</v>
      </c>
      <c r="E214" s="0" t="n">
        <v>0.02197</v>
      </c>
      <c r="F214" s="0" t="n">
        <v>0.02197</v>
      </c>
      <c r="H214" s="0" t="n">
        <v>24.1481</v>
      </c>
      <c r="I214" s="0" t="n">
        <v>2.093</v>
      </c>
      <c r="J214" s="0" t="n">
        <v>0.02093</v>
      </c>
      <c r="K214" s="0" t="n">
        <v>0.02093</v>
      </c>
      <c r="M214" s="0" t="n">
        <v>23.76</v>
      </c>
      <c r="N214" s="0" t="n">
        <v>1.895</v>
      </c>
      <c r="O214" s="0" t="n">
        <v>0.01895</v>
      </c>
      <c r="P214" s="0" t="n">
        <v>0.01895</v>
      </c>
      <c r="R214" s="0" t="n">
        <v>23.2799</v>
      </c>
      <c r="S214" s="0" t="n">
        <v>2.393</v>
      </c>
      <c r="T214" s="0" t="n">
        <v>0.02393</v>
      </c>
      <c r="U214" s="0" t="n">
        <v>0.02393</v>
      </c>
      <c r="W214" s="0" t="n">
        <v>25.7791</v>
      </c>
      <c r="X214" s="0" t="n">
        <v>2.227</v>
      </c>
      <c r="Y214" s="0" t="n">
        <v>0.02227</v>
      </c>
      <c r="Z214" s="0" t="n">
        <v>0.02227</v>
      </c>
    </row>
    <row r="215" customFormat="false" ht="16" hidden="false" customHeight="false" outlineLevel="0" collapsed="false">
      <c r="A215" s="0" t="s">
        <v>671</v>
      </c>
      <c r="B215" s="64" t="s">
        <v>705</v>
      </c>
      <c r="C215" s="0" t="n">
        <v>21.7519</v>
      </c>
      <c r="D215" s="0" t="n">
        <v>2.237</v>
      </c>
      <c r="E215" s="0" t="n">
        <v>0.02237</v>
      </c>
      <c r="F215" s="0" t="n">
        <v>0.02237</v>
      </c>
      <c r="H215" s="0" t="n">
        <v>22.4406</v>
      </c>
      <c r="I215" s="0" t="n">
        <v>2.105</v>
      </c>
      <c r="J215" s="0" t="n">
        <v>0.02105</v>
      </c>
      <c r="K215" s="0" t="n">
        <v>0.02105</v>
      </c>
      <c r="M215" s="0" t="n">
        <v>22.329</v>
      </c>
      <c r="N215" s="0" t="n">
        <v>1.902</v>
      </c>
      <c r="O215" s="0" t="n">
        <v>0.01902</v>
      </c>
      <c r="P215" s="0" t="n">
        <v>0.01902</v>
      </c>
      <c r="R215" s="0" t="n">
        <v>21.9334</v>
      </c>
      <c r="S215" s="0" t="n">
        <v>2.427</v>
      </c>
      <c r="T215" s="0" t="n">
        <v>0.02427</v>
      </c>
      <c r="U215" s="0" t="n">
        <v>0.0231</v>
      </c>
      <c r="W215" s="0" t="n">
        <v>24.2594</v>
      </c>
      <c r="X215" s="0" t="n">
        <v>2.214</v>
      </c>
      <c r="Y215" s="0" t="n">
        <v>0.02214</v>
      </c>
      <c r="Z215" s="0" t="n">
        <v>0.02214</v>
      </c>
    </row>
    <row r="216" customFormat="false" ht="16" hidden="false" customHeight="false" outlineLevel="0" collapsed="false">
      <c r="A216" s="0" t="s">
        <v>671</v>
      </c>
      <c r="B216" s="64" t="s">
        <v>706</v>
      </c>
      <c r="C216" s="0" t="n">
        <v>23.2891</v>
      </c>
      <c r="D216" s="0" t="n">
        <v>2.25</v>
      </c>
      <c r="E216" s="0" t="n">
        <v>0.0225</v>
      </c>
      <c r="F216" s="0" t="n">
        <v>0.0225</v>
      </c>
      <c r="H216" s="0" t="n">
        <v>24.3725</v>
      </c>
      <c r="I216" s="0" t="n">
        <v>2.107</v>
      </c>
      <c r="J216" s="0" t="n">
        <v>0.02107</v>
      </c>
      <c r="K216" s="0" t="n">
        <v>0.02166</v>
      </c>
      <c r="M216" s="0" t="n">
        <v>23.884</v>
      </c>
      <c r="N216" s="0" t="n">
        <v>1.875</v>
      </c>
      <c r="O216" s="0" t="n">
        <v>0.01875</v>
      </c>
      <c r="P216" s="0" t="n">
        <v>0.01886</v>
      </c>
      <c r="R216" s="0" t="n">
        <v>23.3813</v>
      </c>
      <c r="S216" s="0" t="n">
        <v>2.391</v>
      </c>
      <c r="T216" s="0" t="n">
        <v>0.02391</v>
      </c>
      <c r="U216" s="0" t="n">
        <v>0.02391</v>
      </c>
      <c r="W216" s="0" t="n">
        <v>25.9728</v>
      </c>
      <c r="X216" s="0" t="n">
        <v>2.197</v>
      </c>
      <c r="Y216" s="0" t="n">
        <v>0.02197</v>
      </c>
      <c r="Z216" s="0" t="n">
        <v>0.02197</v>
      </c>
    </row>
    <row r="217" customFormat="false" ht="16" hidden="false" customHeight="false" outlineLevel="0" collapsed="false">
      <c r="A217" s="0" t="s">
        <v>671</v>
      </c>
      <c r="B217" s="64" t="s">
        <v>708</v>
      </c>
      <c r="C217" s="0" t="n">
        <v>19.2323</v>
      </c>
      <c r="D217" s="0" t="n">
        <v>2.219</v>
      </c>
      <c r="E217" s="0" t="n">
        <v>0.02219</v>
      </c>
      <c r="F217" s="0" t="n">
        <v>0.02256</v>
      </c>
      <c r="H217" s="0" t="n">
        <v>19.1782</v>
      </c>
      <c r="I217" s="0" t="n">
        <v>2.119</v>
      </c>
      <c r="J217" s="0" t="n">
        <v>0.02119</v>
      </c>
      <c r="K217" s="0" t="n">
        <v>0.02119</v>
      </c>
      <c r="M217" s="0" t="n">
        <v>19.873</v>
      </c>
      <c r="N217" s="0" t="n">
        <v>1.916</v>
      </c>
      <c r="O217" s="0" t="n">
        <v>0.01916</v>
      </c>
      <c r="P217" s="0" t="n">
        <v>0.01916</v>
      </c>
      <c r="R217" s="0" t="n">
        <v>19.4405</v>
      </c>
      <c r="S217" s="0" t="n">
        <v>2.379</v>
      </c>
      <c r="T217" s="0" t="n">
        <v>0.02379</v>
      </c>
      <c r="U217" s="0" t="n">
        <v>0.02379</v>
      </c>
      <c r="W217" s="0" t="n">
        <v>21.4011</v>
      </c>
      <c r="X217" s="0" t="n">
        <v>2.189</v>
      </c>
      <c r="Y217" s="0" t="n">
        <v>0.02189</v>
      </c>
      <c r="Z217" s="0" t="n">
        <v>0.02225</v>
      </c>
    </row>
    <row r="218" customFormat="false" ht="16" hidden="false" customHeight="false" outlineLevel="0" collapsed="false">
      <c r="A218" s="0" t="s">
        <v>671</v>
      </c>
      <c r="B218" s="64" t="s">
        <v>709</v>
      </c>
      <c r="C218" s="0" t="n">
        <v>19.6698</v>
      </c>
      <c r="D218" s="0" t="n">
        <v>2.266</v>
      </c>
      <c r="E218" s="0" t="n">
        <v>0.02266</v>
      </c>
      <c r="F218" s="0" t="n">
        <v>0.02266</v>
      </c>
      <c r="H218" s="0" t="n">
        <v>19.7716</v>
      </c>
      <c r="I218" s="0" t="n">
        <v>2.133</v>
      </c>
      <c r="J218" s="0" t="n">
        <v>0.02133</v>
      </c>
      <c r="K218" s="0" t="n">
        <v>0.02133</v>
      </c>
      <c r="M218" s="0" t="n">
        <v>20.345</v>
      </c>
      <c r="N218" s="0" t="n">
        <v>1.891</v>
      </c>
      <c r="O218" s="0" t="n">
        <v>0.01891</v>
      </c>
      <c r="P218" s="0" t="n">
        <v>0.01891</v>
      </c>
      <c r="R218" s="0" t="n">
        <v>19.9273</v>
      </c>
      <c r="S218" s="0" t="n">
        <v>2.437</v>
      </c>
      <c r="T218" s="0" t="n">
        <v>0.02437</v>
      </c>
      <c r="U218" s="0" t="n">
        <v>0.02437</v>
      </c>
      <c r="W218" s="0" t="n">
        <v>21.9895</v>
      </c>
      <c r="X218" s="0" t="n">
        <v>2.217</v>
      </c>
      <c r="Y218" s="0" t="n">
        <v>0.02217</v>
      </c>
      <c r="Z218" s="0" t="n">
        <v>0.02217</v>
      </c>
    </row>
    <row r="219" customFormat="false" ht="16" hidden="false" customHeight="false" outlineLevel="0" collapsed="false">
      <c r="A219" s="0" t="s">
        <v>671</v>
      </c>
      <c r="B219" s="64" t="s">
        <v>710</v>
      </c>
      <c r="C219" s="0" t="n">
        <v>18.3006</v>
      </c>
      <c r="D219" s="0" t="n">
        <v>2.227</v>
      </c>
      <c r="E219" s="0" t="n">
        <v>0.02227</v>
      </c>
      <c r="F219" s="0" t="n">
        <v>0.02227</v>
      </c>
      <c r="H219" s="0" t="n">
        <v>18.0424</v>
      </c>
      <c r="I219" s="0" t="n">
        <v>2.141</v>
      </c>
      <c r="J219" s="0" t="n">
        <v>0.02141</v>
      </c>
      <c r="K219" s="0" t="n">
        <v>0.02141</v>
      </c>
      <c r="M219" s="0" t="n">
        <v>18.997</v>
      </c>
      <c r="N219" s="0" t="n">
        <v>1.919</v>
      </c>
      <c r="O219" s="0" t="n">
        <v>0.01919</v>
      </c>
      <c r="P219" s="0" t="n">
        <v>0.01957</v>
      </c>
      <c r="R219" s="0" t="n">
        <v>18.4765</v>
      </c>
      <c r="S219" s="0" t="n">
        <v>2.434</v>
      </c>
      <c r="T219" s="0" t="n">
        <v>0.02434</v>
      </c>
      <c r="U219" s="0" t="n">
        <v>0.02453</v>
      </c>
      <c r="W219" s="0" t="n">
        <v>20.4042</v>
      </c>
      <c r="X219" s="0" t="n">
        <v>2.223</v>
      </c>
      <c r="Y219" s="0" t="n">
        <v>0.02223</v>
      </c>
      <c r="Z219" s="0" t="n">
        <v>0.02268</v>
      </c>
    </row>
    <row r="220" customFormat="false" ht="16" hidden="false" customHeight="false" outlineLevel="0" collapsed="false">
      <c r="A220" s="0" t="s">
        <v>671</v>
      </c>
      <c r="B220" s="64" t="s">
        <v>711</v>
      </c>
      <c r="C220" s="0" t="n">
        <v>14.9812</v>
      </c>
      <c r="D220" s="0" t="n">
        <v>2.238</v>
      </c>
      <c r="E220" s="0" t="n">
        <v>0.02238</v>
      </c>
      <c r="F220" s="0" t="n">
        <v>0.02238</v>
      </c>
      <c r="H220" s="0" t="n">
        <v>13.8348</v>
      </c>
      <c r="I220" s="0" t="n">
        <v>2.126</v>
      </c>
      <c r="J220" s="0" t="n">
        <v>0.02126</v>
      </c>
      <c r="K220" s="0" t="n">
        <v>0.02126</v>
      </c>
      <c r="M220" s="0" t="n">
        <v>15.697</v>
      </c>
      <c r="N220" s="0" t="n">
        <v>1.928</v>
      </c>
      <c r="O220" s="0" t="n">
        <v>0.01928</v>
      </c>
      <c r="P220" s="0" t="n">
        <v>0.01928</v>
      </c>
      <c r="R220" s="0" t="n">
        <v>15.2563</v>
      </c>
      <c r="S220" s="0" t="n">
        <v>2.402</v>
      </c>
      <c r="T220" s="0" t="n">
        <v>0.02402</v>
      </c>
      <c r="U220" s="0" t="n">
        <v>0.0235</v>
      </c>
      <c r="W220" s="0" t="n">
        <v>16.6726</v>
      </c>
      <c r="X220" s="0" t="n">
        <v>2.166</v>
      </c>
      <c r="Y220" s="0" t="n">
        <v>0.02166</v>
      </c>
      <c r="Z220" s="0" t="n">
        <v>0.02166</v>
      </c>
    </row>
    <row r="221" customFormat="false" ht="16" hidden="false" customHeight="false" outlineLevel="0" collapsed="false">
      <c r="A221" s="0" t="s">
        <v>671</v>
      </c>
      <c r="B221" s="64" t="s">
        <v>711</v>
      </c>
      <c r="C221" s="0" t="n">
        <v>14.8839</v>
      </c>
      <c r="D221" s="0" t="n">
        <v>2.22</v>
      </c>
      <c r="E221" s="0" t="n">
        <v>0.0222</v>
      </c>
      <c r="F221" s="0" t="n">
        <v>0.0222</v>
      </c>
      <c r="H221" s="0" t="n">
        <v>13.6433</v>
      </c>
      <c r="I221" s="0" t="n">
        <v>2.169</v>
      </c>
      <c r="J221" s="0" t="n">
        <v>0.02169</v>
      </c>
      <c r="K221" s="0" t="n">
        <v>0.02205</v>
      </c>
      <c r="M221" s="0" t="n">
        <v>15.596</v>
      </c>
      <c r="N221" s="0" t="n">
        <v>1.9</v>
      </c>
      <c r="O221" s="0" t="n">
        <v>0.019</v>
      </c>
      <c r="P221" s="0" t="n">
        <v>0.019</v>
      </c>
      <c r="R221" s="0" t="n">
        <v>15.1849</v>
      </c>
      <c r="S221" s="0" t="n">
        <v>2.423</v>
      </c>
      <c r="T221" s="0" t="n">
        <v>0.02423</v>
      </c>
      <c r="U221" s="0" t="n">
        <v>0.02387</v>
      </c>
      <c r="W221" s="0" t="n">
        <v>16.5558</v>
      </c>
      <c r="X221" s="0" t="n">
        <v>2.155</v>
      </c>
      <c r="Y221" s="0" t="n">
        <v>0.02155</v>
      </c>
      <c r="Z221" s="0" t="n">
        <v>0.02155</v>
      </c>
    </row>
    <row r="222" customFormat="false" ht="16" hidden="false" customHeight="false" outlineLevel="0" collapsed="false">
      <c r="A222" s="0" t="s">
        <v>713</v>
      </c>
      <c r="B222" s="64" t="s">
        <v>712</v>
      </c>
      <c r="C222" s="0" t="n">
        <v>11.9604</v>
      </c>
      <c r="D222" s="0" t="n">
        <v>2.246</v>
      </c>
      <c r="E222" s="0" t="n">
        <v>0.02246</v>
      </c>
      <c r="F222" s="0" t="n">
        <v>0.02246</v>
      </c>
      <c r="H222" s="0" t="n">
        <v>9.9615</v>
      </c>
      <c r="I222" s="0" t="n">
        <v>2.196</v>
      </c>
      <c r="J222" s="0" t="n">
        <v>0.02196</v>
      </c>
      <c r="K222" s="0" t="n">
        <v>0.02196</v>
      </c>
      <c r="M222" s="0" t="n">
        <v>12.714</v>
      </c>
      <c r="N222" s="0" t="n">
        <v>1.946</v>
      </c>
      <c r="O222" s="0" t="n">
        <v>0.01946</v>
      </c>
      <c r="P222" s="0" t="n">
        <v>0.01981</v>
      </c>
      <c r="R222" s="0" t="n">
        <v>12.2446</v>
      </c>
      <c r="S222" s="0" t="n">
        <v>2.4</v>
      </c>
      <c r="T222" s="0" t="n">
        <v>0.024</v>
      </c>
      <c r="U222" s="0" t="n">
        <v>0.024</v>
      </c>
      <c r="W222" s="0" t="n">
        <v>13.3124</v>
      </c>
      <c r="X222" s="0" t="n">
        <v>2.176</v>
      </c>
      <c r="Y222" s="0" t="n">
        <v>0.02176</v>
      </c>
      <c r="Z222" s="0" t="n">
        <v>0.02176</v>
      </c>
    </row>
    <row r="223" customFormat="false" ht="16" hidden="false" customHeight="false" outlineLevel="0" collapsed="false">
      <c r="A223" s="0" t="s">
        <v>713</v>
      </c>
      <c r="B223" s="64" t="s">
        <v>716</v>
      </c>
      <c r="C223" s="0" t="n">
        <v>18.3806</v>
      </c>
      <c r="D223" s="0" t="n">
        <v>2.241</v>
      </c>
      <c r="E223" s="0" t="n">
        <v>0.02241</v>
      </c>
      <c r="F223" s="0" t="n">
        <v>0.02241</v>
      </c>
      <c r="H223" s="0" t="n">
        <v>18.146</v>
      </c>
      <c r="I223" s="0" t="n">
        <v>2.11</v>
      </c>
      <c r="J223" s="0" t="n">
        <v>0.0211</v>
      </c>
      <c r="K223" s="0" t="n">
        <v>0.0211</v>
      </c>
      <c r="M223" s="0" t="n">
        <v>19.024</v>
      </c>
      <c r="N223" s="0" t="n">
        <v>1.898</v>
      </c>
      <c r="O223" s="0" t="n">
        <v>0.01898</v>
      </c>
      <c r="P223" s="0" t="n">
        <v>0.01898</v>
      </c>
      <c r="R223" s="0" t="n">
        <v>18.5848</v>
      </c>
      <c r="S223" s="0" t="n">
        <v>2.429</v>
      </c>
      <c r="T223" s="0" t="n">
        <v>0.02429</v>
      </c>
      <c r="U223" s="0" t="n">
        <v>0.02429</v>
      </c>
      <c r="W223" s="0" t="n">
        <v>20.4592</v>
      </c>
      <c r="X223" s="0" t="n">
        <v>2.193</v>
      </c>
      <c r="Y223" s="0" t="n">
        <v>0.02193</v>
      </c>
      <c r="Z223" s="0" t="n">
        <v>0.02193</v>
      </c>
    </row>
    <row r="224" customFormat="false" ht="16" hidden="false" customHeight="false" outlineLevel="0" collapsed="false">
      <c r="A224" s="0" t="s">
        <v>713</v>
      </c>
      <c r="B224" s="64" t="s">
        <v>718</v>
      </c>
      <c r="C224" s="0" t="n">
        <v>15.3592</v>
      </c>
      <c r="D224" s="0" t="n">
        <v>2.267</v>
      </c>
      <c r="E224" s="0" t="n">
        <v>0.02267</v>
      </c>
      <c r="F224" s="0" t="n">
        <v>0.02267</v>
      </c>
      <c r="H224" s="0" t="n">
        <v>14.2414</v>
      </c>
      <c r="I224" s="0" t="n">
        <v>2.137</v>
      </c>
      <c r="J224" s="0" t="n">
        <v>0.02137</v>
      </c>
      <c r="K224" s="0" t="n">
        <v>0.02232</v>
      </c>
      <c r="M224" s="0" t="n">
        <v>16.076</v>
      </c>
      <c r="N224" s="0" t="n">
        <v>1.912</v>
      </c>
      <c r="O224" s="0" t="n">
        <v>0.01912</v>
      </c>
      <c r="P224" s="0" t="n">
        <v>0.01912</v>
      </c>
      <c r="R224" s="0" t="n">
        <v>15.6338</v>
      </c>
      <c r="S224" s="0" t="n">
        <v>2.453</v>
      </c>
      <c r="T224" s="0" t="n">
        <v>0.02453</v>
      </c>
      <c r="U224" s="0" t="n">
        <v>0.02453</v>
      </c>
      <c r="W224" s="0" t="n">
        <v>17.0524</v>
      </c>
      <c r="X224" s="0" t="n">
        <v>2.176</v>
      </c>
      <c r="Y224" s="0" t="n">
        <v>0.02176</v>
      </c>
      <c r="Z224" s="0" t="n">
        <v>0.02176</v>
      </c>
    </row>
    <row r="225" customFormat="false" ht="16" hidden="false" customHeight="false" outlineLevel="0" collapsed="false">
      <c r="A225" s="0" t="s">
        <v>713</v>
      </c>
      <c r="B225" s="64" t="s">
        <v>720</v>
      </c>
      <c r="C225" s="0" t="n">
        <v>12.9687</v>
      </c>
      <c r="D225" s="0" t="n">
        <v>2.242</v>
      </c>
      <c r="E225" s="0" t="n">
        <v>0.02242</v>
      </c>
      <c r="F225" s="0" t="n">
        <v>0.02242</v>
      </c>
      <c r="H225" s="0" t="n">
        <v>11.1829</v>
      </c>
      <c r="I225" s="0" t="n">
        <v>2.19</v>
      </c>
      <c r="J225" s="0" t="n">
        <v>0.0219</v>
      </c>
      <c r="K225" s="0" t="n">
        <v>0.0219</v>
      </c>
      <c r="M225" s="0" t="n">
        <v>13.676</v>
      </c>
      <c r="N225" s="0" t="n">
        <v>1.938</v>
      </c>
      <c r="O225" s="0" t="n">
        <v>0.01938</v>
      </c>
      <c r="P225" s="0" t="n">
        <v>0.01938</v>
      </c>
      <c r="R225" s="0" t="n">
        <v>13.2311</v>
      </c>
      <c r="S225" s="0" t="n">
        <v>2.408</v>
      </c>
      <c r="T225" s="0" t="n">
        <v>0.02408</v>
      </c>
      <c r="U225" s="0" t="n">
        <v>0.02408</v>
      </c>
      <c r="W225" s="0" t="n">
        <v>14.3968</v>
      </c>
      <c r="X225" s="0" t="n">
        <v>2.164</v>
      </c>
      <c r="Y225" s="0" t="n">
        <v>0.02164</v>
      </c>
      <c r="Z225" s="0" t="n">
        <v>0.02184</v>
      </c>
    </row>
    <row r="226" customFormat="false" ht="16" hidden="false" customHeight="false" outlineLevel="0" collapsed="false">
      <c r="A226" s="0" t="s">
        <v>713</v>
      </c>
      <c r="B226" s="64" t="s">
        <v>722</v>
      </c>
      <c r="C226" s="0" t="n">
        <v>19.3607</v>
      </c>
      <c r="D226" s="0" t="n">
        <v>2.226</v>
      </c>
      <c r="E226" s="0" t="n">
        <v>0.02226</v>
      </c>
      <c r="F226" s="0" t="n">
        <v>0.02226</v>
      </c>
      <c r="H226" s="0" t="n">
        <v>19.3459</v>
      </c>
      <c r="I226" s="0" t="n">
        <v>2.1</v>
      </c>
      <c r="J226" s="0" t="n">
        <v>0.021</v>
      </c>
      <c r="K226" s="0" t="n">
        <v>0.021</v>
      </c>
      <c r="M226" s="0" t="n">
        <v>20.028</v>
      </c>
      <c r="N226" s="0" t="n">
        <v>1.922</v>
      </c>
      <c r="O226" s="0" t="n">
        <v>0.01922</v>
      </c>
      <c r="P226" s="0" t="n">
        <v>0.01922</v>
      </c>
      <c r="R226" s="0" t="n">
        <v>19.5745</v>
      </c>
      <c r="S226" s="0" t="n">
        <v>2.426</v>
      </c>
      <c r="T226" s="0" t="n">
        <v>0.02426</v>
      </c>
      <c r="U226" s="0" t="n">
        <v>0.02426</v>
      </c>
      <c r="W226" s="0" t="n">
        <v>21.5842</v>
      </c>
      <c r="X226" s="0" t="n">
        <v>2.19</v>
      </c>
      <c r="Y226" s="0" t="n">
        <v>0.0219</v>
      </c>
      <c r="Z226" s="0" t="n">
        <v>0.02254</v>
      </c>
    </row>
    <row r="227" customFormat="false" ht="16" hidden="false" customHeight="false" outlineLevel="0" collapsed="false">
      <c r="A227" s="0" t="s">
        <v>713</v>
      </c>
      <c r="B227" s="64" t="s">
        <v>724</v>
      </c>
      <c r="C227" s="0" t="n">
        <v>22.4571</v>
      </c>
      <c r="D227" s="0" t="n">
        <v>2.259</v>
      </c>
      <c r="E227" s="0" t="n">
        <v>0.02259</v>
      </c>
      <c r="F227" s="0" t="n">
        <v>0.02307</v>
      </c>
      <c r="H227" s="0" t="n">
        <v>23.3052</v>
      </c>
      <c r="I227" s="0" t="n">
        <v>2.098</v>
      </c>
      <c r="J227" s="0" t="n">
        <v>0.02098</v>
      </c>
      <c r="K227" s="0" t="n">
        <v>0.02098</v>
      </c>
      <c r="M227" s="0" t="n">
        <v>23.088</v>
      </c>
      <c r="N227" s="0" t="n">
        <v>1.915</v>
      </c>
      <c r="O227" s="0" t="n">
        <v>0.01915</v>
      </c>
      <c r="P227" s="0" t="n">
        <v>0.01915</v>
      </c>
      <c r="R227" s="0" t="n">
        <v>22.6366</v>
      </c>
      <c r="S227" s="0" t="n">
        <v>2.409</v>
      </c>
      <c r="T227" s="0" t="n">
        <v>0.02409</v>
      </c>
      <c r="U227" s="0" t="n">
        <v>0.02409</v>
      </c>
      <c r="W227" s="0" t="n">
        <v>25.0777</v>
      </c>
      <c r="X227" s="0" t="n">
        <v>2.231</v>
      </c>
      <c r="Y227" s="0" t="n">
        <v>0.02231</v>
      </c>
      <c r="Z227" s="0" t="n">
        <v>0.02231</v>
      </c>
    </row>
    <row r="228" customFormat="false" ht="16" hidden="false" customHeight="false" outlineLevel="0" collapsed="false">
      <c r="A228" s="0" t="s">
        <v>713</v>
      </c>
      <c r="B228" s="64" t="s">
        <v>727</v>
      </c>
      <c r="C228" s="0" t="n">
        <v>2.0688</v>
      </c>
      <c r="D228" s="0" t="n">
        <v>2.218</v>
      </c>
      <c r="E228" s="0" t="n">
        <v>0.02218</v>
      </c>
      <c r="F228" s="0" t="n">
        <v>0.02218</v>
      </c>
      <c r="H228" s="0" t="n">
        <v>-2.5725</v>
      </c>
      <c r="I228" s="0" t="n">
        <v>2.37</v>
      </c>
      <c r="J228" s="0" t="n">
        <v>0.0237</v>
      </c>
      <c r="K228" s="0" t="n">
        <v>0.02509</v>
      </c>
      <c r="M228" s="0" t="n">
        <v>2.988</v>
      </c>
      <c r="N228" s="0" t="n">
        <v>2.017</v>
      </c>
      <c r="O228" s="0" t="n">
        <v>0.02017</v>
      </c>
      <c r="P228" s="0" t="n">
        <v>0.02049</v>
      </c>
      <c r="R228" s="0" t="n">
        <v>2.4717</v>
      </c>
      <c r="S228" s="0" t="n">
        <v>2.457</v>
      </c>
      <c r="T228" s="0" t="n">
        <v>0.02457</v>
      </c>
      <c r="U228" s="0" t="n">
        <v>0.02457</v>
      </c>
      <c r="W228" s="0" t="n">
        <v>2.2587</v>
      </c>
      <c r="X228" s="0" t="n">
        <v>2.179</v>
      </c>
      <c r="Y228" s="0" t="n">
        <v>0.02179</v>
      </c>
      <c r="Z228" s="0" t="n">
        <v>0.02179</v>
      </c>
    </row>
    <row r="229" customFormat="false" ht="16" hidden="false" customHeight="false" outlineLevel="0" collapsed="false">
      <c r="A229" s="0" t="s">
        <v>713</v>
      </c>
      <c r="B229" s="64" t="s">
        <v>733</v>
      </c>
      <c r="C229" s="0" t="n">
        <v>4.4499</v>
      </c>
      <c r="D229" s="0" t="n">
        <v>2.233</v>
      </c>
      <c r="E229" s="0" t="n">
        <v>0.02233</v>
      </c>
      <c r="F229" s="0" t="n">
        <v>0.02198</v>
      </c>
      <c r="H229" s="0" t="n">
        <v>0.423</v>
      </c>
      <c r="I229" s="0" t="n">
        <v>2.3</v>
      </c>
      <c r="J229" s="0" t="n">
        <v>0.023</v>
      </c>
      <c r="K229" s="0" t="n">
        <v>0.02374</v>
      </c>
      <c r="M229" s="0" t="n">
        <v>5.375</v>
      </c>
      <c r="N229" s="0" t="n">
        <v>2.001</v>
      </c>
      <c r="O229" s="0" t="n">
        <v>0.02001</v>
      </c>
      <c r="P229" s="0" t="n">
        <v>0.02001</v>
      </c>
      <c r="R229" s="0" t="n">
        <v>4.8502</v>
      </c>
      <c r="S229" s="0" t="n">
        <v>2.432</v>
      </c>
      <c r="T229" s="0" t="n">
        <v>0.02432</v>
      </c>
      <c r="U229" s="0" t="n">
        <v>0.02432</v>
      </c>
      <c r="W229" s="0" t="n">
        <v>4.9172</v>
      </c>
      <c r="X229" s="0" t="n">
        <v>2.152</v>
      </c>
      <c r="Y229" s="0" t="n">
        <v>0.02152</v>
      </c>
      <c r="Z229" s="0" t="n">
        <v>0.02152</v>
      </c>
    </row>
    <row r="230" customFormat="false" ht="16" hidden="false" customHeight="false" outlineLevel="0" collapsed="false">
      <c r="A230" s="0" t="s">
        <v>713</v>
      </c>
      <c r="B230" s="64" t="s">
        <v>737</v>
      </c>
      <c r="C230" s="0" t="n">
        <v>7.3564</v>
      </c>
      <c r="D230" s="0" t="n">
        <v>2.24</v>
      </c>
      <c r="E230" s="0" t="n">
        <v>0.0224</v>
      </c>
      <c r="F230" s="0" t="n">
        <v>0.0224</v>
      </c>
      <c r="H230" s="0" t="n">
        <v>4.0961</v>
      </c>
      <c r="I230" s="0" t="n">
        <v>2.257</v>
      </c>
      <c r="J230" s="0" t="n">
        <v>0.02257</v>
      </c>
      <c r="K230" s="0" t="n">
        <v>0.02336</v>
      </c>
      <c r="M230" s="0" t="n">
        <v>8.179</v>
      </c>
      <c r="N230" s="0" t="n">
        <v>1.966</v>
      </c>
      <c r="O230" s="0" t="n">
        <v>0.01966</v>
      </c>
      <c r="P230" s="0" t="n">
        <v>0.01966</v>
      </c>
      <c r="R230" s="0" t="n">
        <v>7.7046</v>
      </c>
      <c r="S230" s="0" t="n">
        <v>2.399</v>
      </c>
      <c r="T230" s="0" t="n">
        <v>0.02399</v>
      </c>
      <c r="U230" s="0" t="n">
        <v>0.02382</v>
      </c>
      <c r="W230" s="0" t="n">
        <v>8.1826</v>
      </c>
      <c r="X230" s="0" t="n">
        <v>2.143</v>
      </c>
      <c r="Y230" s="0" t="n">
        <v>0.02143</v>
      </c>
      <c r="Z230" s="0" t="n">
        <v>0.02214</v>
      </c>
    </row>
    <row r="231" customFormat="false" ht="16" hidden="false" customHeight="false" outlineLevel="0" collapsed="false">
      <c r="A231" s="0" t="s">
        <v>713</v>
      </c>
      <c r="B231" s="64" t="s">
        <v>740</v>
      </c>
      <c r="C231" s="0" t="n">
        <v>14.3533</v>
      </c>
      <c r="D231" s="0" t="n">
        <v>2.237</v>
      </c>
      <c r="E231" s="0" t="n">
        <v>0.02237</v>
      </c>
      <c r="F231" s="0" t="n">
        <v>0.02237</v>
      </c>
      <c r="H231" s="0" t="n">
        <v>12.9867</v>
      </c>
      <c r="I231" s="0" t="n">
        <v>2.165</v>
      </c>
      <c r="J231" s="0" t="n">
        <v>0.02165</v>
      </c>
      <c r="K231" s="0" t="n">
        <v>0.02165</v>
      </c>
      <c r="M231" s="0" t="n">
        <v>15.087</v>
      </c>
      <c r="N231" s="0" t="n">
        <v>1.92</v>
      </c>
      <c r="O231" s="0" t="n">
        <v>0.0192</v>
      </c>
      <c r="P231" s="0" t="n">
        <v>0.0192</v>
      </c>
      <c r="R231" s="0" t="n">
        <v>14.6388</v>
      </c>
      <c r="S231" s="0" t="n">
        <v>2.438</v>
      </c>
      <c r="T231" s="0" t="n">
        <v>0.02438</v>
      </c>
      <c r="U231" s="0" t="n">
        <v>0.02438</v>
      </c>
      <c r="W231" s="0" t="n">
        <v>15.9523</v>
      </c>
      <c r="X231" s="0" t="n">
        <v>2.197</v>
      </c>
      <c r="Y231" s="0" t="n">
        <v>0.02197</v>
      </c>
      <c r="Z231" s="0" t="n">
        <v>0.02197</v>
      </c>
    </row>
    <row r="232" customFormat="false" ht="16" hidden="false" customHeight="false" outlineLevel="0" collapsed="false">
      <c r="A232" s="0" t="s">
        <v>713</v>
      </c>
      <c r="B232" s="64" t="s">
        <v>743</v>
      </c>
      <c r="C232" s="0" t="n">
        <v>15.0702</v>
      </c>
      <c r="D232" s="0" t="n">
        <v>2.213</v>
      </c>
      <c r="E232" s="0" t="n">
        <v>0.02213</v>
      </c>
      <c r="F232" s="0" t="n">
        <v>0.02254</v>
      </c>
      <c r="H232" s="0" t="n">
        <v>13.9088</v>
      </c>
      <c r="I232" s="0" t="n">
        <v>2.144</v>
      </c>
      <c r="J232" s="0" t="n">
        <v>0.02144</v>
      </c>
      <c r="K232" s="0" t="n">
        <v>0.02144</v>
      </c>
      <c r="M232" s="0" t="n">
        <v>15.793</v>
      </c>
      <c r="N232" s="0" t="n">
        <v>1.915</v>
      </c>
      <c r="O232" s="0" t="n">
        <v>0.01915</v>
      </c>
      <c r="P232" s="0" t="n">
        <v>0.01915</v>
      </c>
      <c r="R232" s="0" t="n">
        <v>15.2921</v>
      </c>
      <c r="S232" s="0" t="n">
        <v>2.419</v>
      </c>
      <c r="T232" s="0" t="n">
        <v>0.02419</v>
      </c>
      <c r="U232" s="0" t="n">
        <v>0.02419</v>
      </c>
      <c r="W232" s="0" t="n">
        <v>16.7289</v>
      </c>
      <c r="X232" s="0" t="n">
        <v>2.163</v>
      </c>
      <c r="Y232" s="0" t="n">
        <v>0.02163</v>
      </c>
      <c r="Z232" s="0" t="n">
        <v>0.02123</v>
      </c>
    </row>
    <row r="233" customFormat="false" ht="16" hidden="false" customHeight="false" outlineLevel="0" collapsed="false">
      <c r="A233" s="0" t="s">
        <v>713</v>
      </c>
      <c r="B233" s="64" t="s">
        <v>745</v>
      </c>
      <c r="C233" s="0" t="n">
        <v>4.5579</v>
      </c>
      <c r="D233" s="0" t="n">
        <v>2.24</v>
      </c>
      <c r="E233" s="0" t="n">
        <v>0.0224</v>
      </c>
      <c r="F233" s="0" t="n">
        <v>0.02181</v>
      </c>
      <c r="H233" s="0" t="n">
        <v>0.5317</v>
      </c>
      <c r="I233" s="0" t="n">
        <v>2.31</v>
      </c>
      <c r="J233" s="0" t="n">
        <v>0.0231</v>
      </c>
      <c r="K233" s="0" t="n">
        <v>0.02441</v>
      </c>
      <c r="M233" s="0" t="n">
        <v>5.449</v>
      </c>
      <c r="N233" s="0" t="n">
        <v>2.003</v>
      </c>
      <c r="O233" s="0" t="n">
        <v>0.02003</v>
      </c>
      <c r="P233" s="0" t="n">
        <v>0.02003</v>
      </c>
      <c r="R233" s="0" t="n">
        <v>4.9951</v>
      </c>
      <c r="S233" s="0" t="n">
        <v>2.448</v>
      </c>
      <c r="T233" s="0" t="n">
        <v>0.02448</v>
      </c>
      <c r="U233" s="0" t="n">
        <v>0.02448</v>
      </c>
      <c r="W233" s="0" t="n">
        <v>5.0468</v>
      </c>
      <c r="X233" s="0" t="n">
        <v>2.179</v>
      </c>
      <c r="Y233" s="0" t="n">
        <v>0.02179</v>
      </c>
      <c r="Z233" s="0" t="n">
        <v>0.02179</v>
      </c>
    </row>
    <row r="234" customFormat="false" ht="16" hidden="false" customHeight="false" outlineLevel="0" collapsed="false">
      <c r="A234" s="0" t="s">
        <v>713</v>
      </c>
      <c r="B234" s="64" t="s">
        <v>749</v>
      </c>
      <c r="C234" s="0" t="n">
        <v>-0.6149</v>
      </c>
      <c r="D234" s="0" t="n">
        <v>2.224</v>
      </c>
      <c r="E234" s="0" t="n">
        <v>0.02224</v>
      </c>
      <c r="F234" s="0" t="n">
        <v>0.02224</v>
      </c>
      <c r="H234" s="0" t="n">
        <v>-6.0335</v>
      </c>
      <c r="I234" s="0" t="n">
        <v>2.405</v>
      </c>
      <c r="J234" s="0" t="n">
        <v>0.02405</v>
      </c>
      <c r="K234" s="0" t="n">
        <v>0.02619</v>
      </c>
      <c r="M234" s="0" t="n">
        <v>0.363</v>
      </c>
      <c r="N234" s="0" t="n">
        <v>2.028</v>
      </c>
      <c r="O234" s="0" t="n">
        <v>0.02028</v>
      </c>
      <c r="P234" s="0" t="n">
        <v>0.02312</v>
      </c>
      <c r="R234" s="0" t="n">
        <v>-0.1654</v>
      </c>
      <c r="S234" s="0" t="n">
        <v>2.424</v>
      </c>
      <c r="T234" s="0" t="n">
        <v>0.02424</v>
      </c>
      <c r="U234" s="0" t="n">
        <v>0.02425</v>
      </c>
      <c r="W234" s="0" t="n">
        <v>-0.7561</v>
      </c>
      <c r="X234" s="0" t="n">
        <v>2.166</v>
      </c>
      <c r="Y234" s="0" t="n">
        <v>0.02166</v>
      </c>
      <c r="Z234" s="0" t="n">
        <v>0.02218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1" activeCellId="0" sqref="A231"/>
    </sheetView>
  </sheetViews>
  <sheetFormatPr defaultColWidth="10.51171875" defaultRowHeight="16" zeroHeight="false" outlineLevelRow="0" outlineLevelCol="0"/>
  <cols>
    <col collapsed="false" customWidth="true" hidden="false" outlineLevel="0" max="1" min="1" style="0" width="37"/>
  </cols>
  <sheetData>
    <row r="1" customFormat="false" ht="16" hidden="false" customHeight="false" outlineLevel="0" collapsed="false">
      <c r="A1" s="23" t="s">
        <v>148</v>
      </c>
      <c r="B1" s="78" t="n">
        <f aca="false">AVERAGE([4]woa18_decav_s00mn01!$W$6091:$Y$6091)</f>
        <v>33.8536666666667</v>
      </c>
    </row>
    <row r="2" customFormat="false" ht="16" hidden="false" customHeight="false" outlineLevel="0" collapsed="false">
      <c r="A2" s="23" t="s">
        <v>153</v>
      </c>
      <c r="B2" s="78" t="n">
        <f aca="false">AVERAGE([4]woa18_decav_s00mn01!$C$6092:$AA$6092)</f>
        <v>33.86156</v>
      </c>
    </row>
    <row r="3" customFormat="false" ht="16" hidden="false" customHeight="false" outlineLevel="0" collapsed="false">
      <c r="A3" s="23" t="s">
        <v>317</v>
      </c>
      <c r="B3" s="78" t="n">
        <f aca="false">AVERAGE([4]woa18_decav_s00mn01!$C$6160:$AM$6160)</f>
        <v>33.969972972973</v>
      </c>
    </row>
    <row r="4" customFormat="false" ht="16" hidden="false" customHeight="false" outlineLevel="0" collapsed="false">
      <c r="A4" s="64" t="s">
        <v>694</v>
      </c>
      <c r="B4" s="78" t="n">
        <f aca="false">AVERAGE([4]woa18_decav_s00mn01!$C$7492:$AA$7492)</f>
        <v>33.88864</v>
      </c>
    </row>
    <row r="5" customFormat="false" ht="16" hidden="false" customHeight="false" outlineLevel="0" collapsed="false">
      <c r="A5" s="64" t="s">
        <v>606</v>
      </c>
      <c r="B5" s="78" t="n">
        <f aca="false">AVERAGE([4]woa18_decav_s00mn01!$W$8990:$Y$8990)</f>
        <v>34.341</v>
      </c>
    </row>
    <row r="6" customFormat="false" ht="16" hidden="false" customHeight="false" outlineLevel="0" collapsed="false">
      <c r="A6" s="64" t="s">
        <v>654</v>
      </c>
      <c r="B6" s="78" t="n">
        <f aca="false">AVERAGE([4]woa18_decav_s00mn01!$C$8990:$AM$8990)</f>
        <v>34.3336756756757</v>
      </c>
    </row>
    <row r="7" customFormat="false" ht="16" hidden="false" customHeight="false" outlineLevel="0" collapsed="false">
      <c r="A7" s="64" t="s">
        <v>667</v>
      </c>
      <c r="B7" s="78" t="n">
        <f aca="false">AVERAGE([4]woa18_decav_s00mn01!$AA$8990:$AM$8990)</f>
        <v>34.3725384615385</v>
      </c>
    </row>
    <row r="8" customFormat="false" ht="16" hidden="false" customHeight="false" outlineLevel="0" collapsed="false">
      <c r="A8" s="64" t="s">
        <v>679</v>
      </c>
      <c r="B8" s="78" t="n">
        <f aca="false">AVERAGE([4]woa18_decav_s00mn01!$W$9246:$Y$9246)</f>
        <v>34.763</v>
      </c>
    </row>
    <row r="9" customFormat="false" ht="16" hidden="false" customHeight="false" outlineLevel="0" collapsed="false">
      <c r="A9" s="64" t="s">
        <v>749</v>
      </c>
      <c r="B9" s="78" t="n">
        <f aca="false">AVERAGE([4]woa18_decav_s00mn01!$AP$9363:$AQ$9363)</f>
        <v>34.368</v>
      </c>
    </row>
    <row r="10" customFormat="false" ht="16" hidden="false" customHeight="false" outlineLevel="0" collapsed="false">
      <c r="A10" s="64" t="s">
        <v>745</v>
      </c>
      <c r="B10" s="78" t="n">
        <f aca="false">AVERAGE([4]woa18_decav_s00mn01!$CF$9401)</f>
        <v>34.693</v>
      </c>
    </row>
    <row r="11" customFormat="false" ht="16" hidden="false" customHeight="false" outlineLevel="0" collapsed="false">
      <c r="A11" s="23" t="s">
        <v>337</v>
      </c>
      <c r="B11" s="78" t="n">
        <f aca="false">AVERAGE([4]woa18_decav_s00mn01!$C$10223:$M$10223)</f>
        <v>35.1762727272727</v>
      </c>
    </row>
    <row r="12" customFormat="false" ht="16" hidden="false" customHeight="false" outlineLevel="0" collapsed="false">
      <c r="A12" s="23" t="s">
        <v>506</v>
      </c>
      <c r="B12" s="78" t="n">
        <f aca="false">AVERAGE([4]woa18_decav_s00mn01!$C$13984:$M$13984)</f>
        <v>36.0368181818182</v>
      </c>
    </row>
    <row r="13" customFormat="false" ht="16" hidden="false" customHeight="false" outlineLevel="0" collapsed="false">
      <c r="A13" s="23" t="s">
        <v>340</v>
      </c>
      <c r="B13" s="78" t="n">
        <f aca="false">AVERAGE([4]woa18_decav_s00mn01!$C$14052:$M$14052)</f>
        <v>35.4604545454546</v>
      </c>
    </row>
    <row r="14" customFormat="false" ht="16" hidden="false" customHeight="false" outlineLevel="0" collapsed="false">
      <c r="A14" s="64" t="s">
        <v>589</v>
      </c>
      <c r="B14" s="78" t="n">
        <f aca="false">AVERAGE([4]woa18_decav_s00mn01!$G$14052:$Y$14052)</f>
        <v>35.5302105263158</v>
      </c>
    </row>
    <row r="15" customFormat="false" ht="16" hidden="false" customHeight="false" outlineLevel="0" collapsed="false">
      <c r="A15" s="64" t="s">
        <v>685</v>
      </c>
      <c r="B15" s="78" t="n">
        <f aca="false">AVERAGE([4]woa18_decav_s00mn01!$C$14117:$M$14117)</f>
        <v>35.5124545454545</v>
      </c>
    </row>
    <row r="16" customFormat="false" ht="16" hidden="false" customHeight="false" outlineLevel="0" collapsed="false">
      <c r="A16" s="64" t="s">
        <v>704</v>
      </c>
      <c r="B16" s="78" t="n">
        <f aca="false">AVERAGE([4]woa18_decav_s00mn01!$G$14117:$Y$14117)</f>
        <v>35.588947368421</v>
      </c>
    </row>
    <row r="17" customFormat="false" ht="16" hidden="false" customHeight="false" outlineLevel="0" collapsed="false">
      <c r="A17" s="64" t="s">
        <v>708</v>
      </c>
      <c r="B17" s="78" t="n">
        <f aca="false">AVERAGE([4]woa18_decav_s00mn01!$G$14117:$W$14117)</f>
        <v>35.5772941176471</v>
      </c>
    </row>
    <row r="18" customFormat="false" ht="16" hidden="false" customHeight="false" outlineLevel="0" collapsed="false">
      <c r="A18" s="64" t="s">
        <v>615</v>
      </c>
      <c r="B18" s="78" t="n">
        <f aca="false">AVERAGE([4]woa18_decav_s00mn01!$W$18227:$AA$18227)</f>
        <v>36.1932</v>
      </c>
    </row>
    <row r="19" customFormat="false" ht="16" hidden="false" customHeight="false" outlineLevel="0" collapsed="false">
      <c r="A19" s="64" t="s">
        <v>625</v>
      </c>
      <c r="B19" s="78" t="n">
        <f aca="false">AVERAGE([4]woa18_decav_s00mn01!$M$18227:$Y$18227)</f>
        <v>35.9784615384615</v>
      </c>
    </row>
    <row r="20" customFormat="false" ht="16" hidden="false" customHeight="false" outlineLevel="0" collapsed="false">
      <c r="A20" s="64" t="s">
        <v>639</v>
      </c>
      <c r="B20" s="78" t="n">
        <f aca="false">AVERAGE([4]woa18_decav_s00mn01!$Y$18227:$AA$18227)</f>
        <v>36.1966666666667</v>
      </c>
    </row>
    <row r="21" customFormat="false" ht="16" hidden="false" customHeight="false" outlineLevel="0" collapsed="false">
      <c r="A21" s="64" t="s">
        <v>642</v>
      </c>
      <c r="B21" s="78" t="n">
        <f aca="false">AVERAGE([4]woa18_decav_s00mn01!$R$18227:$Y$18227)</f>
        <v>36.104125</v>
      </c>
    </row>
    <row r="22" customFormat="false" ht="16" hidden="false" customHeight="false" outlineLevel="0" collapsed="false">
      <c r="A22" s="64" t="s">
        <v>649</v>
      </c>
      <c r="B22" s="78" t="n">
        <f aca="false">AVERAGE([4]woa18_decav_s00mn01!$R$18227:$Y$18227)</f>
        <v>36.104125</v>
      </c>
    </row>
    <row r="23" customFormat="false" ht="16" hidden="false" customHeight="false" outlineLevel="0" collapsed="false">
      <c r="A23" s="64" t="s">
        <v>659</v>
      </c>
      <c r="B23" s="78" t="n">
        <f aca="false">AVERAGE([4]woa18_decav_s00mn01!$M$18227:$AA$18227)</f>
        <v>36.0018666666667</v>
      </c>
    </row>
    <row r="24" customFormat="false" ht="16" hidden="false" customHeight="false" outlineLevel="0" collapsed="false">
      <c r="A24" s="64" t="s">
        <v>668</v>
      </c>
      <c r="B24" s="78" t="n">
        <f aca="false">AVERAGE([4]woa18_decav_s00mn01!$X$18227:$AE$18227)</f>
        <v>35.87975</v>
      </c>
    </row>
    <row r="25" customFormat="false" ht="16" hidden="false" customHeight="false" outlineLevel="0" collapsed="false">
      <c r="A25" s="23" t="s">
        <v>344</v>
      </c>
      <c r="B25" s="78" t="n">
        <f aca="false">AVERAGE([4]woa18_decav_s00mn01!$M$18941:$W$18941)</f>
        <v>35.1836363636364</v>
      </c>
    </row>
    <row r="26" customFormat="false" ht="16" hidden="false" customHeight="false" outlineLevel="0" collapsed="false">
      <c r="A26" s="64" t="s">
        <v>628</v>
      </c>
      <c r="B26" s="78" t="n">
        <f aca="false">AVERAGE([4]woa18_decav_s00mn01!$C$18941:$I$18941)</f>
        <v>35.0202857142857</v>
      </c>
    </row>
    <row r="27" customFormat="false" ht="16" hidden="false" customHeight="false" outlineLevel="0" collapsed="false">
      <c r="A27" s="64" t="s">
        <v>636</v>
      </c>
      <c r="B27" s="78" t="n">
        <f aca="false">AVERAGE([4]woa18_decav_s00mn01!$C$18941:$AA$18941)</f>
        <v>35.12916</v>
      </c>
    </row>
    <row r="28" customFormat="false" ht="16" hidden="false" customHeight="false" outlineLevel="0" collapsed="false">
      <c r="A28" s="64" t="s">
        <v>641</v>
      </c>
      <c r="B28" s="78" t="n">
        <f aca="false">AVERAGE([4]woa18_decav_s00mn01!$W$18941:$X$18941)</f>
        <v>35.197</v>
      </c>
    </row>
    <row r="29" customFormat="false" ht="16" hidden="false" customHeight="false" outlineLevel="0" collapsed="false">
      <c r="A29" s="64" t="s">
        <v>644</v>
      </c>
      <c r="B29" s="78" t="n">
        <f aca="false">AVERAGE([4]woa18_decav_s00mn01!$M$18941:$W$18941)</f>
        <v>35.1836363636364</v>
      </c>
    </row>
    <row r="30" customFormat="false" ht="16" hidden="false" customHeight="false" outlineLevel="0" collapsed="false">
      <c r="A30" s="64" t="s">
        <v>650</v>
      </c>
      <c r="B30" s="78" t="n">
        <f aca="false">AVERAGE([4]woa18_decav_s00mn01!$M$18941:$W$18941)</f>
        <v>35.1836363636364</v>
      </c>
    </row>
    <row r="31" customFormat="false" ht="16" hidden="false" customHeight="false" outlineLevel="0" collapsed="false">
      <c r="A31" s="64" t="s">
        <v>661</v>
      </c>
      <c r="B31" s="78" t="n">
        <f aca="false">AVERAGE([4]woa18_decav_s00mn01!$G$18941:$Y$18941)</f>
        <v>35.1511052631579</v>
      </c>
    </row>
    <row r="32" customFormat="false" ht="16" hidden="false" customHeight="false" outlineLevel="0" collapsed="false">
      <c r="A32" s="64" t="s">
        <v>663</v>
      </c>
      <c r="B32" s="78" t="n">
        <f aca="false">AVERAGE([4]woa18_decav_s00mn01!$G$18941:$W$18941)</f>
        <v>35.1445294117647</v>
      </c>
    </row>
    <row r="33" customFormat="false" ht="16" hidden="false" customHeight="false" outlineLevel="0" collapsed="false">
      <c r="A33" s="64" t="s">
        <v>669</v>
      </c>
      <c r="B33" s="78" t="n">
        <f aca="false">AVERAGE([4]woa18_decav_s00mn01!$X$18941:$AE$18941)</f>
        <v>35.12125</v>
      </c>
    </row>
    <row r="34" customFormat="false" ht="16" hidden="false" customHeight="false" outlineLevel="0" collapsed="false">
      <c r="A34" s="23" t="s">
        <v>331</v>
      </c>
      <c r="B34" s="78" t="n">
        <f aca="false">AVERAGE([4]woa18_decav_s00mn01!$C$20650:$M$20650)</f>
        <v>35.0386363636364</v>
      </c>
    </row>
    <row r="35" customFormat="false" ht="16" hidden="false" customHeight="false" outlineLevel="0" collapsed="false">
      <c r="A35" s="23" t="s">
        <v>334</v>
      </c>
      <c r="B35" s="78" t="n">
        <f aca="false">AVERAGE([4]woa18_decav_s00mn01!$M$20650:$W$20650)</f>
        <v>35.3935454545454</v>
      </c>
    </row>
    <row r="36" customFormat="false" ht="16" hidden="false" customHeight="false" outlineLevel="0" collapsed="false">
      <c r="A36" s="23" t="s">
        <v>334</v>
      </c>
      <c r="B36" s="78" t="n">
        <f aca="false">AVERAGE([4]woa18_decav_s00mn01!$M$20650:$W$20650)</f>
        <v>35.3935454545454</v>
      </c>
    </row>
    <row r="37" customFormat="false" ht="16" hidden="false" customHeight="false" outlineLevel="0" collapsed="false">
      <c r="A37" s="64" t="s">
        <v>733</v>
      </c>
      <c r="B37" s="78" t="n">
        <f aca="false">[4]woa18_decav_s00mn01!$AW$20763</f>
        <v>34.568</v>
      </c>
    </row>
    <row r="38" customFormat="false" ht="16" hidden="false" customHeight="false" outlineLevel="0" collapsed="false">
      <c r="A38" s="64" t="s">
        <v>737</v>
      </c>
      <c r="B38" s="78" t="n">
        <f aca="false">AVERAGE([4]woa18_decav_s00mn01!$AN$20763:$AO$20763)</f>
        <v>34.4845</v>
      </c>
    </row>
    <row r="39" customFormat="false" ht="16" hidden="false" customHeight="false" outlineLevel="0" collapsed="false">
      <c r="A39" s="23" t="s">
        <v>348</v>
      </c>
      <c r="B39" s="78" t="n">
        <f aca="false">AVERAGE([4]woa18_decav_s00mn01!$G$21160:$W$21160)</f>
        <v>34.9564117647059</v>
      </c>
    </row>
    <row r="40" customFormat="false" ht="16" hidden="false" customHeight="false" outlineLevel="0" collapsed="false">
      <c r="A40" s="23" t="s">
        <v>351</v>
      </c>
      <c r="B40" s="78" t="n">
        <f aca="false">AVERAGE([4]woa18_decav_s00mn01!$X$21160:$AE$21160)</f>
        <v>35.2445</v>
      </c>
    </row>
    <row r="41" customFormat="false" ht="16" hidden="false" customHeight="false" outlineLevel="0" collapsed="false">
      <c r="A41" s="23" t="s">
        <v>353</v>
      </c>
      <c r="B41" s="78" t="n">
        <f aca="false">AVERAGE([4]woa18_decav_s00mn01!$H$21160:$X$21160)</f>
        <v>35.0083529411765</v>
      </c>
    </row>
    <row r="42" customFormat="false" ht="16" hidden="false" customHeight="false" outlineLevel="0" collapsed="false">
      <c r="A42" s="23" t="s">
        <v>355</v>
      </c>
      <c r="B42" s="78" t="n">
        <f aca="false">AVERAGE([4]woa18_decav_s00mn01!$W$21160:$X$21160)</f>
        <v>35.4135</v>
      </c>
    </row>
    <row r="43" customFormat="false" ht="32" hidden="false" customHeight="false" outlineLevel="0" collapsed="false">
      <c r="A43" s="23" t="s">
        <v>221</v>
      </c>
      <c r="B43" s="78" t="n">
        <f aca="false">AVERAGE([4]woa18_decav_s00mn01!$M$21417:$W$21417)</f>
        <v>35.1515454545455</v>
      </c>
    </row>
    <row r="44" customFormat="false" ht="16" hidden="false" customHeight="false" outlineLevel="0" collapsed="false">
      <c r="A44" s="64" t="s">
        <v>240</v>
      </c>
      <c r="B44" s="78" t="n">
        <f aca="false">AVERAGE([4]woa18_decav_s00mn01!$M$21417:$W$21417)</f>
        <v>35.1515454545455</v>
      </c>
    </row>
    <row r="45" customFormat="false" ht="16" hidden="false" customHeight="false" outlineLevel="0" collapsed="false">
      <c r="A45" s="64" t="s">
        <v>225</v>
      </c>
      <c r="B45" s="78" t="n">
        <f aca="false">AVERAGE([4]woa18_decav_s00mn01!$C$21417:$Y$21417)</f>
        <v>34.9421739130435</v>
      </c>
    </row>
    <row r="46" customFormat="false" ht="16" hidden="false" customHeight="false" outlineLevel="0" collapsed="false">
      <c r="A46" s="64" t="s">
        <v>243</v>
      </c>
      <c r="B46" s="78" t="n">
        <f aca="false">AVERAGE([4]woa18_decav_s00mn01!$C$21417:$Y$21417)</f>
        <v>34.9421739130435</v>
      </c>
    </row>
    <row r="47" customFormat="false" ht="16" hidden="false" customHeight="false" outlineLevel="0" collapsed="false">
      <c r="A47" s="64" t="s">
        <v>231</v>
      </c>
      <c r="B47" s="78" t="n">
        <f aca="false">AVERAGE([4]woa18_decav_s00mn01!$X$21417:$AE$21417)</f>
        <v>35.219875</v>
      </c>
    </row>
    <row r="48" customFormat="false" ht="16" hidden="false" customHeight="false" outlineLevel="0" collapsed="false">
      <c r="A48" s="64" t="s">
        <v>236</v>
      </c>
      <c r="B48" s="78" t="n">
        <f aca="false">AVERAGE([4]woa18_decav_s00mn01!$H$21417:$X$21417)</f>
        <v>35.0327647058824</v>
      </c>
    </row>
    <row r="49" customFormat="false" ht="16" hidden="false" customHeight="false" outlineLevel="0" collapsed="false">
      <c r="A49" s="64" t="s">
        <v>238</v>
      </c>
      <c r="B49" s="78" t="n">
        <f aca="false">AVERAGE([4]woa18_decav_s00mn01!$W$21417:$X$21417)</f>
        <v>35.4555</v>
      </c>
    </row>
    <row r="50" customFormat="false" ht="16" hidden="false" customHeight="false" outlineLevel="0" collapsed="false">
      <c r="A50" s="64" t="s">
        <v>245</v>
      </c>
      <c r="B50" s="78" t="n">
        <f aca="false">AVERAGE([4]woa18_decav_s00mn01!$W$21417:$X$21417)</f>
        <v>35.4555</v>
      </c>
    </row>
    <row r="51" customFormat="false" ht="16" hidden="false" customHeight="false" outlineLevel="0" collapsed="false">
      <c r="A51" s="23" t="s">
        <v>516</v>
      </c>
      <c r="B51" s="0" t="n">
        <v>34.46</v>
      </c>
    </row>
    <row r="52" customFormat="false" ht="16" hidden="false" customHeight="false" outlineLevel="0" collapsed="false">
      <c r="A52" s="23" t="s">
        <v>519</v>
      </c>
      <c r="B52" s="78" t="n">
        <f aca="false">AVERAGE([4]woa18_decav_s00mn01!$C$21668:$M$21668)</f>
        <v>34.5849090909091</v>
      </c>
    </row>
    <row r="53" customFormat="false" ht="32" hidden="false" customHeight="false" outlineLevel="0" collapsed="false">
      <c r="A53" s="23" t="s">
        <v>256</v>
      </c>
      <c r="B53" s="78" t="n">
        <f aca="false">AVERAGE([4]woa18_decav_s00mn01!$M$21679:$W$21679)</f>
        <v>35.0413636363636</v>
      </c>
    </row>
    <row r="54" customFormat="false" ht="16" hidden="false" customHeight="false" outlineLevel="0" collapsed="false">
      <c r="A54" s="64" t="s">
        <v>259</v>
      </c>
      <c r="B54" s="78" t="n">
        <f aca="false">AVERAGE([4]woa18_decav_s00mn01!$H$21679:$X$21679)</f>
        <v>34.9342352941176</v>
      </c>
    </row>
    <row r="55" customFormat="false" ht="16" hidden="false" customHeight="false" outlineLevel="0" collapsed="false">
      <c r="A55" s="64" t="s">
        <v>261</v>
      </c>
      <c r="B55" s="78" t="n">
        <f aca="false">AVERAGE([4]woa18_decav_s00mn01!$W$21679:$X$21679)</f>
        <v>35.389</v>
      </c>
    </row>
    <row r="56" customFormat="false" ht="16" hidden="false" customHeight="false" outlineLevel="0" collapsed="false">
      <c r="A56" s="64" t="s">
        <v>646</v>
      </c>
      <c r="B56" s="78" t="n">
        <f aca="false">AVERAGE([4]woa18_decav_s00mn01!$R$21679:$Y$21679)</f>
        <v>35.26325</v>
      </c>
    </row>
    <row r="57" customFormat="false" ht="16" hidden="false" customHeight="false" outlineLevel="0" collapsed="false">
      <c r="A57" s="64" t="s">
        <v>247</v>
      </c>
      <c r="B57" s="78" t="n">
        <f aca="false">AVERAGE([4]woa18_decav_s00mn01!$M$21946:$W$21946)</f>
        <v>34.9866363636364</v>
      </c>
    </row>
    <row r="58" customFormat="false" ht="16" hidden="false" customHeight="false" outlineLevel="0" collapsed="false">
      <c r="A58" s="64" t="s">
        <v>250</v>
      </c>
      <c r="B58" s="78" t="n">
        <f aca="false">AVERAGE([4]woa18_decav_s00mn01!$C$21946:$Y$21946)</f>
        <v>34.8092608695652</v>
      </c>
    </row>
    <row r="59" customFormat="false" ht="16" hidden="false" customHeight="false" outlineLevel="0" collapsed="false">
      <c r="A59" s="64" t="s">
        <v>252</v>
      </c>
      <c r="B59" s="78" t="n">
        <f aca="false">AVERAGE([4]woa18_decav_s00mn01!$X$21946:$AE$21946)</f>
        <v>35.119875</v>
      </c>
    </row>
    <row r="60" customFormat="false" ht="16" hidden="false" customHeight="false" outlineLevel="0" collapsed="false">
      <c r="A60" s="64" t="s">
        <v>254</v>
      </c>
      <c r="B60" s="78" t="n">
        <f aca="false">AVERAGE([4]woa18_decav_s00mn01!$W$21946:$X$21946)</f>
        <v>35.3015</v>
      </c>
    </row>
    <row r="61" customFormat="false" ht="16" hidden="false" customHeight="false" outlineLevel="0" collapsed="false">
      <c r="A61" s="23" t="s">
        <v>206</v>
      </c>
      <c r="B61" s="78" t="n">
        <f aca="false">AVERAGE([4]woa18_decav_s00mn01!$C$21992:$M$21992)</f>
        <v>35.1607272727273</v>
      </c>
    </row>
    <row r="62" customFormat="false" ht="16" hidden="false" customHeight="false" outlineLevel="0" collapsed="false">
      <c r="A62" s="23" t="s">
        <v>206</v>
      </c>
      <c r="B62" s="78" t="n">
        <f aca="false">AVERAGE([4]woa18_decav_s00mn01!$C$21992:$M$21992)</f>
        <v>35.1607272727273</v>
      </c>
    </row>
    <row r="63" customFormat="false" ht="16" hidden="false" customHeight="false" outlineLevel="0" collapsed="false">
      <c r="A63" s="23" t="s">
        <v>211</v>
      </c>
      <c r="B63" s="78" t="n">
        <f aca="false">AVERAGE([4]woa18_decav_s00mn01!$M$21992:$W$21992)</f>
        <v>35.187</v>
      </c>
    </row>
    <row r="64" customFormat="false" ht="16" hidden="false" customHeight="false" outlineLevel="0" collapsed="false">
      <c r="A64" s="23" t="s">
        <v>211</v>
      </c>
      <c r="B64" s="78" t="n">
        <f aca="false">AVERAGE([4]woa18_decav_s00mn01!$M$21992:$W$21992)</f>
        <v>35.187</v>
      </c>
    </row>
    <row r="65" customFormat="false" ht="16" hidden="false" customHeight="false" outlineLevel="0" collapsed="false">
      <c r="A65" s="64" t="s">
        <v>284</v>
      </c>
      <c r="B65" s="78" t="n">
        <f aca="false">AVERAGE([4]woa18_decav_s00mn01!$M$22118:$W$22118)</f>
        <v>35.7684545454545</v>
      </c>
    </row>
    <row r="66" customFormat="false" ht="16" hidden="false" customHeight="false" outlineLevel="0" collapsed="false">
      <c r="A66" s="64" t="s">
        <v>287</v>
      </c>
      <c r="B66" s="78" t="n">
        <f aca="false">AVERAGE([4]woa18_decav_s00mn01!$X$22118:$AE$22118)</f>
        <v>35.344125</v>
      </c>
    </row>
    <row r="67" customFormat="false" ht="16" hidden="false" customHeight="false" outlineLevel="0" collapsed="false">
      <c r="A67" s="64" t="s">
        <v>289</v>
      </c>
      <c r="B67" s="78" t="n">
        <f aca="false">AVERAGE([4]woa18_decav_s00mn01!$W$22118:$X$22118)</f>
        <v>35.6075</v>
      </c>
    </row>
    <row r="68" customFormat="false" ht="16" hidden="false" customHeight="false" outlineLevel="0" collapsed="false">
      <c r="A68" s="23" t="s">
        <v>441</v>
      </c>
      <c r="B68" s="78" t="n">
        <f aca="false">AVERAGE([4]woa18_decav_s00mn01!$M$22218:$W$22218)</f>
        <v>35.0936363636364</v>
      </c>
    </row>
    <row r="69" customFormat="false" ht="16" hidden="false" customHeight="false" outlineLevel="0" collapsed="false">
      <c r="A69" s="23" t="s">
        <v>551</v>
      </c>
      <c r="B69" s="78" t="n">
        <f aca="false">AVERAGE([4]woa18_decav_s00mn01!$C$22218:$M$22218)</f>
        <v>34.7434545454545</v>
      </c>
    </row>
    <row r="70" customFormat="false" ht="16" hidden="false" customHeight="false" outlineLevel="0" collapsed="false">
      <c r="A70" s="23" t="s">
        <v>554</v>
      </c>
      <c r="B70" s="78" t="n">
        <f aca="false">AVERAGE([4]woa18_decav_s00mn01!$M$22218:$W$22218)</f>
        <v>35.0936363636364</v>
      </c>
    </row>
    <row r="71" customFormat="false" ht="16" hidden="false" customHeight="false" outlineLevel="0" collapsed="false">
      <c r="A71" s="64" t="s">
        <v>263</v>
      </c>
      <c r="B71" s="78" t="n">
        <f aca="false">AVERAGE([4]woa18_decav_s00mn01!$M$22219:$W$22219)</f>
        <v>35.051</v>
      </c>
    </row>
    <row r="72" customFormat="false" ht="16" hidden="false" customHeight="false" outlineLevel="0" collapsed="false">
      <c r="A72" s="64" t="s">
        <v>266</v>
      </c>
      <c r="B72" s="78" t="n">
        <f aca="false">AVERAGE([4]woa18_decav_s00mn01!$X$22219:$AE$22219)</f>
        <v>35.0695</v>
      </c>
    </row>
    <row r="73" customFormat="false" ht="16" hidden="false" customHeight="false" outlineLevel="0" collapsed="false">
      <c r="A73" s="64" t="s">
        <v>268</v>
      </c>
      <c r="B73" s="78" t="n">
        <f aca="false">AVERAGE([4]woa18_decav_s00mn01!$W$22219:$X$22219)</f>
        <v>35.278</v>
      </c>
    </row>
    <row r="74" customFormat="false" ht="16" hidden="false" customHeight="false" outlineLevel="0" collapsed="false">
      <c r="A74" s="23" t="s">
        <v>437</v>
      </c>
      <c r="B74" s="78" t="n">
        <f aca="false">AVERAGE([4]woa18_decav_s00mn01!$X$22219:$AE$22219)</f>
        <v>35.0695</v>
      </c>
    </row>
    <row r="75" customFormat="false" ht="16" hidden="false" customHeight="false" outlineLevel="0" collapsed="false">
      <c r="A75" s="64" t="s">
        <v>275</v>
      </c>
      <c r="B75" s="78" t="n">
        <f aca="false">AVERAGE([4]woa18_decav_s00mn01!$M$22220:$W$22220)</f>
        <v>35.0238181818182</v>
      </c>
    </row>
    <row r="76" customFormat="false" ht="16" hidden="false" customHeight="false" outlineLevel="0" collapsed="false">
      <c r="A76" s="64" t="s">
        <v>270</v>
      </c>
      <c r="B76" s="78" t="n">
        <f aca="false">AVERAGE([4]woa18_decav_s00mn01!$X$22220:$AE$22220)</f>
        <v>35.062625</v>
      </c>
    </row>
    <row r="77" customFormat="false" ht="16" hidden="false" customHeight="false" outlineLevel="0" collapsed="false">
      <c r="A77" s="64" t="s">
        <v>278</v>
      </c>
      <c r="B77" s="78" t="n">
        <f aca="false">AVERAGE([4]woa18_decav_s00mn01!$X$22220:$AE$22220)</f>
        <v>35.062625</v>
      </c>
    </row>
    <row r="78" customFormat="false" ht="16" hidden="false" customHeight="false" outlineLevel="0" collapsed="false">
      <c r="A78" s="64" t="s">
        <v>280</v>
      </c>
      <c r="B78" s="78" t="n">
        <f aca="false">AVERAGE([4]woa18_decav_s00mn01!$H$22220:$X$22220)</f>
        <v>34.9382941176471</v>
      </c>
    </row>
    <row r="79" customFormat="false" ht="16" hidden="false" customHeight="false" outlineLevel="0" collapsed="false">
      <c r="A79" s="64" t="s">
        <v>273</v>
      </c>
      <c r="B79" s="78" t="n">
        <f aca="false">AVERAGE([4]woa18_decav_s00mn01!$W$22220:$X$22220)</f>
        <v>35.303</v>
      </c>
    </row>
    <row r="80" customFormat="false" ht="16" hidden="false" customHeight="false" outlineLevel="0" collapsed="false">
      <c r="A80" s="64" t="s">
        <v>282</v>
      </c>
      <c r="B80" s="78" t="n">
        <f aca="false">AVERAGE([4]woa18_decav_s00mn01!$W$22220:$X$22220)</f>
        <v>35.303</v>
      </c>
    </row>
    <row r="81" customFormat="false" ht="16" hidden="false" customHeight="false" outlineLevel="0" collapsed="false">
      <c r="A81" s="23" t="s">
        <v>444</v>
      </c>
      <c r="B81" s="78" t="n">
        <f aca="false">AVERAGE([4]woa18_decav_s00mn01!$X$22220:$AE$22220)</f>
        <v>35.062625</v>
      </c>
    </row>
    <row r="82" customFormat="false" ht="32" hidden="false" customHeight="false" outlineLevel="0" collapsed="false">
      <c r="A82" s="23" t="s">
        <v>291</v>
      </c>
      <c r="B82" s="78" t="n">
        <f aca="false">AVERAGE([4]woa18_decav_s00mn01!$W$22221:$X$22221)</f>
        <v>35.29</v>
      </c>
    </row>
    <row r="83" customFormat="false" ht="32" hidden="false" customHeight="false" outlineLevel="0" collapsed="false">
      <c r="A83" s="23" t="s">
        <v>294</v>
      </c>
      <c r="B83" s="78" t="n">
        <f aca="false">AVERAGE([4]woa18_decav_s00mn01!$W$22221:$X$22221)</f>
        <v>35.29</v>
      </c>
    </row>
    <row r="84" customFormat="false" ht="32" hidden="false" customHeight="false" outlineLevel="0" collapsed="false">
      <c r="A84" s="23" t="s">
        <v>304</v>
      </c>
      <c r="B84" s="78" t="n">
        <f aca="false">AVERAGE([4]woa18_decav_s00mn01!$W$22221:$X$22221)</f>
        <v>35.29</v>
      </c>
    </row>
    <row r="85" customFormat="false" ht="16" hidden="false" customHeight="false" outlineLevel="0" collapsed="false">
      <c r="A85" s="64" t="s">
        <v>297</v>
      </c>
      <c r="B85" s="78" t="n">
        <f aca="false">AVERAGE([4]woa18_decav_s00mn01!$C$22221:$Y$22221)</f>
        <v>34.848347826087</v>
      </c>
    </row>
    <row r="86" customFormat="false" ht="16" hidden="false" customHeight="false" outlineLevel="0" collapsed="false">
      <c r="A86" s="64" t="s">
        <v>300</v>
      </c>
      <c r="B86" s="78" t="n">
        <f aca="false">AVERAGE([4]woa18_decav_s00mn01!$X$22221:$AE$22221)</f>
        <v>35.087625</v>
      </c>
    </row>
    <row r="87" customFormat="false" ht="16" hidden="false" customHeight="false" outlineLevel="0" collapsed="false">
      <c r="A87" s="64" t="s">
        <v>302</v>
      </c>
      <c r="B87" s="78" t="n">
        <f aca="false">AVERAGE([4]woa18_decav_s00mn01!$W$22221:$X$22221)</f>
        <v>35.29</v>
      </c>
    </row>
    <row r="88" customFormat="false" ht="16" hidden="false" customHeight="false" outlineLevel="0" collapsed="false">
      <c r="A88" s="23" t="s">
        <v>447</v>
      </c>
      <c r="B88" s="78" t="n">
        <f aca="false">AVERAGE([4]woa18_decav_s00mn01!$X$22221:$AE$22221)</f>
        <v>35.087625</v>
      </c>
    </row>
    <row r="89" customFormat="false" ht="16" hidden="false" customHeight="false" outlineLevel="0" collapsed="false">
      <c r="A89" s="23" t="s">
        <v>530</v>
      </c>
      <c r="B89" s="78" t="n">
        <f aca="false">AVERAGE([4]woa18_decav_s00mn01!$CK$22222:$CL$22222)</f>
        <v>34.695</v>
      </c>
    </row>
    <row r="90" customFormat="false" ht="32" hidden="false" customHeight="false" outlineLevel="0" collapsed="false">
      <c r="A90" s="23" t="s">
        <v>307</v>
      </c>
      <c r="B90" s="78" t="n">
        <f aca="false">AVERAGE([4]woa18_decav_s00mn01!$W$22222:$X$22222)</f>
        <v>35.309</v>
      </c>
    </row>
    <row r="91" customFormat="false" ht="32" hidden="false" customHeight="false" outlineLevel="0" collapsed="false">
      <c r="A91" s="23" t="s">
        <v>312</v>
      </c>
      <c r="B91" s="78" t="n">
        <f aca="false">AVERAGE([4]woa18_decav_s00mn01!$W$22222:$X$22222)</f>
        <v>35.309</v>
      </c>
    </row>
    <row r="92" customFormat="false" ht="16" hidden="false" customHeight="false" outlineLevel="0" collapsed="false">
      <c r="A92" s="64" t="s">
        <v>310</v>
      </c>
      <c r="B92" s="78" t="n">
        <f aca="false">AVERAGE([4]woa18_decav_s00mn01!$X$22222:$AE$22222)</f>
        <v>35.096375</v>
      </c>
    </row>
    <row r="93" customFormat="false" ht="16" hidden="false" customHeight="false" outlineLevel="0" collapsed="false">
      <c r="A93" s="64" t="s">
        <v>315</v>
      </c>
      <c r="B93" s="78" t="n">
        <f aca="false">AVERAGE([4]woa18_decav_s00mn01!$X$22222:$AE$22222)</f>
        <v>35.096375</v>
      </c>
    </row>
    <row r="94" customFormat="false" ht="16" hidden="false" customHeight="false" outlineLevel="0" collapsed="false">
      <c r="A94" s="23" t="s">
        <v>450</v>
      </c>
      <c r="B94" s="78" t="n">
        <f aca="false">AVERAGE([4]woa18_decav_s00mn01!$X$22222:$AE$22222)</f>
        <v>35.096375</v>
      </c>
    </row>
    <row r="95" customFormat="false" ht="16" hidden="false" customHeight="false" outlineLevel="0" collapsed="false">
      <c r="A95" s="23" t="s">
        <v>453</v>
      </c>
      <c r="B95" s="78" t="n">
        <f aca="false">AVERAGE([4]woa18_decav_s00mn01!$X$22222:$AE$22222)</f>
        <v>35.096375</v>
      </c>
    </row>
    <row r="96" customFormat="false" ht="16" hidden="false" customHeight="false" outlineLevel="0" collapsed="false">
      <c r="A96" s="23" t="s">
        <v>456</v>
      </c>
      <c r="B96" s="78" t="n">
        <f aca="false">AVERAGE([4]woa18_decav_s00mn01!$C$22222:$M$22222)</f>
        <v>34.6269090909091</v>
      </c>
    </row>
    <row r="97" customFormat="false" ht="16" hidden="false" customHeight="false" outlineLevel="0" collapsed="false">
      <c r="A97" s="23" t="s">
        <v>459</v>
      </c>
      <c r="B97" s="78" t="n">
        <f aca="false">AVERAGE([4]woa18_decav_s00mn01!$M$22222:$W$22222)</f>
        <v>35.04</v>
      </c>
    </row>
    <row r="98" customFormat="false" ht="16" hidden="false" customHeight="false" outlineLevel="0" collapsed="false">
      <c r="A98" s="23" t="s">
        <v>511</v>
      </c>
      <c r="B98" s="78" t="n">
        <f aca="false">AVERAGE([4]woa18_decav_s00mn01!$G$23180:$W$23180)</f>
        <v>36.1117058823529</v>
      </c>
    </row>
    <row r="99" customFormat="false" ht="16" hidden="false" customHeight="false" outlineLevel="0" collapsed="false">
      <c r="A99" s="23" t="s">
        <v>514</v>
      </c>
      <c r="B99" s="78" t="n">
        <f aca="false">AVERAGE([4]woa18_decav_s00mn01!$C$23180:$M$23180)</f>
        <v>35.9436363636364</v>
      </c>
    </row>
    <row r="100" customFormat="false" ht="16" hidden="false" customHeight="false" outlineLevel="0" collapsed="false">
      <c r="A100" s="23" t="s">
        <v>214</v>
      </c>
      <c r="B100" s="78" t="n">
        <f aca="false">AVERAGE([4]woa18_decav_s00mn01!$C$23898:$M$23898)</f>
        <v>34.4701818181818</v>
      </c>
    </row>
    <row r="101" customFormat="false" ht="16" hidden="false" customHeight="false" outlineLevel="0" collapsed="false">
      <c r="A101" s="23" t="s">
        <v>214</v>
      </c>
      <c r="B101" s="78" t="n">
        <f aca="false">AVERAGE([4]woa18_decav_s00mn01!$C$23898:$M$23898)</f>
        <v>34.4701818181818</v>
      </c>
    </row>
    <row r="102" customFormat="false" ht="16" hidden="false" customHeight="false" outlineLevel="0" collapsed="false">
      <c r="A102" s="23" t="s">
        <v>218</v>
      </c>
      <c r="B102" s="78" t="n">
        <f aca="false">AVERAGE([4]woa18_decav_s00mn01!$M$23898:$W$23898)</f>
        <v>34.7274545454545</v>
      </c>
    </row>
    <row r="103" customFormat="false" ht="16" hidden="false" customHeight="false" outlineLevel="0" collapsed="false">
      <c r="A103" s="23" t="s">
        <v>218</v>
      </c>
      <c r="B103" s="78" t="n">
        <f aca="false">AVERAGE([4]woa18_decav_s00mn01!$M$23898:$W$23898)</f>
        <v>34.7274545454545</v>
      </c>
    </row>
    <row r="104" customFormat="false" ht="16" hidden="false" customHeight="false" outlineLevel="0" collapsed="false">
      <c r="A104" s="64" t="s">
        <v>562</v>
      </c>
      <c r="B104" s="78" t="n">
        <f aca="false">AVERAGE([4]woa18_decav_s00mn01!$M$24051:$W$24051)</f>
        <v>35.1563636363636</v>
      </c>
    </row>
    <row r="105" customFormat="false" ht="16" hidden="false" customHeight="false" outlineLevel="0" collapsed="false">
      <c r="A105" s="64" t="s">
        <v>595</v>
      </c>
      <c r="B105" s="78" t="n">
        <f aca="false">AVERAGE([4]woa18_decav_s00mn01!$G$24051:$W$24051)</f>
        <v>35.0648823529412</v>
      </c>
    </row>
    <row r="106" customFormat="false" ht="16" hidden="false" customHeight="false" outlineLevel="0" collapsed="false">
      <c r="A106" s="23" t="s">
        <v>54</v>
      </c>
      <c r="B106" s="78" t="n">
        <f aca="false">AVERAGE([4]woa18_decav_s00mn01!$G$24342:$W$24342)</f>
        <v>33.7532352941176</v>
      </c>
    </row>
    <row r="107" customFormat="false" ht="16" hidden="false" customHeight="false" outlineLevel="0" collapsed="false">
      <c r="A107" s="23" t="s">
        <v>66</v>
      </c>
      <c r="B107" s="78" t="n">
        <f aca="false">AVERAGE([4]woa18_decav_s00mn01!$M$24342:$W$24342)</f>
        <v>34.012</v>
      </c>
    </row>
    <row r="108" customFormat="false" ht="16" hidden="false" customHeight="false" outlineLevel="0" collapsed="false">
      <c r="A108" s="23" t="s">
        <v>54</v>
      </c>
      <c r="B108" s="78" t="n">
        <f aca="false">AVERAGE([4]woa18_decav_s00mn01!$G$24342:$W$24342)</f>
        <v>33.7532352941176</v>
      </c>
    </row>
    <row r="109" customFormat="false" ht="16" hidden="false" customHeight="false" outlineLevel="0" collapsed="false">
      <c r="A109" s="23" t="s">
        <v>508</v>
      </c>
      <c r="B109" s="78" t="n">
        <f aca="false">AVERAGE([4]woa18_decav_s00mn01!$C$25584:$M$25584)</f>
        <v>36.3834545454546</v>
      </c>
    </row>
    <row r="110" customFormat="false" ht="16" hidden="false" customHeight="false" outlineLevel="0" collapsed="false">
      <c r="A110" s="64" t="s">
        <v>610</v>
      </c>
      <c r="B110" s="78" t="n">
        <f aca="false">AVERAGE([4]woa18_decav_s00mn01!$R$25828:$X$25828)</f>
        <v>36.6595714285714</v>
      </c>
    </row>
    <row r="111" customFormat="false" ht="16" hidden="false" customHeight="false" outlineLevel="0" collapsed="false">
      <c r="A111" s="64" t="s">
        <v>619</v>
      </c>
      <c r="B111" s="78" t="n">
        <f aca="false">AVERAGE([4]woa18_decav_s00mn01!$I$25828:$M$25828)</f>
        <v>35.779</v>
      </c>
    </row>
    <row r="112" customFormat="false" ht="16" hidden="false" customHeight="false" outlineLevel="0" collapsed="false">
      <c r="A112" s="64" t="s">
        <v>621</v>
      </c>
      <c r="B112" s="78" t="n">
        <f aca="false">AVERAGE([4]woa18_decav_s00mn01!$C$25828:$M$25828)</f>
        <v>35.4234545454545</v>
      </c>
    </row>
    <row r="113" customFormat="false" ht="16" hidden="false" customHeight="false" outlineLevel="0" collapsed="false">
      <c r="A113" s="64" t="s">
        <v>623</v>
      </c>
      <c r="B113" s="78" t="n">
        <f aca="false">AVERAGE([4]woa18_decav_s00mn01!$C$25828:$I$25828)</f>
        <v>35.1782857142857</v>
      </c>
    </row>
    <row r="114" customFormat="false" ht="16" hidden="false" customHeight="false" outlineLevel="0" collapsed="false">
      <c r="A114" s="64" t="s">
        <v>638</v>
      </c>
      <c r="B114" s="78" t="n">
        <f aca="false">AVERAGE([4]woa18_decav_s00mn01!$W$25828:$X$25828)</f>
        <v>36.853</v>
      </c>
    </row>
    <row r="115" customFormat="false" ht="16" hidden="false" customHeight="false" outlineLevel="0" collapsed="false">
      <c r="A115" s="64" t="s">
        <v>648</v>
      </c>
      <c r="B115" s="78" t="n">
        <f aca="false">AVERAGE([4]woa18_decav_s00mn01!$M$25828:$W$25828)</f>
        <v>36.433</v>
      </c>
    </row>
    <row r="116" customFormat="false" ht="16" hidden="false" customHeight="false" outlineLevel="0" collapsed="false">
      <c r="A116" s="23" t="s">
        <v>118</v>
      </c>
      <c r="B116" s="78" t="n">
        <f aca="false">AVERAGE([4]woa18_decav_s00mn01!$G$27125:$W$27125)</f>
        <v>36.4762352941176</v>
      </c>
    </row>
    <row r="117" customFormat="false" ht="16" hidden="false" customHeight="false" outlineLevel="0" collapsed="false">
      <c r="A117" s="64" t="s">
        <v>706</v>
      </c>
      <c r="B117" s="78" t="n">
        <f aca="false">AVERAGE([4]woa18_decav_s00mn01!$G$27145:$Y$27145)</f>
        <v>34.2843157894737</v>
      </c>
    </row>
    <row r="118" customFormat="false" ht="16" hidden="false" customHeight="false" outlineLevel="0" collapsed="false">
      <c r="A118" s="64" t="s">
        <v>710</v>
      </c>
      <c r="B118" s="78" t="n">
        <f aca="false">AVERAGE([4]woa18_decav_s00mn01!$G$27145:$W$27145)</f>
        <v>34.2477058823529</v>
      </c>
    </row>
    <row r="119" customFormat="false" ht="16" hidden="false" customHeight="false" outlineLevel="0" collapsed="false">
      <c r="A119" s="64" t="s">
        <v>580</v>
      </c>
      <c r="B119" s="78" t="n">
        <f aca="false">AVERAGE([4]woa18_decav_s00mn01!$G$27348:$X$27348)</f>
        <v>36.5490555555555</v>
      </c>
    </row>
    <row r="120" customFormat="false" ht="16" hidden="false" customHeight="false" outlineLevel="0" collapsed="false">
      <c r="A120" s="64" t="s">
        <v>584</v>
      </c>
      <c r="B120" s="78" t="n">
        <f aca="false">AVERAGE([4]woa18_decav_s00mn01!$G$27348:$Y$27348)</f>
        <v>36.533947368421</v>
      </c>
    </row>
    <row r="121" customFormat="false" ht="16" hidden="false" customHeight="false" outlineLevel="0" collapsed="false">
      <c r="A121" s="64" t="s">
        <v>594</v>
      </c>
      <c r="B121" s="78" t="n">
        <f aca="false">AVERAGE([4]woa18_decav_s00mn01!$G$27348:$W$27348)</f>
        <v>36.5598235294118</v>
      </c>
    </row>
    <row r="122" customFormat="false" ht="16" hidden="false" customHeight="false" outlineLevel="0" collapsed="false">
      <c r="A122" s="23" t="s">
        <v>123</v>
      </c>
      <c r="B122" s="78" t="n">
        <f aca="false">AVERAGE([4]woa18_decav_s00mn01!$G$28045:$Y$28045)</f>
        <v>36.4778947368421</v>
      </c>
    </row>
    <row r="123" customFormat="false" ht="16" hidden="false" customHeight="false" outlineLevel="0" collapsed="false">
      <c r="A123" s="23" t="s">
        <v>127</v>
      </c>
      <c r="B123" s="78" t="n">
        <f aca="false">AVERAGE([4]woa18_decav_s00mn01!$M$28045:$W$28045)</f>
        <v>36.4610909090909</v>
      </c>
    </row>
    <row r="124" customFormat="false" ht="16" hidden="false" customHeight="false" outlineLevel="0" collapsed="false">
      <c r="A124" s="23" t="s">
        <v>127</v>
      </c>
      <c r="B124" s="78" t="n">
        <f aca="false">AVERAGE([4]woa18_decav_s00mn01!$M$28045:$W$28045)</f>
        <v>36.4610909090909</v>
      </c>
    </row>
    <row r="125" customFormat="false" ht="16" hidden="false" customHeight="false" outlineLevel="0" collapsed="false">
      <c r="A125" s="23" t="s">
        <v>132</v>
      </c>
      <c r="B125" s="78" t="n">
        <f aca="false">AVERAGE([4]woa18_decav_s00mn01!$H$28045:$X$28045)</f>
        <v>36.4826470588235</v>
      </c>
    </row>
    <row r="126" customFormat="false" ht="16" hidden="false" customHeight="false" outlineLevel="0" collapsed="false">
      <c r="A126" s="23" t="s">
        <v>123</v>
      </c>
      <c r="B126" s="78" t="n">
        <f aca="false">AVERAGE([4]woa18_decav_s00mn01!$G$28045:$Y$28045)</f>
        <v>36.4778947368421</v>
      </c>
    </row>
    <row r="127" customFormat="false" ht="16" hidden="false" customHeight="false" outlineLevel="0" collapsed="false">
      <c r="A127" s="23" t="s">
        <v>480</v>
      </c>
      <c r="B127" s="78" t="n">
        <f aca="false">AVERAGE([4]woa18_decav_s00mn01!$AM$28044:$AQ$28044)</f>
        <v>35.742</v>
      </c>
    </row>
    <row r="128" customFormat="false" ht="16" hidden="false" customHeight="false" outlineLevel="0" collapsed="false">
      <c r="A128" s="23" t="s">
        <v>487</v>
      </c>
      <c r="B128" s="78" t="n">
        <f aca="false">AVERAGE([4]woa18_decav_s00mn01!$C$28045:$M$28045)</f>
        <v>36.5989090909091</v>
      </c>
    </row>
    <row r="129" customFormat="false" ht="16" hidden="false" customHeight="false" outlineLevel="0" collapsed="false">
      <c r="A129" s="23" t="s">
        <v>490</v>
      </c>
      <c r="B129" s="78" t="n">
        <f aca="false">AVERAGE([4]woa18_decav_s00mn01!$Y$28045)</f>
        <v>36.233</v>
      </c>
    </row>
    <row r="130" customFormat="false" ht="32" hidden="false" customHeight="false" outlineLevel="0" collapsed="false">
      <c r="A130" s="23" t="s">
        <v>493</v>
      </c>
      <c r="B130" s="78" t="n">
        <f aca="false">AVERAGE([4]woa18_decav_s00mn01!$C$28045:$M$28045)</f>
        <v>36.5989090909091</v>
      </c>
    </row>
    <row r="131" customFormat="false" ht="16" hidden="false" customHeight="false" outlineLevel="0" collapsed="false">
      <c r="A131" s="23" t="s">
        <v>496</v>
      </c>
      <c r="B131" s="78" t="n">
        <f aca="false">AVERAGE([4]woa18_decav_s00mn01!$AE$28044)</f>
        <v>36.229</v>
      </c>
    </row>
    <row r="132" customFormat="false" ht="32" hidden="false" customHeight="false" outlineLevel="0" collapsed="false">
      <c r="A132" s="23" t="s">
        <v>499</v>
      </c>
      <c r="B132" s="78" t="n">
        <f aca="false">AVERAGE([4]woa18_decav_s00mn01!$C$28045:$M$28045)</f>
        <v>36.5989090909091</v>
      </c>
    </row>
    <row r="133" customFormat="false" ht="16" hidden="false" customHeight="false" outlineLevel="0" collapsed="false">
      <c r="A133" s="23" t="s">
        <v>502</v>
      </c>
      <c r="B133" s="78" t="n">
        <f aca="false">AVERAGE([4]woa18_decav_s00mn01!$W$28045:$X$28045)</f>
        <v>36.3535</v>
      </c>
    </row>
    <row r="134" customFormat="false" ht="16" hidden="false" customHeight="false" outlineLevel="0" collapsed="false">
      <c r="A134" s="23" t="s">
        <v>504</v>
      </c>
      <c r="B134" s="78" t="n">
        <f aca="false">AVERAGE([4]woa18_decav_s00mn01!$AL$28044:$AM$28044)</f>
        <v>35.8895</v>
      </c>
    </row>
    <row r="135" customFormat="false" ht="16" hidden="false" customHeight="false" outlineLevel="0" collapsed="false">
      <c r="A135" s="64" t="s">
        <v>634</v>
      </c>
      <c r="B135" s="78" t="n">
        <f aca="false">AVERAGE([4]woa18_decav_s00mn01!$C$28045:$Z$28045)</f>
        <v>36.494375</v>
      </c>
    </row>
    <row r="136" customFormat="false" ht="16" hidden="false" customHeight="false" outlineLevel="0" collapsed="false">
      <c r="A136" s="23" t="s">
        <v>156</v>
      </c>
      <c r="B136" s="78" t="n">
        <f aca="false">AVERAGE([4]woa18_decav_s00mn01!$C$28190:$M$28190)</f>
        <v>36.2192727272727</v>
      </c>
    </row>
    <row r="137" customFormat="false" ht="16" hidden="false" customHeight="false" outlineLevel="0" collapsed="false">
      <c r="A137" s="23" t="s">
        <v>165</v>
      </c>
      <c r="B137" s="78" t="n">
        <f aca="false">AVERAGE([4]woa18_decav_s00mn01!$C$28190:$M$28190)</f>
        <v>36.2192727272727</v>
      </c>
    </row>
    <row r="138" customFormat="false" ht="16" hidden="false" customHeight="false" outlineLevel="0" collapsed="false">
      <c r="A138" s="23" t="s">
        <v>200</v>
      </c>
      <c r="B138" s="78" t="n">
        <f aca="false">AVERAGE([4]woa18_decav_s00mn01!$AO$28189:$AP$28189)</f>
        <v>34.9565</v>
      </c>
    </row>
    <row r="139" customFormat="false" ht="16" hidden="false" customHeight="false" outlineLevel="0" collapsed="false">
      <c r="A139" s="23" t="s">
        <v>203</v>
      </c>
      <c r="B139" s="78" t="n">
        <f aca="false">AVERAGE([4]woa18_decav_s00mn01!$AO$28189:$AP$28189)</f>
        <v>34.9565</v>
      </c>
    </row>
    <row r="140" customFormat="false" ht="16" hidden="false" customHeight="false" outlineLevel="0" collapsed="false">
      <c r="A140" s="23" t="s">
        <v>189</v>
      </c>
      <c r="B140" s="0" t="n">
        <v>34.901</v>
      </c>
    </row>
    <row r="141" customFormat="false" ht="16" hidden="false" customHeight="false" outlineLevel="0" collapsed="false">
      <c r="A141" s="23" t="s">
        <v>193</v>
      </c>
      <c r="B141" s="0" t="n">
        <v>34.901</v>
      </c>
    </row>
    <row r="142" customFormat="false" ht="16" hidden="false" customHeight="false" outlineLevel="0" collapsed="false">
      <c r="A142" s="23" t="s">
        <v>195</v>
      </c>
      <c r="B142" s="0" t="n">
        <v>34.901</v>
      </c>
    </row>
    <row r="143" customFormat="false" ht="16" hidden="false" customHeight="false" outlineLevel="0" collapsed="false">
      <c r="A143" s="23" t="s">
        <v>197</v>
      </c>
      <c r="B143" s="78" t="n">
        <f aca="false">AVERAGE([4]woa18_decav_s00mn01!$AO$28189:$AP$28189)</f>
        <v>34.9565</v>
      </c>
    </row>
    <row r="144" customFormat="false" ht="16" hidden="false" customHeight="false" outlineLevel="0" collapsed="false">
      <c r="A144" s="23" t="s">
        <v>197</v>
      </c>
      <c r="B144" s="78" t="n">
        <f aca="false">AVERAGE([4]woa18_decav_s00mn01!$AO$28189:$AP$28189)</f>
        <v>34.9565</v>
      </c>
    </row>
    <row r="145" customFormat="false" ht="16" hidden="false" customHeight="false" outlineLevel="0" collapsed="false">
      <c r="A145" s="64" t="s">
        <v>712</v>
      </c>
      <c r="B145" s="78" t="n">
        <f aca="false">AVERAGE([4]woa18_decav_s00mn01!$AF$28189:$AG$28189)</f>
        <v>35.6405</v>
      </c>
    </row>
    <row r="146" customFormat="false" ht="16" hidden="false" customHeight="false" outlineLevel="0" collapsed="false">
      <c r="A146" s="64" t="s">
        <v>716</v>
      </c>
      <c r="B146" s="78" t="n">
        <f aca="false">AVERAGE([4]woa18_decav_s00mn01!$Y$28189:$Z$28189)</f>
        <v>36.468</v>
      </c>
    </row>
    <row r="147" customFormat="false" ht="16" hidden="false" customHeight="false" outlineLevel="0" collapsed="false">
      <c r="A147" s="64" t="s">
        <v>718</v>
      </c>
      <c r="B147" s="78" t="n">
        <f aca="false">AVERAGE([4]woa18_decav_s00mn01!$Z$28189:$AA$28189)</f>
        <v>36.372</v>
      </c>
    </row>
    <row r="148" customFormat="false" ht="16" hidden="false" customHeight="false" outlineLevel="0" collapsed="false">
      <c r="A148" s="64" t="s">
        <v>720</v>
      </c>
      <c r="B148" s="78" t="n">
        <f aca="false">AVERAGE([4]woa18_decav_s00mn01!$AE$28189:$AF$28189)</f>
        <v>35.7465</v>
      </c>
    </row>
    <row r="149" customFormat="false" ht="16" hidden="false" customHeight="false" outlineLevel="0" collapsed="false">
      <c r="A149" s="23" t="s">
        <v>168</v>
      </c>
      <c r="B149" s="78" t="n">
        <f aca="false">AVERAGE([4]woa18_decav_s00mn01!$AH$28194:$AI$28194)</f>
        <v>36.112</v>
      </c>
    </row>
    <row r="150" customFormat="false" ht="16" hidden="false" customHeight="false" outlineLevel="0" collapsed="false">
      <c r="A150" s="23" t="s">
        <v>175</v>
      </c>
      <c r="B150" s="78" t="n">
        <f aca="false">AVERAGE([4]woa18_decav_s00mn01!$AH$28194:$AI$28194)</f>
        <v>36.112</v>
      </c>
    </row>
    <row r="151" customFormat="false" ht="16" hidden="false" customHeight="false" outlineLevel="0" collapsed="false">
      <c r="A151" s="23" t="s">
        <v>181</v>
      </c>
      <c r="B151" s="78" t="n">
        <f aca="false">AVERAGE([4]woa18_decav_s00mn01!$AH$28194:$AI$28194)</f>
        <v>36.112</v>
      </c>
    </row>
    <row r="152" customFormat="false" ht="16" hidden="false" customHeight="false" outlineLevel="0" collapsed="false">
      <c r="A152" s="23" t="s">
        <v>186</v>
      </c>
      <c r="B152" s="78" t="n">
        <f aca="false">AVERAGE([4]woa18_decav_s00mn01!$AH$28194:$AI$28194)</f>
        <v>36.112</v>
      </c>
    </row>
    <row r="153" customFormat="false" ht="16" hidden="false" customHeight="false" outlineLevel="0" collapsed="false">
      <c r="A153" s="64" t="s">
        <v>722</v>
      </c>
      <c r="B153" s="78" t="n">
        <f aca="false">AVERAGE([4]woa18_decav_s00mn01!$AG$28194:$AH$28194)</f>
        <v>36.2015</v>
      </c>
    </row>
    <row r="154" customFormat="false" ht="16" hidden="false" customHeight="false" outlineLevel="0" collapsed="false">
      <c r="A154" s="64" t="s">
        <v>724</v>
      </c>
      <c r="B154" s="78" t="n">
        <f aca="false">AVERAGE([4]woa18_decav_s00mn01!$AC$28194:$AD$28194)</f>
        <v>36.5095</v>
      </c>
    </row>
    <row r="155" customFormat="false" ht="16" hidden="false" customHeight="false" outlineLevel="0" collapsed="false">
      <c r="A155" s="23" t="s">
        <v>141</v>
      </c>
      <c r="B155" s="78" t="n">
        <f aca="false">AVERAGE([4]woa18_decav_s00mn01!$W$28699:$X$28699)</f>
        <v>34.718</v>
      </c>
    </row>
    <row r="156" customFormat="false" ht="16" hidden="false" customHeight="false" outlineLevel="0" collapsed="false">
      <c r="A156" s="64" t="s">
        <v>688</v>
      </c>
      <c r="B156" s="78" t="n">
        <f aca="false">AVERAGE([4]woa18_decav_s00mn01!$C$29035:$M$29035)</f>
        <v>36.0779090909091</v>
      </c>
    </row>
    <row r="157" customFormat="false" ht="16" hidden="false" customHeight="false" outlineLevel="0" collapsed="false">
      <c r="A157" s="64" t="s">
        <v>705</v>
      </c>
      <c r="B157" s="78" t="n">
        <f aca="false">AVERAGE([4]woa18_decav_s00mn01!$G$29035:$Y$29035)</f>
        <v>36.3254210526316</v>
      </c>
    </row>
    <row r="158" customFormat="false" ht="16" hidden="false" customHeight="false" outlineLevel="0" collapsed="false">
      <c r="A158" s="64" t="s">
        <v>709</v>
      </c>
      <c r="B158" s="78" t="n">
        <f aca="false">AVERAGE([4]woa18_decav_s00mn01!$G$29035:$W$29035)</f>
        <v>36.3223529411765</v>
      </c>
    </row>
    <row r="159" customFormat="false" ht="16" hidden="false" customHeight="false" outlineLevel="0" collapsed="false">
      <c r="A159" s="23" t="s">
        <v>321</v>
      </c>
      <c r="B159" s="78" t="n">
        <f aca="false">AVERAGE([4]woa18_decav_s00mn01!$S$30119:$Y$30119)</f>
        <v>34.7148571428571</v>
      </c>
    </row>
    <row r="160" customFormat="false" ht="16" hidden="false" customHeight="false" outlineLevel="0" collapsed="false">
      <c r="A160" s="64" t="s">
        <v>603</v>
      </c>
      <c r="B160" s="78" t="n">
        <f aca="false">AVERAGE([4]woa18_decav_s00mn01!$C$30266:$W$30266)</f>
        <v>36.4714285714286</v>
      </c>
    </row>
    <row r="161" customFormat="false" ht="16" hidden="false" customHeight="false" outlineLevel="0" collapsed="false">
      <c r="A161" s="64" t="s">
        <v>622</v>
      </c>
      <c r="B161" s="78" t="n">
        <f aca="false">AVERAGE([4]woa18_decav_s00mn01!$I$30266:$M$30266)</f>
        <v>36.492</v>
      </c>
    </row>
    <row r="162" customFormat="false" ht="16" hidden="false" customHeight="false" outlineLevel="0" collapsed="false">
      <c r="A162" s="64" t="s">
        <v>653</v>
      </c>
      <c r="B162" s="78" t="n">
        <f aca="false">AVERAGE([4]woa18_decav_s00mn01!$C$30266:$AM$30266)</f>
        <v>36.2449189189189</v>
      </c>
    </row>
    <row r="163" customFormat="false" ht="16" hidden="false" customHeight="false" outlineLevel="0" collapsed="false">
      <c r="A163" s="64" t="s">
        <v>666</v>
      </c>
      <c r="B163" s="78" t="n">
        <f aca="false">AVERAGE([4]woa18_decav_s00mn01!$AA$30266:$AM$30266)</f>
        <v>35.8755384615385</v>
      </c>
    </row>
    <row r="164" customFormat="false" ht="16" hidden="false" customHeight="false" outlineLevel="0" collapsed="false">
      <c r="A164" s="64" t="s">
        <v>567</v>
      </c>
      <c r="B164" s="78" t="n">
        <f aca="false">AVERAGE([4]woa18_decav_s00mn01!$C$30853:$M$30853)</f>
        <v>36.1174545454545</v>
      </c>
    </row>
    <row r="165" customFormat="false" ht="16" hidden="false" customHeight="false" outlineLevel="0" collapsed="false">
      <c r="A165" s="64" t="s">
        <v>690</v>
      </c>
      <c r="B165" s="78" t="n">
        <f aca="false">AVERAGE([4]woa18_decav_s00mn01!$C$30853:$M$30853)</f>
        <v>36.1174545454545</v>
      </c>
    </row>
    <row r="166" customFormat="false" ht="16" hidden="false" customHeight="false" outlineLevel="0" collapsed="false">
      <c r="A166" s="64" t="s">
        <v>698</v>
      </c>
      <c r="B166" s="78" t="n">
        <f aca="false">AVERAGE([4]woa18_decav_s00mn01!$C$30853:$AM$30853)</f>
        <v>35.958054054054</v>
      </c>
    </row>
    <row r="167" customFormat="false" ht="16" hidden="false" customHeight="false" outlineLevel="0" collapsed="false">
      <c r="A167" s="64" t="s">
        <v>699</v>
      </c>
      <c r="B167" s="78" t="n">
        <f aca="false">AVERAGE([4]woa18_decav_s00mn01!$C$30853:$AM$30853)</f>
        <v>35.958054054054</v>
      </c>
    </row>
    <row r="168" customFormat="false" ht="16" hidden="false" customHeight="false" outlineLevel="0" collapsed="false">
      <c r="A168" s="64" t="s">
        <v>700</v>
      </c>
      <c r="B168" s="78" t="n">
        <f aca="false">AVERAGE([4]woa18_decav_s00mn01!$C$30853:$AM$30853)</f>
        <v>35.958054054054</v>
      </c>
    </row>
    <row r="169" customFormat="false" ht="16" hidden="false" customHeight="false" outlineLevel="0" collapsed="false">
      <c r="A169" s="64" t="s">
        <v>701</v>
      </c>
      <c r="B169" s="78" t="n">
        <f aca="false">AVERAGE([4]woa18_decav_s00mn01!$C$30853:$AM$30853)</f>
        <v>35.958054054054</v>
      </c>
    </row>
    <row r="170" customFormat="false" ht="16" hidden="false" customHeight="false" outlineLevel="0" collapsed="false">
      <c r="A170" s="64" t="s">
        <v>702</v>
      </c>
      <c r="B170" s="78" t="n">
        <f aca="false">AVERAGE([4]woa18_decav_s00mn01!$C$30853:$AM$30853)</f>
        <v>35.958054054054</v>
      </c>
    </row>
    <row r="171" customFormat="false" ht="16" hidden="false" customHeight="false" outlineLevel="0" collapsed="false">
      <c r="A171" s="64" t="s">
        <v>703</v>
      </c>
      <c r="B171" s="78" t="n">
        <f aca="false">AVERAGE([4]woa18_decav_s00mn01!$C$30853:$AM$30853)</f>
        <v>35.958054054054</v>
      </c>
    </row>
    <row r="172" customFormat="false" ht="16" hidden="false" customHeight="false" outlineLevel="0" collapsed="false">
      <c r="A172" s="64" t="s">
        <v>711</v>
      </c>
      <c r="B172" s="78" t="n">
        <f aca="false">AVERAGE([4]woa18_decav_s00mn01!$AA$30872:$AM$30872)</f>
        <v>35.7491538461538</v>
      </c>
    </row>
    <row r="173" customFormat="false" ht="16" hidden="false" customHeight="false" outlineLevel="0" collapsed="false">
      <c r="A173" s="64" t="s">
        <v>711</v>
      </c>
      <c r="B173" s="78" t="n">
        <f aca="false">AVERAGE([4]woa18_decav_s00mn01!$AA$30853:$AM$30853)</f>
        <v>35.7293076923077</v>
      </c>
    </row>
    <row r="174" customFormat="false" ht="16" hidden="false" customHeight="false" outlineLevel="0" collapsed="false">
      <c r="A174" s="64" t="s">
        <v>564</v>
      </c>
      <c r="B174" s="78" t="n">
        <f aca="false">AVERAGE([4]woa18_decav_s00mn01!$C$30872:$M$30872)</f>
        <v>36.2113636363636</v>
      </c>
    </row>
    <row r="175" customFormat="false" ht="16" hidden="false" customHeight="false" outlineLevel="0" collapsed="false">
      <c r="A175" s="64" t="s">
        <v>585</v>
      </c>
      <c r="B175" s="78" t="n">
        <f aca="false">AVERAGE([4]woa18_decav_s00mn01!$G$30872:$Y$30872)</f>
        <v>36.1821052631579</v>
      </c>
    </row>
    <row r="176" customFormat="false" ht="16" hidden="false" customHeight="false" outlineLevel="0" collapsed="false">
      <c r="A176" s="23" t="s">
        <v>325</v>
      </c>
      <c r="B176" s="78" t="n">
        <f aca="false">AVERAGE([4]woa18_decav_s00mn01!$W$31004:$Y$31004)</f>
        <v>35.5613333333333</v>
      </c>
    </row>
    <row r="177" customFormat="false" ht="16" hidden="false" customHeight="false" outlineLevel="0" collapsed="false">
      <c r="A177" s="23" t="s">
        <v>329</v>
      </c>
      <c r="B177" s="78" t="n">
        <f aca="false">AVERAGE([4]woa18_decav_s00mn01!$S$31004:$Y$31004)</f>
        <v>35.5057142857143</v>
      </c>
    </row>
    <row r="178" customFormat="false" ht="16" hidden="false" customHeight="false" outlineLevel="0" collapsed="false">
      <c r="A178" s="64" t="s">
        <v>740</v>
      </c>
      <c r="B178" s="78" t="n">
        <f aca="false">AVERAGE([4]woa18_decav_s00mn01!$AB$31279:$AC$31279)</f>
        <v>38.6995</v>
      </c>
    </row>
    <row r="179" customFormat="false" ht="16" hidden="false" customHeight="false" outlineLevel="0" collapsed="false">
      <c r="A179" s="64" t="s">
        <v>743</v>
      </c>
      <c r="B179" s="78" t="n">
        <f aca="false">AVERAGE([4]woa18_decav_s00mn01!$AN$31279:$AO$31279)</f>
        <v>38.7655</v>
      </c>
    </row>
    <row r="180" customFormat="false" ht="16" hidden="false" customHeight="false" outlineLevel="0" collapsed="false">
      <c r="A180" s="64" t="s">
        <v>683</v>
      </c>
      <c r="B180" s="78" t="n">
        <f aca="false">AVERAGE([4]woa18_decav_s00mn01!$C$31436:$W$31436)</f>
        <v>35.981619047619</v>
      </c>
    </row>
    <row r="181" customFormat="false" ht="16" hidden="false" customHeight="false" outlineLevel="0" collapsed="false">
      <c r="A181" s="64" t="s">
        <v>673</v>
      </c>
      <c r="B181" s="78" t="n">
        <f aca="false">AVERAGE([4]woa18_decav_s00mn01!$AP$32171:$AQ$32171)</f>
        <v>35.654</v>
      </c>
    </row>
    <row r="182" customFormat="false" ht="16" hidden="false" customHeight="false" outlineLevel="0" collapsed="false">
      <c r="A182" s="23" t="s">
        <v>539</v>
      </c>
      <c r="B182" s="78" t="n">
        <f aca="false">AVERAGE([4]woa18_decav_s00mn01!$C$32312:$W$32312)</f>
        <v>35.8044285714286</v>
      </c>
    </row>
    <row r="183" customFormat="false" ht="16" hidden="false" customHeight="false" outlineLevel="0" collapsed="false">
      <c r="A183" s="23" t="s">
        <v>543</v>
      </c>
      <c r="B183" s="78" t="n">
        <f aca="false">AVERAGE([4]woa18_decav_s00mn01!$AA$32312:$AM$32312)</f>
        <v>35.5621538461538</v>
      </c>
    </row>
    <row r="184" customFormat="false" ht="16" hidden="false" customHeight="false" outlineLevel="0" collapsed="false">
      <c r="A184" s="23" t="s">
        <v>548</v>
      </c>
      <c r="B184" s="78" t="n">
        <f aca="false">AVERAGE([4]woa18_decav_s00mn01!$AM$32312:$AQ$32312)</f>
        <v>35.2448</v>
      </c>
    </row>
    <row r="185" customFormat="false" ht="16" hidden="false" customHeight="false" outlineLevel="0" collapsed="false">
      <c r="A185" s="64" t="s">
        <v>576</v>
      </c>
      <c r="B185" s="78" t="n">
        <f aca="false">AVERAGE([4]woa18_decav_s00mn01!$C$32478:$AM$32478)</f>
        <v>35.6415675675676</v>
      </c>
    </row>
    <row r="186" customFormat="false" ht="16" hidden="false" customHeight="false" outlineLevel="0" collapsed="false">
      <c r="A186" s="64" t="s">
        <v>591</v>
      </c>
      <c r="B186" s="78" t="n">
        <f aca="false">AVERAGE([4]woa18_decav_s00mn01!$AM$32478:$AQ$32478)</f>
        <v>35.3042</v>
      </c>
    </row>
    <row r="187" customFormat="false" ht="16" hidden="false" customHeight="false" outlineLevel="0" collapsed="false">
      <c r="A187" s="64" t="s">
        <v>578</v>
      </c>
      <c r="B187" s="78" t="n">
        <f aca="false">AVERAGE([4]woa18_decav_s00mn01!$C$32636:$AM$32636)</f>
        <v>35.6192702702703</v>
      </c>
    </row>
    <row r="188" customFormat="false" ht="16" hidden="false" customHeight="false" outlineLevel="0" collapsed="false">
      <c r="A188" s="64" t="s">
        <v>587</v>
      </c>
      <c r="B188" s="78" t="n">
        <f aca="false">AVERAGE([4]woa18_decav_s00mn01!$G$32637:$Y$32637)</f>
        <v>35.6609473684211</v>
      </c>
    </row>
    <row r="189" customFormat="false" ht="16" hidden="false" customHeight="false" outlineLevel="0" collapsed="false">
      <c r="A189" s="64" t="s">
        <v>590</v>
      </c>
      <c r="B189" s="78" t="n">
        <f aca="false">AVERAGE([4]woa18_decav_s00mn01!$AM$32637:$AQ$32637)</f>
        <v>35.3036</v>
      </c>
    </row>
    <row r="190" customFormat="false" ht="16" hidden="false" customHeight="false" outlineLevel="0" collapsed="false">
      <c r="A190" s="64" t="s">
        <v>599</v>
      </c>
      <c r="B190" s="78" t="n">
        <f aca="false">AVERAGE([4]woa18_decav_s00mn01!$C$32794:$W$32794)</f>
        <v>35.5901428571428</v>
      </c>
    </row>
    <row r="191" customFormat="false" ht="16" hidden="false" customHeight="false" outlineLevel="0" collapsed="false">
      <c r="A191" s="64" t="s">
        <v>651</v>
      </c>
      <c r="B191" s="78" t="n">
        <f aca="false">AVERAGE([4]woa18_decav_s00mn01!$C$32794:$AM$32794)</f>
        <v>35.5779459459459</v>
      </c>
    </row>
    <row r="192" customFormat="false" ht="16" hidden="false" customHeight="false" outlineLevel="0" collapsed="false">
      <c r="A192" s="64" t="s">
        <v>658</v>
      </c>
      <c r="B192" s="78" t="n">
        <f aca="false">AVERAGE([4]woa18_decav_s00mn01!$G$32794:$Y$32794)</f>
        <v>35.5883684210526</v>
      </c>
    </row>
    <row r="193" customFormat="false" ht="16" hidden="false" customHeight="false" outlineLevel="0" collapsed="false">
      <c r="A193" s="64" t="s">
        <v>665</v>
      </c>
      <c r="B193" s="78" t="n">
        <f aca="false">AVERAGE([4]woa18_decav_s00mn01!$AA$32794:$AM$32794)</f>
        <v>35.5572307692308</v>
      </c>
    </row>
    <row r="194" customFormat="false" ht="16" hidden="false" customHeight="false" outlineLevel="0" collapsed="false">
      <c r="A194" s="64" t="s">
        <v>556</v>
      </c>
      <c r="B194" s="78" t="n">
        <f aca="false">AVERAGE([4]woa18_decav_s00mn01!$C$33063:$W$33063)</f>
        <v>35.2833809523809</v>
      </c>
    </row>
    <row r="195" customFormat="false" ht="16" hidden="false" customHeight="false" outlineLevel="0" collapsed="false">
      <c r="A195" s="64" t="s">
        <v>559</v>
      </c>
      <c r="B195" s="78" t="n">
        <f aca="false">AVERAGE([4]woa18_decav_s00mn01!$C$33063:$W$33063)</f>
        <v>35.2833809523809</v>
      </c>
    </row>
    <row r="196" customFormat="false" ht="16" hidden="false" customHeight="false" outlineLevel="0" collapsed="false">
      <c r="A196" s="23" t="s">
        <v>462</v>
      </c>
      <c r="B196" s="78" t="n">
        <f aca="false">[4]woa18_decav_s00mn01!$C$33205</f>
        <v>35.419</v>
      </c>
    </row>
    <row r="197" customFormat="false" ht="16" hidden="false" customHeight="false" outlineLevel="0" collapsed="false">
      <c r="A197" s="64" t="s">
        <v>677</v>
      </c>
      <c r="B197" s="78" t="n">
        <f aca="false">AVERAGE([4]woa18_decav_s00mn01!$C$33324:$W$33324)</f>
        <v>34.7103333333333</v>
      </c>
    </row>
    <row r="198" customFormat="false" ht="16" hidden="false" customHeight="false" outlineLevel="0" collapsed="false">
      <c r="A198" s="64" t="s">
        <v>696</v>
      </c>
      <c r="B198" s="78" t="n">
        <f aca="false">AVERAGE([4]woa18_decav_s00mn01!$C$33324:$AA$33324)</f>
        <v>34.72332</v>
      </c>
    </row>
    <row r="199" customFormat="false" ht="16" hidden="false" customHeight="false" outlineLevel="0" collapsed="false">
      <c r="A199" s="23" t="s">
        <v>522</v>
      </c>
      <c r="B199" s="78" t="n">
        <f aca="false">AVERAGE([4]woa18_decav_s00mn01!$CC$33329:$CD$33329)</f>
        <v>34.95</v>
      </c>
    </row>
    <row r="200" customFormat="false" ht="16" hidden="false" customHeight="false" outlineLevel="0" collapsed="false">
      <c r="A200" s="23" t="s">
        <v>87</v>
      </c>
      <c r="B200" s="78" t="n">
        <f aca="false">AVERAGE([4]woa18_decav_s00mn01!$G$33343:$Y$33343)</f>
        <v>35.4877894736842</v>
      </c>
    </row>
    <row r="201" customFormat="false" ht="16" hidden="false" customHeight="false" outlineLevel="0" collapsed="false">
      <c r="A201" s="23" t="s">
        <v>95</v>
      </c>
      <c r="B201" s="78" t="n">
        <f aca="false">AVERAGE([4]woa18_decav_s00mn01!$C$33343:$AM$33343)</f>
        <v>35.4723243243243</v>
      </c>
    </row>
    <row r="202" customFormat="false" ht="16" hidden="false" customHeight="false" outlineLevel="0" collapsed="false">
      <c r="A202" s="23" t="s">
        <v>95</v>
      </c>
      <c r="B202" s="78" t="n">
        <f aca="false">AVERAGE([4]woa18_decav_s00mn01!$C$33343:$AM$33343)</f>
        <v>35.4723243243243</v>
      </c>
    </row>
    <row r="203" customFormat="false" ht="16" hidden="false" customHeight="false" outlineLevel="0" collapsed="false">
      <c r="A203" s="23" t="s">
        <v>465</v>
      </c>
      <c r="B203" s="0" t="n">
        <v>34.912</v>
      </c>
    </row>
    <row r="204" customFormat="false" ht="16" hidden="false" customHeight="false" outlineLevel="0" collapsed="false">
      <c r="A204" s="23" t="s">
        <v>470</v>
      </c>
      <c r="B204" s="0" t="n">
        <v>34.912</v>
      </c>
    </row>
    <row r="205" customFormat="false" ht="16" hidden="false" customHeight="false" outlineLevel="0" collapsed="false">
      <c r="A205" s="23" t="s">
        <v>475</v>
      </c>
      <c r="B205" s="0" t="n">
        <v>34.912</v>
      </c>
    </row>
    <row r="206" customFormat="false" ht="16" hidden="false" customHeight="false" outlineLevel="0" collapsed="false">
      <c r="A206" s="64" t="s">
        <v>598</v>
      </c>
      <c r="B206" s="78" t="n">
        <f aca="false">AVERAGE([4]woa18_decav_s00mn01!$C$33343:$W$33343)</f>
        <v>35.4827619047619</v>
      </c>
    </row>
    <row r="207" customFormat="false" ht="16" hidden="false" customHeight="false" outlineLevel="0" collapsed="false">
      <c r="A207" s="64" t="s">
        <v>87</v>
      </c>
      <c r="B207" s="78" t="n">
        <f aca="false">AVERAGE([4]woa18_decav_s00mn01!$G$33343:$Y$33343)</f>
        <v>35.4877894736842</v>
      </c>
    </row>
    <row r="208" customFormat="false" ht="16" hidden="false" customHeight="false" outlineLevel="0" collapsed="false">
      <c r="A208" s="64" t="s">
        <v>662</v>
      </c>
      <c r="B208" s="78" t="n">
        <f aca="false">AVERAGE([4]woa18_decav_s00mn01!$AM$33343:$AQ$33343)</f>
        <v>35.3716</v>
      </c>
    </row>
    <row r="209" customFormat="false" ht="16" hidden="false" customHeight="false" outlineLevel="0" collapsed="false">
      <c r="A209" s="64" t="s">
        <v>664</v>
      </c>
      <c r="B209" s="78" t="n">
        <f aca="false">AVERAGE([4]woa18_decav_s00mn01!$AA$33343:$AM$33343)</f>
        <v>35.4509230769231</v>
      </c>
    </row>
    <row r="210" customFormat="false" ht="16" hidden="false" customHeight="false" outlineLevel="0" collapsed="false">
      <c r="A210" s="64" t="s">
        <v>573</v>
      </c>
      <c r="B210" s="78" t="n">
        <f aca="false">AVERAGE([4]woa18_decav_s00mn01!$C$33489:$AA$33489)</f>
        <v>32.99628</v>
      </c>
    </row>
    <row r="211" customFormat="false" ht="16" hidden="false" customHeight="false" outlineLevel="0" collapsed="false">
      <c r="A211" s="23" t="s">
        <v>137</v>
      </c>
      <c r="B211" s="78" t="n">
        <f aca="false">AVERAGE([4]woa18_decav_s00mn01!$C$34059:$W$34059)</f>
        <v>34.3637142857143</v>
      </c>
    </row>
    <row r="212" customFormat="false" ht="16" hidden="false" customHeight="false" outlineLevel="0" collapsed="false">
      <c r="A212" s="23" t="s">
        <v>102</v>
      </c>
      <c r="B212" s="78" t="n">
        <f aca="false">AVERAGE([4]woa18_decav_s00mn01!$C$34014:$W$34014)</f>
        <v>34.786619047619</v>
      </c>
    </row>
    <row r="213" customFormat="false" ht="16" hidden="false" customHeight="false" outlineLevel="0" collapsed="false">
      <c r="A213" s="23" t="s">
        <v>115</v>
      </c>
      <c r="B213" s="78" t="n">
        <f aca="false">AVERAGE([4]woa18_decav_s00mn01!$C$34025:$W$34025)</f>
        <v>34.9837619047619</v>
      </c>
    </row>
    <row r="214" customFormat="false" ht="16" hidden="false" customHeight="false" outlineLevel="0" collapsed="false">
      <c r="A214" s="23" t="s">
        <v>112</v>
      </c>
      <c r="B214" s="78" t="n">
        <f aca="false">AVERAGE([4]woa18_decav_s00mn01!$C$34025:$W$34025)</f>
        <v>34.9837619047619</v>
      </c>
    </row>
    <row r="215" customFormat="false" ht="32" hidden="false" customHeight="false" outlineLevel="0" collapsed="false">
      <c r="A215" s="23" t="s">
        <v>76</v>
      </c>
      <c r="B215" s="78" t="n">
        <f aca="false">AVERAGE([4]woa18_decav_s00mn01!$C$34025:$AA$34025)</f>
        <v>34.98956</v>
      </c>
    </row>
    <row r="216" customFormat="false" ht="16" hidden="false" customHeight="false" outlineLevel="0" collapsed="false">
      <c r="A216" s="23" t="s">
        <v>109</v>
      </c>
      <c r="B216" s="78" t="n">
        <f aca="false">AVERAGE([4]woa18_decav_s00mn01!$C$34025:$W$34025)</f>
        <v>34.9837619047619</v>
      </c>
    </row>
    <row r="217" customFormat="false" ht="16" hidden="false" customHeight="false" outlineLevel="0" collapsed="false">
      <c r="A217" s="64" t="s">
        <v>560</v>
      </c>
      <c r="B217" s="78" t="n">
        <f aca="false">AVERAGE([4]woa18_decav_s00mn01!$C$34181:$W$34181)</f>
        <v>35.1764285714286</v>
      </c>
    </row>
    <row r="218" customFormat="false" ht="16" hidden="false" customHeight="false" outlineLevel="0" collapsed="false">
      <c r="A218" s="64" t="s">
        <v>681</v>
      </c>
      <c r="B218" s="78" t="n">
        <f aca="false">AVERAGE([4]woa18_decav_s00mn01!$C$34439:$W$34439)</f>
        <v>35.1135714285714</v>
      </c>
    </row>
    <row r="219" customFormat="false" ht="16" hidden="false" customHeight="false" outlineLevel="0" collapsed="false">
      <c r="A219" s="23" t="s">
        <v>528</v>
      </c>
      <c r="B219" s="0" t="n">
        <v>35.143</v>
      </c>
    </row>
    <row r="220" customFormat="false" ht="16" hidden="false" customHeight="false" outlineLevel="0" collapsed="false">
      <c r="A220" s="64" t="s">
        <v>692</v>
      </c>
      <c r="B220" s="78" t="n">
        <f aca="false">AVERAGE([4]woa18_decav_s00mn01!$C$34544:$AA$34544)</f>
        <v>35.15472</v>
      </c>
    </row>
    <row r="221" customFormat="false" ht="16" hidden="false" customHeight="false" outlineLevel="0" collapsed="false">
      <c r="A221" s="23" t="s">
        <v>525</v>
      </c>
      <c r="B221" s="78" t="n">
        <f aca="false">AVERAGE([4]woa18_decav_s00mn01!$C$34545:$W$34545)</f>
        <v>35.1652380952381</v>
      </c>
    </row>
    <row r="222" customFormat="false" ht="16" hidden="false" customHeight="false" outlineLevel="0" collapsed="false">
      <c r="A222" s="64" t="s">
        <v>601</v>
      </c>
      <c r="B222" s="78" t="n">
        <f aca="false">AVERAGE([4]woa18_decav_s00mn01!$C$34739:$W$34739)</f>
        <v>34.8341904761905</v>
      </c>
    </row>
    <row r="223" customFormat="false" ht="16" hidden="false" customHeight="false" outlineLevel="0" collapsed="false">
      <c r="A223" s="64" t="s">
        <v>652</v>
      </c>
      <c r="B223" s="78" t="n">
        <f aca="false">AVERAGE([4]woa18_decav_s00mn01!$C$34739:$AM$34739)</f>
        <v>34.9859189189189</v>
      </c>
    </row>
    <row r="224" customFormat="false" ht="16" hidden="false" customHeight="false" outlineLevel="0" collapsed="false">
      <c r="A224" s="64" t="s">
        <v>727</v>
      </c>
      <c r="B224" s="78" t="n">
        <f aca="false">AVERAGE([4]woa18_decav_s00mn01!$AS$34738:$AT$34738)</f>
        <v>34.911</v>
      </c>
    </row>
    <row r="225" customFormat="false" ht="16" hidden="false" customHeight="false" outlineLevel="0" collapsed="false">
      <c r="A225" s="23" t="s">
        <v>533</v>
      </c>
      <c r="B225" s="78" t="n">
        <f aca="false">AVERAGE([4]woa18_decav_s00mn01!$BX$35129:$BY$35129)</f>
        <v>34.904</v>
      </c>
    </row>
    <row r="226" customFormat="false" ht="16" hidden="false" customHeight="false" outlineLevel="0" collapsed="false">
      <c r="A226" s="23" t="s">
        <v>536</v>
      </c>
      <c r="B226" s="78" t="n">
        <f aca="false">AVERAGE([4]woa18_decav_s00mn01!$BX$35129:$BY$35129)</f>
        <v>34.904</v>
      </c>
    </row>
    <row r="227" customFormat="false" ht="16" hidden="false" customHeight="false" outlineLevel="0" collapsed="false">
      <c r="A227" s="64" t="s">
        <v>630</v>
      </c>
      <c r="B227" s="78" t="n">
        <f aca="false">AVERAGE([4]woa18_decav_s00mn01!$C$35241:$AA$35241)</f>
        <v>34.36548</v>
      </c>
    </row>
    <row r="228" customFormat="false" ht="16" hidden="false" customHeight="false" outlineLevel="0" collapsed="false">
      <c r="A228" s="64" t="s">
        <v>655</v>
      </c>
      <c r="B228" s="78" t="n">
        <f aca="false">AVERAGE([4]woa18_decav_s00mn01!$H$35245:$X$35245)</f>
        <v>34.7867058823529</v>
      </c>
    </row>
    <row r="229" customFormat="false" ht="16" hidden="false" customHeight="false" outlineLevel="0" collapsed="false">
      <c r="A229" s="64" t="s">
        <v>656</v>
      </c>
      <c r="B229" s="78" t="n">
        <f aca="false">AVERAGE([4]woa18_decav_s00mn01!$G$35256:$X$35256)</f>
        <v>35.0827777777778</v>
      </c>
    </row>
    <row r="230" customFormat="false" ht="16" hidden="false" customHeight="false" outlineLevel="0" collapsed="false">
      <c r="A230" s="64" t="s">
        <v>697</v>
      </c>
      <c r="B230" s="78" t="n">
        <f aca="false">AVERAGE([4]woa18_decav_s00mn01!$C$35809:$AA$35809)</f>
        <v>34.69268</v>
      </c>
    </row>
    <row r="231" customFormat="false" ht="16" hidden="false" customHeight="false" outlineLevel="0" collapsed="false">
      <c r="A231" s="64" t="s">
        <v>670</v>
      </c>
      <c r="B231" s="78" t="n">
        <f aca="false">AVERAGE([4]woa18_decav_s00mn01!$BM$35809:$BN$35809)</f>
        <v>34.911</v>
      </c>
    </row>
    <row r="232" customFormat="false" ht="16" hidden="false" customHeight="false" outlineLevel="0" collapsed="false">
      <c r="A232" s="64" t="s">
        <v>569</v>
      </c>
      <c r="B232" s="78" t="n">
        <f aca="false">AVERAGE([4]woa18_decav_s00mn01!$C$38670:$AA$38670)</f>
        <v>33.08288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O39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4901" ySplit="2340" topLeftCell="BE220" activePane="bottomRight" state="split"/>
      <selection pane="topLeft" activeCell="A1" activeCellId="0" sqref="A1"/>
      <selection pane="topRight" activeCell="BE1" activeCellId="0" sqref="BE1"/>
      <selection pane="bottomLeft" activeCell="A220" activeCellId="0" sqref="A220"/>
      <selection pane="bottomRight" activeCell="BJ226" activeCellId="0" sqref="BJ226"/>
    </sheetView>
  </sheetViews>
  <sheetFormatPr defaultColWidth="10.51171875" defaultRowHeight="16" zeroHeight="false" outlineLevelRow="0" outlineLevelCol="0"/>
  <cols>
    <col collapsed="false" customWidth="true" hidden="false" outlineLevel="0" max="1" min="1" style="1" width="29"/>
    <col collapsed="false" customWidth="true" hidden="false" outlineLevel="0" max="2" min="2" style="0" width="50"/>
    <col collapsed="false" customWidth="true" hidden="false" outlineLevel="0" max="3" min="3" style="0" width="22.34"/>
    <col collapsed="false" customWidth="true" hidden="false" outlineLevel="0" max="4" min="4" style="1" width="61.5"/>
    <col collapsed="false" customWidth="true" hidden="false" outlineLevel="0" max="7" min="5" style="1" width="32"/>
    <col collapsed="false" customWidth="true" hidden="false" outlineLevel="0" max="8" min="8" style="1" width="15.84"/>
    <col collapsed="false" customWidth="true" hidden="false" outlineLevel="0" max="9" min="9" style="1" width="35.5"/>
    <col collapsed="false" customWidth="true" hidden="false" outlineLevel="0" max="11" min="10" style="1" width="32"/>
    <col collapsed="false" customWidth="true" hidden="false" outlineLevel="0" max="13" min="12" style="1" width="29"/>
    <col collapsed="false" customWidth="true" hidden="false" outlineLevel="0" max="14" min="14" style="1" width="32"/>
    <col collapsed="false" customWidth="true" hidden="false" outlineLevel="0" max="19" min="15" style="1" width="26"/>
    <col collapsed="false" customWidth="true" hidden="false" outlineLevel="0" max="20" min="20" style="1" width="18.5"/>
    <col collapsed="false" customWidth="false" hidden="false" outlineLevel="0" max="28" min="21" style="1" width="10.5"/>
    <col collapsed="false" customWidth="true" hidden="false" outlineLevel="0" max="30" min="29" style="1" width="11"/>
    <col collapsed="false" customWidth="false" hidden="false" outlineLevel="0" max="37" min="31" style="1" width="10.5"/>
    <col collapsed="false" customWidth="true" hidden="false" outlineLevel="0" max="38" min="38" style="1" width="32"/>
    <col collapsed="false" customWidth="true" hidden="false" outlineLevel="0" max="39" min="39" style="0" width="23.34"/>
    <col collapsed="false" customWidth="true" hidden="false" outlineLevel="0" max="40" min="40" style="0" width="9.5"/>
    <col collapsed="false" customWidth="true" hidden="false" outlineLevel="0" max="41" min="41" style="0" width="10"/>
    <col collapsed="false" customWidth="true" hidden="false" outlineLevel="0" max="42" min="42" style="0" width="15.5"/>
    <col collapsed="false" customWidth="true" hidden="false" outlineLevel="0" max="43" min="43" style="0" width="7.5"/>
    <col collapsed="false" customWidth="true" hidden="false" outlineLevel="0" max="44" min="44" style="0" width="6"/>
    <col collapsed="false" customWidth="true" hidden="false" outlineLevel="0" max="45" min="45" style="0" width="7"/>
    <col collapsed="false" customWidth="true" hidden="false" outlineLevel="0" max="46" min="46" style="0" width="23.5"/>
    <col collapsed="false" customWidth="true" hidden="false" outlineLevel="0" max="52" min="47" style="0" width="7.5"/>
    <col collapsed="false" customWidth="true" hidden="false" outlineLevel="0" max="53" min="53" style="0" width="26.33"/>
    <col collapsed="false" customWidth="true" hidden="false" outlineLevel="0" max="54" min="54" style="0" width="13.5"/>
    <col collapsed="false" customWidth="true" hidden="false" outlineLevel="0" max="57" min="57" style="0" width="18.5"/>
    <col collapsed="false" customWidth="true" hidden="false" outlineLevel="0" max="62" min="60" style="0" width="21.5"/>
    <col collapsed="false" customWidth="true" hidden="false" outlineLevel="0" max="64" min="64" style="0" width="21.5"/>
    <col collapsed="false" customWidth="true" hidden="false" outlineLevel="0" max="66" min="66" style="0" width="21.5"/>
  </cols>
  <sheetData>
    <row r="1" s="14" customFormat="true" ht="4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7" t="s">
        <v>22</v>
      </c>
      <c r="AA1" s="7" t="s">
        <v>23</v>
      </c>
      <c r="AB1" s="8" t="s">
        <v>25</v>
      </c>
      <c r="AC1" s="8" t="s">
        <v>26</v>
      </c>
      <c r="AD1" s="8" t="s">
        <v>27</v>
      </c>
      <c r="AE1" s="9" t="s">
        <v>28</v>
      </c>
      <c r="AF1" s="10" t="s">
        <v>23</v>
      </c>
      <c r="AG1" s="10" t="s">
        <v>44</v>
      </c>
      <c r="AH1" s="11" t="s">
        <v>30</v>
      </c>
      <c r="AI1" s="11" t="s">
        <v>31</v>
      </c>
      <c r="AJ1" s="12" t="s">
        <v>32</v>
      </c>
      <c r="AK1" s="12" t="s">
        <v>31</v>
      </c>
      <c r="AL1" s="2" t="s">
        <v>33</v>
      </c>
      <c r="AM1" s="13" t="s">
        <v>34</v>
      </c>
      <c r="AN1" s="14" t="s">
        <v>35</v>
      </c>
      <c r="AO1" s="14" t="s">
        <v>36</v>
      </c>
      <c r="AP1" s="15" t="s">
        <v>37</v>
      </c>
      <c r="AQ1" s="15" t="s">
        <v>38</v>
      </c>
      <c r="AR1" s="14" t="s">
        <v>39</v>
      </c>
      <c r="AS1" s="14" t="s">
        <v>40</v>
      </c>
      <c r="AT1" s="16" t="s">
        <v>41</v>
      </c>
      <c r="AU1" s="14" t="s">
        <v>35</v>
      </c>
      <c r="AV1" s="14" t="s">
        <v>36</v>
      </c>
      <c r="AW1" s="15" t="s">
        <v>37</v>
      </c>
      <c r="AX1" s="15" t="s">
        <v>38</v>
      </c>
      <c r="AY1" s="14" t="s">
        <v>39</v>
      </c>
      <c r="AZ1" s="14" t="s">
        <v>40</v>
      </c>
      <c r="BA1" s="16" t="s">
        <v>42</v>
      </c>
      <c r="BB1" s="13" t="s">
        <v>43</v>
      </c>
      <c r="BC1" s="17" t="s">
        <v>44</v>
      </c>
      <c r="BD1" s="17" t="s">
        <v>45</v>
      </c>
      <c r="BE1" s="18" t="s">
        <v>46</v>
      </c>
      <c r="BF1" s="19" t="s">
        <v>44</v>
      </c>
      <c r="BG1" s="19" t="s">
        <v>45</v>
      </c>
      <c r="BH1" s="20" t="s">
        <v>47</v>
      </c>
      <c r="BI1" s="21" t="s">
        <v>44</v>
      </c>
      <c r="BJ1" s="21" t="s">
        <v>45</v>
      </c>
      <c r="BL1" s="20" t="s">
        <v>49</v>
      </c>
      <c r="BM1" s="21" t="s">
        <v>31</v>
      </c>
      <c r="BN1" s="20" t="s">
        <v>50</v>
      </c>
      <c r="BO1" s="21" t="s">
        <v>31</v>
      </c>
    </row>
    <row r="2" s="14" customFormat="true" ht="16" hidden="false" customHeight="false" outlineLevel="0" collapsed="false">
      <c r="A2" s="22" t="s">
        <v>74</v>
      </c>
      <c r="B2" s="36" t="s">
        <v>569</v>
      </c>
      <c r="C2" s="14" t="s">
        <v>557</v>
      </c>
      <c r="D2" s="36" t="s">
        <v>569</v>
      </c>
      <c r="E2" s="34" t="s">
        <v>570</v>
      </c>
      <c r="F2" s="22" t="n">
        <v>85.295</v>
      </c>
      <c r="G2" s="22" t="n">
        <v>-14.892</v>
      </c>
      <c r="H2" s="22" t="s">
        <v>571</v>
      </c>
      <c r="I2" s="22" t="s">
        <v>572</v>
      </c>
      <c r="J2" s="22" t="n">
        <v>1016</v>
      </c>
      <c r="K2" s="35" t="s">
        <v>74</v>
      </c>
      <c r="L2" s="22" t="s">
        <v>80</v>
      </c>
      <c r="M2" s="22" t="s">
        <v>81</v>
      </c>
      <c r="N2" s="22" t="s">
        <v>82</v>
      </c>
      <c r="O2" s="22" t="s">
        <v>71</v>
      </c>
      <c r="P2" s="22" t="s">
        <v>71</v>
      </c>
      <c r="Q2" s="22" t="n">
        <v>5</v>
      </c>
      <c r="R2" s="35" t="s">
        <v>83</v>
      </c>
      <c r="S2" s="25" t="n">
        <v>33.08288</v>
      </c>
      <c r="T2" s="22" t="n">
        <v>44.9384662162162</v>
      </c>
      <c r="U2" s="36" t="n">
        <v>12</v>
      </c>
      <c r="V2" s="48" t="n">
        <v>1.01486555483333</v>
      </c>
      <c r="W2" s="48" t="n">
        <v>0.0307434146569956</v>
      </c>
      <c r="X2" s="48" t="n">
        <v>0.00887485936401234</v>
      </c>
      <c r="Y2" s="48" t="n">
        <v>2.50382995440989</v>
      </c>
      <c r="Z2" s="48" t="n">
        <v>0.0750075789827962</v>
      </c>
      <c r="AA2" s="48" t="n">
        <v>0.0216528229584897</v>
      </c>
      <c r="AB2" s="27" t="n">
        <v>-1.1492224117</v>
      </c>
      <c r="AC2" s="27" t="n">
        <v>0.916595842476907</v>
      </c>
      <c r="AD2" s="27" t="n">
        <v>0.346431513931102</v>
      </c>
      <c r="AE2" s="61" t="n">
        <v>0.669881013537881</v>
      </c>
      <c r="AF2" s="61" t="n">
        <v>0.00742462558074985</v>
      </c>
      <c r="AG2" s="61" t="n">
        <f aca="false">AF2*SQRT(U2)</f>
        <v>0.0257196574660686</v>
      </c>
      <c r="AH2" s="29" t="n">
        <v>-1.51457794070244</v>
      </c>
      <c r="AI2" s="27" t="n">
        <v>0.382948623698388</v>
      </c>
      <c r="AJ2" s="27" t="n">
        <f aca="false">VLOOKUP(B2,proft,2,0)</f>
        <v>-1.7</v>
      </c>
      <c r="AK2" s="27" t="n">
        <f aca="false">VLOOKUP(B2,proft,3,0)</f>
        <v>0.045</v>
      </c>
      <c r="AL2" s="27" t="s">
        <v>84</v>
      </c>
      <c r="BB2" s="30" t="n">
        <v>2.2126</v>
      </c>
      <c r="BC2" s="30" t="n">
        <v>2.134</v>
      </c>
      <c r="BD2" s="30" t="n">
        <v>0.02134</v>
      </c>
      <c r="BE2" s="31" t="n">
        <v>3.4292</v>
      </c>
      <c r="BF2" s="31" t="n">
        <v>2.143</v>
      </c>
      <c r="BG2" s="31" t="n">
        <v>0.02201</v>
      </c>
      <c r="BH2" s="14" t="n">
        <f aca="false">10^6/((BB2+273.15)^2)</f>
        <v>13.1883387189799</v>
      </c>
      <c r="BI2" s="14" t="n">
        <f aca="false">BH2*(2*($BF2/($BE2+273.15)))</f>
        <v>0.204372634491486</v>
      </c>
      <c r="BJ2" s="14" t="n">
        <f aca="false">BH2*(2*($BG2/($BE2+273.15)))</f>
        <v>0.00209903951710575</v>
      </c>
      <c r="BL2" s="14" t="n">
        <f aca="false">10^6/((AH2+273.15)^2)</f>
        <v>13.5527427483776</v>
      </c>
      <c r="BM2" s="14" t="n">
        <f aca="false">BL2*(2*($AI2/($AH2+273.15)))</f>
        <v>0.0382130146612214</v>
      </c>
      <c r="BN2" s="14" t="n">
        <f aca="false">10^6/((AJ2+273.15)^2)</f>
        <v>13.5712642864275</v>
      </c>
      <c r="BO2" s="14" t="n">
        <f aca="false">BN2*(2*($AK2/($AJ2+273.15)))</f>
        <v>0.00449959029573946</v>
      </c>
    </row>
    <row r="3" s="14" customFormat="true" ht="16" hidden="false" customHeight="false" outlineLevel="0" collapsed="false">
      <c r="A3" s="22" t="s">
        <v>67</v>
      </c>
      <c r="B3" s="36" t="s">
        <v>564</v>
      </c>
      <c r="C3" s="14" t="s">
        <v>557</v>
      </c>
      <c r="D3" s="36" t="s">
        <v>564</v>
      </c>
      <c r="E3" s="34" t="s">
        <v>565</v>
      </c>
      <c r="F3" s="22" t="n">
        <v>37.8485</v>
      </c>
      <c r="G3" s="22" t="n">
        <v>-10.15266</v>
      </c>
      <c r="H3" s="22" t="s">
        <v>78</v>
      </c>
      <c r="I3" s="22" t="s">
        <v>566</v>
      </c>
      <c r="J3" s="22" t="n">
        <v>3100</v>
      </c>
      <c r="K3" s="35" t="s">
        <v>67</v>
      </c>
      <c r="L3" s="22" t="s">
        <v>68</v>
      </c>
      <c r="M3" s="22" t="s">
        <v>69</v>
      </c>
      <c r="N3" s="22" t="s">
        <v>162</v>
      </c>
      <c r="O3" s="22" t="s">
        <v>71</v>
      </c>
      <c r="P3" s="22" t="s">
        <v>71</v>
      </c>
      <c r="Q3" s="22" t="n">
        <v>5</v>
      </c>
      <c r="R3" s="35" t="s">
        <v>62</v>
      </c>
      <c r="S3" s="25" t="n">
        <v>36.2113636363636</v>
      </c>
      <c r="T3" s="22" t="n">
        <v>29.5896055045872</v>
      </c>
      <c r="U3" s="36" t="n">
        <v>7</v>
      </c>
      <c r="V3" s="48" t="n">
        <v>1.93485182471429</v>
      </c>
      <c r="W3" s="48" t="n">
        <v>0.0360201892563037</v>
      </c>
      <c r="X3" s="48" t="n">
        <v>0.0136143518499514</v>
      </c>
      <c r="Y3" s="48" t="n">
        <v>-0.0858061918045085</v>
      </c>
      <c r="Z3" s="48" t="n">
        <v>0.0353004768680484</v>
      </c>
      <c r="AA3" s="48" t="n">
        <v>0.0133423261364063</v>
      </c>
      <c r="AB3" s="27" t="n">
        <v>0.933227004</v>
      </c>
      <c r="AC3" s="27" t="n">
        <v>0.200406157103111</v>
      </c>
      <c r="AD3" s="27" t="n">
        <v>0.200081297379259</v>
      </c>
      <c r="AE3" s="61" t="n">
        <v>0.610487805563667</v>
      </c>
      <c r="AF3" s="61" t="n">
        <v>0.00658670985004683</v>
      </c>
      <c r="AG3" s="61" t="n">
        <f aca="false">AF3*SQRT(U3)</f>
        <v>0.0174267962213635</v>
      </c>
      <c r="AH3" s="29" t="n">
        <v>17.4650920521129</v>
      </c>
      <c r="AI3" s="27" t="n">
        <v>0.400634457602914</v>
      </c>
      <c r="AJ3" s="27" t="n">
        <f aca="false">VLOOKUP(B3,proft,2,0)</f>
        <v>16.9</v>
      </c>
      <c r="AK3" s="27" t="n">
        <f aca="false">VLOOKUP(B3,proft,3,0)</f>
        <v>0.0768061131238937</v>
      </c>
      <c r="AL3" s="27" t="s">
        <v>72</v>
      </c>
      <c r="BB3" s="30" t="n">
        <v>20.395</v>
      </c>
      <c r="BC3" s="30" t="n">
        <v>2.117</v>
      </c>
      <c r="BD3" s="30" t="n">
        <v>0.02117</v>
      </c>
      <c r="BE3" s="31" t="n">
        <v>21.7044</v>
      </c>
      <c r="BF3" s="31" t="n">
        <v>2.108</v>
      </c>
      <c r="BG3" s="31" t="n">
        <v>0.02108</v>
      </c>
      <c r="BH3" s="14" t="n">
        <f aca="false">10^6/((BB3+273.15)^2)</f>
        <v>11.6051464473725</v>
      </c>
      <c r="BI3" s="14" t="n">
        <f aca="false">BH3*(2*($BF3/($BE3+273.15)))</f>
        <v>0.165937145323666</v>
      </c>
      <c r="BJ3" s="14" t="n">
        <f aca="false">BH3*(2*($BG3/($BE3+273.15)))</f>
        <v>0.00165937145323666</v>
      </c>
      <c r="BK3" s="37"/>
      <c r="BL3" s="14" t="n">
        <f aca="false">10^6/((AH3+273.15)^2)</f>
        <v>11.8403263233607</v>
      </c>
      <c r="BM3" s="14" t="n">
        <f aca="false">BL3*(2*($AI3/($AH3+273.15)))</f>
        <v>0.0326455359279859</v>
      </c>
      <c r="BN3" s="14" t="n">
        <f aca="false">10^6/((AJ3+273.15)^2)</f>
        <v>11.886507271972</v>
      </c>
      <c r="BO3" s="14" t="n">
        <f aca="false">BN3*(2*($AK3/($AJ3+273.15)))</f>
        <v>0.00629516581402563</v>
      </c>
    </row>
    <row r="4" s="14" customFormat="true" ht="16" hidden="false" customHeight="false" outlineLevel="0" collapsed="false">
      <c r="A4" s="22" t="s">
        <v>67</v>
      </c>
      <c r="B4" s="36" t="s">
        <v>567</v>
      </c>
      <c r="C4" s="14" t="s">
        <v>557</v>
      </c>
      <c r="D4" s="36" t="s">
        <v>567</v>
      </c>
      <c r="E4" s="34" t="s">
        <v>568</v>
      </c>
      <c r="F4" s="22" t="n">
        <v>37.117</v>
      </c>
      <c r="G4" s="22" t="n">
        <v>-30.033</v>
      </c>
      <c r="H4" s="22" t="s">
        <v>78</v>
      </c>
      <c r="I4" s="22" t="s">
        <v>566</v>
      </c>
      <c r="J4" s="22" t="n">
        <v>2610</v>
      </c>
      <c r="K4" s="35" t="s">
        <v>67</v>
      </c>
      <c r="L4" s="22" t="s">
        <v>68</v>
      </c>
      <c r="M4" s="22" t="s">
        <v>69</v>
      </c>
      <c r="N4" s="22" t="s">
        <v>162</v>
      </c>
      <c r="O4" s="22" t="s">
        <v>71</v>
      </c>
      <c r="P4" s="22" t="s">
        <v>71</v>
      </c>
      <c r="Q4" s="22" t="n">
        <v>5</v>
      </c>
      <c r="R4" s="35" t="s">
        <v>62</v>
      </c>
      <c r="S4" s="25" t="n">
        <v>36.1174545454545</v>
      </c>
      <c r="T4" s="22" t="n">
        <v>38.5651646586345</v>
      </c>
      <c r="U4" s="36" t="n">
        <v>11</v>
      </c>
      <c r="V4" s="48" t="n">
        <v>1.69337890063636</v>
      </c>
      <c r="W4" s="48" t="n">
        <v>0.0335148623923681</v>
      </c>
      <c r="X4" s="48" t="n">
        <v>0.0101051112232616</v>
      </c>
      <c r="Y4" s="48" t="n">
        <v>-0.0906748154992724</v>
      </c>
      <c r="Z4" s="48" t="n">
        <v>0.0421069540306374</v>
      </c>
      <c r="AA4" s="48" t="n">
        <v>0.0126957243258516</v>
      </c>
      <c r="AB4" s="27" t="n">
        <v>0.96715566</v>
      </c>
      <c r="AC4" s="27" t="n">
        <v>0.200253029920932</v>
      </c>
      <c r="AD4" s="27" t="n">
        <v>0.200050631587363</v>
      </c>
      <c r="AE4" s="61" t="n">
        <v>0.599157521130884</v>
      </c>
      <c r="AF4" s="61" t="n">
        <v>0.0143220361789734</v>
      </c>
      <c r="AG4" s="61" t="n">
        <f aca="false">AF4*SQRT(U4)</f>
        <v>0.04750082023955</v>
      </c>
      <c r="AH4" s="29" t="n">
        <v>19.1954513896595</v>
      </c>
      <c r="AI4" s="27" t="n">
        <v>0.613969898510832</v>
      </c>
      <c r="AJ4" s="27" t="n">
        <f aca="false">VLOOKUP(B4,proft,2,0)</f>
        <v>19.8</v>
      </c>
      <c r="AK4" s="27" t="n">
        <f aca="false">VLOOKUP(B4,proft,3,0)</f>
        <v>0.633</v>
      </c>
      <c r="AL4" s="27" t="s">
        <v>72</v>
      </c>
      <c r="BB4" s="30" t="n">
        <v>20.629</v>
      </c>
      <c r="BC4" s="30" t="n">
        <v>2.127</v>
      </c>
      <c r="BD4" s="30" t="n">
        <v>0.02163</v>
      </c>
      <c r="BE4" s="31" t="n">
        <v>21.9061</v>
      </c>
      <c r="BF4" s="31" t="n">
        <v>2.114</v>
      </c>
      <c r="BG4" s="31" t="n">
        <v>0.02114</v>
      </c>
      <c r="BH4" s="14" t="n">
        <f aca="false">10^6/((BB4+273.15)^2)</f>
        <v>11.5866664147217</v>
      </c>
      <c r="BI4" s="14" t="n">
        <f aca="false">BH4*(2*($BF4/($BE4+273.15)))</f>
        <v>0.166030885656807</v>
      </c>
      <c r="BJ4" s="14" t="n">
        <f aca="false">BH4*(2*($BG4/($BE4+273.15)))</f>
        <v>0.00166030885656807</v>
      </c>
      <c r="BK4" s="37"/>
      <c r="BL4" s="14" t="n">
        <f aca="false">10^6/((AH4+273.15)^2)</f>
        <v>11.7005780495753</v>
      </c>
      <c r="BM4" s="14" t="n">
        <f aca="false">BL4*(2*($AI4/($AH4+273.15)))</f>
        <v>0.0491459859113096</v>
      </c>
      <c r="BN4" s="14" t="n">
        <f aca="false">10^6/((AJ4+273.15)^2)</f>
        <v>11.6523358957111</v>
      </c>
      <c r="BO4" s="14" t="n">
        <f aca="false">BN4*(2*($AK4/($AJ4+273.15)))</f>
        <v>0.0503562288580655</v>
      </c>
    </row>
    <row r="5" s="14" customFormat="true" ht="16" hidden="false" customHeight="false" outlineLevel="0" collapsed="false">
      <c r="A5" s="22" t="s">
        <v>100</v>
      </c>
      <c r="B5" s="36" t="s">
        <v>556</v>
      </c>
      <c r="C5" s="14" t="s">
        <v>557</v>
      </c>
      <c r="D5" s="36" t="s">
        <v>556</v>
      </c>
      <c r="E5" s="34" t="s">
        <v>558</v>
      </c>
      <c r="F5" s="22" t="n">
        <v>50.543</v>
      </c>
      <c r="G5" s="22" t="n">
        <v>-26.547</v>
      </c>
      <c r="H5" s="22" t="s">
        <v>78</v>
      </c>
      <c r="I5" s="22" t="s">
        <v>79</v>
      </c>
      <c r="J5" s="22" t="n">
        <v>3013</v>
      </c>
      <c r="K5" s="35" t="s">
        <v>100</v>
      </c>
      <c r="L5" s="22" t="s">
        <v>104</v>
      </c>
      <c r="M5" s="22" t="s">
        <v>105</v>
      </c>
      <c r="N5" s="22" t="s">
        <v>106</v>
      </c>
      <c r="O5" s="22" t="s">
        <v>71</v>
      </c>
      <c r="P5" s="22" t="s">
        <v>71</v>
      </c>
      <c r="Q5" s="22" t="n">
        <v>5</v>
      </c>
      <c r="R5" s="35" t="s">
        <v>83</v>
      </c>
      <c r="S5" s="25" t="n">
        <v>35.2833809523809</v>
      </c>
      <c r="T5" s="22" t="n">
        <v>31.2274146341463</v>
      </c>
      <c r="U5" s="36" t="n">
        <v>8</v>
      </c>
      <c r="V5" s="48" t="n">
        <v>-0.290851791375</v>
      </c>
      <c r="W5" s="48" t="n">
        <v>0.0447045983402884</v>
      </c>
      <c r="X5" s="48" t="n">
        <v>0.0158054623183194</v>
      </c>
      <c r="Y5" s="48" t="n">
        <v>1.45044730656865</v>
      </c>
      <c r="Z5" s="48" t="n">
        <v>0.0697042515936231</v>
      </c>
      <c r="AA5" s="48" t="n">
        <v>0.024644174489692</v>
      </c>
      <c r="AB5" s="27" t="n">
        <v>0.444262241428571</v>
      </c>
      <c r="AC5" s="27" t="n">
        <v>0.200304618430091</v>
      </c>
      <c r="AD5" s="27" t="n">
        <v>0.200043545318236</v>
      </c>
      <c r="AE5" s="61" t="n">
        <v>0.610443116588384</v>
      </c>
      <c r="AF5" s="61" t="n">
        <v>0.00518951874330828</v>
      </c>
      <c r="AG5" s="61" t="n">
        <f aca="false">AF5*SQRT(U5)</f>
        <v>0.0146781755779519</v>
      </c>
      <c r="AH5" s="29" t="n">
        <v>11.8234142121814</v>
      </c>
      <c r="AI5" s="27" t="n">
        <v>0.477374522234881</v>
      </c>
      <c r="AJ5" s="27" t="n">
        <f aca="false">VLOOKUP(B5,proft,2,0)</f>
        <v>10.1</v>
      </c>
      <c r="AK5" s="27" t="n">
        <f aca="false">VLOOKUP(B5,proft,3,0)</f>
        <v>0.291</v>
      </c>
      <c r="AL5" s="79" t="s">
        <v>107</v>
      </c>
      <c r="AN5" s="14" t="n">
        <v>19</v>
      </c>
      <c r="BB5" s="30" t="n">
        <v>12.576</v>
      </c>
      <c r="BC5" s="30" t="n">
        <v>2.421</v>
      </c>
      <c r="BD5" s="30" t="n">
        <v>0.02421</v>
      </c>
      <c r="BE5" s="31" t="n">
        <v>13.1577</v>
      </c>
      <c r="BF5" s="31" t="n">
        <v>2.425</v>
      </c>
      <c r="BG5" s="31" t="n">
        <v>0.02425</v>
      </c>
      <c r="BH5" s="14" t="n">
        <f aca="false">10^6/((BB5+273.15)^2)</f>
        <v>12.2489955617734</v>
      </c>
      <c r="BI5" s="14" t="n">
        <f aca="false">BH5*(2*($BF5/($BE5+273.15)))</f>
        <v>0.207495741381042</v>
      </c>
      <c r="BJ5" s="14" t="n">
        <f aca="false">BH5*(2*($BG5/($BE5+273.15)))</f>
        <v>0.00207495741381042</v>
      </c>
      <c r="BL5" s="14" t="n">
        <f aca="false">10^6/((AH5+273.15)^2)</f>
        <v>12.3137776920988</v>
      </c>
      <c r="BM5" s="14" t="n">
        <f aca="false">BL5*(2*($AI5/($AH5+273.15)))</f>
        <v>0.0412549623895471</v>
      </c>
      <c r="BN5" s="14" t="n">
        <f aca="false">10^6/((AJ5+273.15)^2)</f>
        <v>12.4640781373058</v>
      </c>
      <c r="BO5" s="14" t="n">
        <f aca="false">BN5*(2*($AK5/($AJ5+273.15)))</f>
        <v>0.0256102152724166</v>
      </c>
    </row>
    <row r="6" s="14" customFormat="true" ht="16" hidden="false" customHeight="false" outlineLevel="0" collapsed="false">
      <c r="A6" s="22" t="s">
        <v>100</v>
      </c>
      <c r="B6" s="36" t="s">
        <v>559</v>
      </c>
      <c r="C6" s="14" t="s">
        <v>557</v>
      </c>
      <c r="D6" s="36" t="s">
        <v>559</v>
      </c>
      <c r="E6" s="34" t="s">
        <v>558</v>
      </c>
      <c r="F6" s="22" t="n">
        <v>50.543</v>
      </c>
      <c r="G6" s="22" t="n">
        <v>-26.547</v>
      </c>
      <c r="H6" s="22" t="s">
        <v>78</v>
      </c>
      <c r="I6" s="22" t="s">
        <v>79</v>
      </c>
      <c r="J6" s="22" t="n">
        <v>3013</v>
      </c>
      <c r="K6" s="35" t="s">
        <v>100</v>
      </c>
      <c r="L6" s="22" t="s">
        <v>104</v>
      </c>
      <c r="M6" s="22" t="s">
        <v>105</v>
      </c>
      <c r="N6" s="22" t="s">
        <v>106</v>
      </c>
      <c r="O6" s="22" t="s">
        <v>71</v>
      </c>
      <c r="P6" s="22" t="s">
        <v>71</v>
      </c>
      <c r="Q6" s="22" t="n">
        <v>5</v>
      </c>
      <c r="R6" s="35" t="s">
        <v>83</v>
      </c>
      <c r="S6" s="25" t="n">
        <v>35.2833809523809</v>
      </c>
      <c r="T6" s="22" t="n">
        <v>31.2274146341463</v>
      </c>
      <c r="U6" s="36" t="n">
        <v>9</v>
      </c>
      <c r="V6" s="48" t="n">
        <v>-0.275507647888889</v>
      </c>
      <c r="W6" s="48" t="n">
        <v>0.0519410345046697</v>
      </c>
      <c r="X6" s="48" t="n">
        <v>0.0173136781682232</v>
      </c>
      <c r="Y6" s="48" t="n">
        <v>1.45517126138047</v>
      </c>
      <c r="Z6" s="48" t="n">
        <v>0.049039592182224</v>
      </c>
      <c r="AA6" s="48" t="n">
        <v>0.016346530727408</v>
      </c>
      <c r="AB6" s="27" t="n">
        <v>0.444262241428571</v>
      </c>
      <c r="AC6" s="27" t="n">
        <v>0.200304618430091</v>
      </c>
      <c r="AD6" s="27" t="n">
        <v>0.200043545318236</v>
      </c>
      <c r="AE6" s="61" t="n">
        <v>0.625583897844408</v>
      </c>
      <c r="AF6" s="61" t="n">
        <v>0.00434308780429272</v>
      </c>
      <c r="AG6" s="61" t="n">
        <f aca="false">AF6*SQRT(U6)</f>
        <v>0.0130292634128782</v>
      </c>
      <c r="AH6" s="29" t="n">
        <v>11.8234142121814</v>
      </c>
      <c r="AI6" s="27" t="n">
        <v>0.477374522234881</v>
      </c>
      <c r="AJ6" s="27" t="n">
        <f aca="false">VLOOKUP(B6,proft,2,0)</f>
        <v>10.1</v>
      </c>
      <c r="AK6" s="27" t="n">
        <f aca="false">VLOOKUP(B6,proft,3,0)</f>
        <v>0.291</v>
      </c>
      <c r="AL6" s="27" t="s">
        <v>107</v>
      </c>
      <c r="BB6" s="30" t="n">
        <v>12.548</v>
      </c>
      <c r="BC6" s="30" t="n">
        <v>2.376</v>
      </c>
      <c r="BD6" s="30" t="n">
        <v>0.02414</v>
      </c>
      <c r="BE6" s="31" t="n">
        <v>13.6279</v>
      </c>
      <c r="BF6" s="31" t="n">
        <v>2.387</v>
      </c>
      <c r="BG6" s="31" t="n">
        <v>0.02387</v>
      </c>
      <c r="BH6" s="14" t="n">
        <f aca="false">10^6/((BB6+273.15)^2)</f>
        <v>12.2513966194098</v>
      </c>
      <c r="BI6" s="14" t="n">
        <f aca="false">BH6*(2*($BF6/($BE6+273.15)))</f>
        <v>0.203949354050861</v>
      </c>
      <c r="BJ6" s="14" t="n">
        <f aca="false">BH6*(2*($BG6/($BE6+273.15)))</f>
        <v>0.00203949354050861</v>
      </c>
      <c r="BL6" s="14" t="n">
        <f aca="false">10^6/((AH6+273.15)^2)</f>
        <v>12.3137776920988</v>
      </c>
      <c r="BM6" s="14" t="n">
        <f aca="false">BL6*(2*($AI6/($AH6+273.15)))</f>
        <v>0.0412549623895471</v>
      </c>
      <c r="BN6" s="14" t="n">
        <f aca="false">10^6/((AJ6+273.15)^2)</f>
        <v>12.4640781373058</v>
      </c>
      <c r="BO6" s="14" t="n">
        <f aca="false">BN6*(2*($AK6/($AJ6+273.15)))</f>
        <v>0.0256102152724166</v>
      </c>
    </row>
    <row r="7" s="14" customFormat="true" ht="16" hidden="false" customHeight="false" outlineLevel="0" collapsed="false">
      <c r="A7" s="22" t="s">
        <v>100</v>
      </c>
      <c r="B7" s="36" t="s">
        <v>560</v>
      </c>
      <c r="C7" s="14" t="s">
        <v>557</v>
      </c>
      <c r="D7" s="36" t="s">
        <v>560</v>
      </c>
      <c r="E7" s="34" t="s">
        <v>561</v>
      </c>
      <c r="F7" s="22" t="n">
        <v>58.5</v>
      </c>
      <c r="G7" s="22" t="n">
        <v>-20.493</v>
      </c>
      <c r="H7" s="22" t="s">
        <v>78</v>
      </c>
      <c r="I7" s="22" t="s">
        <v>79</v>
      </c>
      <c r="J7" s="22" t="n">
        <v>2911</v>
      </c>
      <c r="K7" s="35" t="s">
        <v>100</v>
      </c>
      <c r="L7" s="22" t="s">
        <v>104</v>
      </c>
      <c r="M7" s="22" t="s">
        <v>105</v>
      </c>
      <c r="N7" s="22" t="s">
        <v>106</v>
      </c>
      <c r="O7" s="22" t="s">
        <v>71</v>
      </c>
      <c r="P7" s="22" t="s">
        <v>71</v>
      </c>
      <c r="Q7" s="22" t="n">
        <v>5</v>
      </c>
      <c r="R7" s="35" t="s">
        <v>83</v>
      </c>
      <c r="S7" s="25" t="n">
        <v>35.1764285714286</v>
      </c>
      <c r="T7" s="22" t="n">
        <v>30.7898472906404</v>
      </c>
      <c r="U7" s="36" t="n">
        <v>9</v>
      </c>
      <c r="V7" s="48" t="n">
        <v>0.0983390237777778</v>
      </c>
      <c r="W7" s="48" t="n">
        <v>0.037591767527287</v>
      </c>
      <c r="X7" s="48" t="n">
        <v>0.0125305891757623</v>
      </c>
      <c r="Y7" s="48" t="n">
        <v>1.94289710274607</v>
      </c>
      <c r="Z7" s="48" t="n">
        <v>0.0745491897834687</v>
      </c>
      <c r="AA7" s="48" t="n">
        <v>0.0248497299278229</v>
      </c>
      <c r="AB7" s="27" t="n">
        <v>0.4012357</v>
      </c>
      <c r="AC7" s="27" t="n">
        <v>0.200090799075673</v>
      </c>
      <c r="AD7" s="27" t="n">
        <v>0.200012973820179</v>
      </c>
      <c r="AE7" s="61" t="n">
        <v>0.617279677668507</v>
      </c>
      <c r="AF7" s="61" t="n">
        <v>0.00694982135136565</v>
      </c>
      <c r="AG7" s="61" t="n">
        <f aca="false">AF7*SQRT(U7)</f>
        <v>0.020849464054097</v>
      </c>
      <c r="AH7" s="29" t="n">
        <v>9.75970159258161</v>
      </c>
      <c r="AI7" s="27" t="n">
        <v>0.353237550320552</v>
      </c>
      <c r="AJ7" s="27" t="n">
        <f aca="false">VLOOKUP(B7,proft,2,0)</f>
        <v>7.7</v>
      </c>
      <c r="AK7" s="27" t="n">
        <f aca="false">VLOOKUP(B7,proft,3,0)</f>
        <v>0.239</v>
      </c>
      <c r="AL7" s="27" t="s">
        <v>107</v>
      </c>
      <c r="BB7" s="30" t="n">
        <v>10.552</v>
      </c>
      <c r="BC7" s="30" t="n">
        <v>2.415</v>
      </c>
      <c r="BD7" s="30" t="n">
        <v>0.02415</v>
      </c>
      <c r="BE7" s="31" t="n">
        <v>11.5814</v>
      </c>
      <c r="BF7" s="31" t="n">
        <v>2.408</v>
      </c>
      <c r="BG7" s="31" t="n">
        <v>0.02408</v>
      </c>
      <c r="BH7" s="14" t="n">
        <f aca="false">10^6/((BB7+273.15)^2)</f>
        <v>12.4243937120787</v>
      </c>
      <c r="BI7" s="14" t="n">
        <f aca="false">BH7*(2*($BF7/($BE7+273.15)))</f>
        <v>0.21014851230799</v>
      </c>
      <c r="BJ7" s="14" t="n">
        <f aca="false">BH7*(2*($BG7/($BE7+273.15)))</f>
        <v>0.0021014851230799</v>
      </c>
      <c r="BL7" s="14" t="n">
        <f aca="false">10^6/((AH7+273.15)^2)</f>
        <v>12.4940810454241</v>
      </c>
      <c r="BM7" s="14" t="n">
        <f aca="false">BL7*(2*($AI7/($AH7+273.15)))</f>
        <v>0.0311999097743756</v>
      </c>
      <c r="BN7" s="14" t="n">
        <f aca="false">10^6/((AJ7+273.15)^2)</f>
        <v>12.6780115641849</v>
      </c>
      <c r="BO7" s="14" t="n">
        <f aca="false">BN7*(2*($AK7/($AJ7+273.15)))</f>
        <v>0.0215776732336848</v>
      </c>
    </row>
    <row r="8" s="14" customFormat="true" ht="16" hidden="false" customHeight="false" outlineLevel="0" collapsed="false">
      <c r="A8" s="22" t="s">
        <v>67</v>
      </c>
      <c r="B8" s="36" t="s">
        <v>562</v>
      </c>
      <c r="C8" s="14" t="s">
        <v>557</v>
      </c>
      <c r="D8" s="36" t="s">
        <v>562</v>
      </c>
      <c r="E8" s="34" t="s">
        <v>563</v>
      </c>
      <c r="F8" s="22" t="n">
        <v>7.05</v>
      </c>
      <c r="G8" s="22" t="n">
        <v>76.717</v>
      </c>
      <c r="H8" s="22" t="s">
        <v>125</v>
      </c>
      <c r="I8" s="22" t="s">
        <v>121</v>
      </c>
      <c r="J8" s="22" t="n">
        <v>1254</v>
      </c>
      <c r="K8" s="35" t="s">
        <v>67</v>
      </c>
      <c r="L8" s="22" t="s">
        <v>68</v>
      </c>
      <c r="M8" s="22" t="s">
        <v>69</v>
      </c>
      <c r="N8" s="22" t="s">
        <v>70</v>
      </c>
      <c r="O8" s="22" t="s">
        <v>71</v>
      </c>
      <c r="P8" s="22" t="s">
        <v>71</v>
      </c>
      <c r="Q8" s="22" t="n">
        <v>5</v>
      </c>
      <c r="R8" s="35" t="s">
        <v>62</v>
      </c>
      <c r="S8" s="25" t="n">
        <v>35.1563636363636</v>
      </c>
      <c r="T8" s="22" t="n">
        <v>17.2642113402062</v>
      </c>
      <c r="U8" s="36" t="n">
        <v>7</v>
      </c>
      <c r="V8" s="48" t="n">
        <v>2.04837261605144</v>
      </c>
      <c r="W8" s="48" t="n">
        <v>0.0925967810999411</v>
      </c>
      <c r="X8" s="48" t="n">
        <v>0.03499829357079</v>
      </c>
      <c r="Y8" s="48" t="n">
        <v>-2.38886165261463</v>
      </c>
      <c r="Z8" s="48" t="n">
        <v>0.139566045105101</v>
      </c>
      <c r="AA8" s="48" t="n">
        <v>0.0527510066881316</v>
      </c>
      <c r="AB8" s="27" t="n">
        <v>0.322949073333333</v>
      </c>
      <c r="AC8" s="27" t="n">
        <v>0.220842127318879</v>
      </c>
      <c r="AD8" s="27" t="n">
        <v>0.207180473017068</v>
      </c>
      <c r="AE8" s="61" t="n">
        <v>0.586722213367206</v>
      </c>
      <c r="AF8" s="61" t="n">
        <v>0.00739933614211607</v>
      </c>
      <c r="AG8" s="61" t="n">
        <f aca="false">AF8*SQRT(U8)</f>
        <v>0.0195768032990112</v>
      </c>
      <c r="AH8" s="29" t="n">
        <v>24.5091653303667</v>
      </c>
      <c r="AI8" s="27" t="n">
        <v>1.81517952448127</v>
      </c>
      <c r="AJ8" s="27" t="n">
        <f aca="false">VLOOKUP(B8,proft,2,0)</f>
        <v>28.4</v>
      </c>
      <c r="AK8" s="27" t="n">
        <f aca="false">VLOOKUP(B8,proft,3,0)</f>
        <v>0.454</v>
      </c>
      <c r="AL8" s="27" t="s">
        <v>72</v>
      </c>
      <c r="AM8" s="62"/>
      <c r="BB8" s="30" t="n">
        <v>28.73</v>
      </c>
      <c r="BC8" s="30" t="n">
        <v>2.133</v>
      </c>
      <c r="BD8" s="30" t="n">
        <v>0.02133</v>
      </c>
      <c r="BE8" s="31" t="n">
        <v>28.7048</v>
      </c>
      <c r="BF8" s="31" t="n">
        <v>2.109</v>
      </c>
      <c r="BG8" s="31" t="n">
        <v>0.02109</v>
      </c>
      <c r="BH8" s="14" t="n">
        <f aca="false">10^6/((BB8+273.15)^2)</f>
        <v>10.9731500361965</v>
      </c>
      <c r="BI8" s="14" t="n">
        <f aca="false">BH8*(2*($BF8/($BE8+273.15)))</f>
        <v>0.153334473570328</v>
      </c>
      <c r="BJ8" s="14" t="n">
        <f aca="false">BH8*(2*($BG8/($BE8+273.15)))</f>
        <v>0.00153334473570328</v>
      </c>
      <c r="BL8" s="14" t="n">
        <f aca="false">10^6/((AH8+273.15)^2)</f>
        <v>11.2865570404996</v>
      </c>
      <c r="BM8" s="14" t="n">
        <f aca="false">BL8*(2*($AI8/($AH8+273.15)))</f>
        <v>0.13765493979711</v>
      </c>
      <c r="BN8" s="14" t="n">
        <f aca="false">10^6/((AJ8+273.15)^2)</f>
        <v>10.9971800206203</v>
      </c>
      <c r="BO8" s="14" t="n">
        <f aca="false">BN8*(2*($AK8/($AJ8+273.15)))</f>
        <v>0.0331137106905097</v>
      </c>
    </row>
    <row r="9" s="14" customFormat="true" ht="16" hidden="false" customHeight="false" outlineLevel="0" collapsed="false">
      <c r="A9" s="22" t="s">
        <v>74</v>
      </c>
      <c r="B9" s="36" t="s">
        <v>573</v>
      </c>
      <c r="C9" s="14" t="s">
        <v>557</v>
      </c>
      <c r="D9" s="36" t="s">
        <v>573</v>
      </c>
      <c r="E9" s="34" t="s">
        <v>574</v>
      </c>
      <c r="F9" s="22" t="n">
        <v>53.1961667</v>
      </c>
      <c r="G9" s="22" t="n">
        <v>149.58</v>
      </c>
      <c r="H9" s="22" t="s">
        <v>56</v>
      </c>
      <c r="I9" s="22" t="s">
        <v>575</v>
      </c>
      <c r="J9" s="22" t="n">
        <v>123</v>
      </c>
      <c r="K9" s="35" t="s">
        <v>74</v>
      </c>
      <c r="L9" s="22" t="s">
        <v>80</v>
      </c>
      <c r="M9" s="22" t="s">
        <v>81</v>
      </c>
      <c r="N9" s="22" t="s">
        <v>82</v>
      </c>
      <c r="O9" s="22" t="s">
        <v>71</v>
      </c>
      <c r="P9" s="22" t="s">
        <v>71</v>
      </c>
      <c r="Q9" s="22" t="n">
        <v>5</v>
      </c>
      <c r="R9" s="35" t="s">
        <v>83</v>
      </c>
      <c r="S9" s="25" t="n">
        <v>32.99628</v>
      </c>
      <c r="T9" s="22" t="n">
        <v>23.5315098039216</v>
      </c>
      <c r="U9" s="36" t="n">
        <v>7</v>
      </c>
      <c r="V9" s="48" t="n">
        <v>0.686892683285714</v>
      </c>
      <c r="W9" s="48" t="n">
        <v>0.0253197785145731</v>
      </c>
      <c r="X9" s="48" t="n">
        <v>0.00956997674297096</v>
      </c>
      <c r="Y9" s="48" t="n">
        <v>3.26665310099554</v>
      </c>
      <c r="Z9" s="48" t="n">
        <v>0.0394009205807722</v>
      </c>
      <c r="AA9" s="48" t="n">
        <v>0.01489214818339</v>
      </c>
      <c r="AB9" s="27" t="n">
        <v>-0.713381063</v>
      </c>
      <c r="AC9" s="27" t="n">
        <v>0.236278180843748</v>
      </c>
      <c r="AD9" s="27" t="n">
        <v>0.203918458885612</v>
      </c>
      <c r="AE9" s="61" t="n">
        <v>0.657615668532537</v>
      </c>
      <c r="AF9" s="61" t="n">
        <v>0.0107848058460664</v>
      </c>
      <c r="AG9" s="61" t="n">
        <f aca="false">AF9*SQRT(U9)</f>
        <v>0.0285339142068072</v>
      </c>
      <c r="AH9" s="29" t="n">
        <v>1.85196682529524</v>
      </c>
      <c r="AI9" s="27" t="n">
        <v>2.77530859538754</v>
      </c>
      <c r="AJ9" s="27" t="n">
        <f aca="false">VLOOKUP(B9,proft,2,0)</f>
        <v>2.4</v>
      </c>
      <c r="AK9" s="27" t="n">
        <f aca="false">VLOOKUP(B9,proft,3,0)</f>
        <v>0.0329983495175839</v>
      </c>
      <c r="AL9" s="27" t="s">
        <v>84</v>
      </c>
      <c r="BB9" s="30" t="n">
        <v>0.8496</v>
      </c>
      <c r="BC9" s="30" t="n">
        <v>2.165</v>
      </c>
      <c r="BD9" s="30" t="n">
        <v>0.02165</v>
      </c>
      <c r="BE9" s="31" t="n">
        <v>1.9719</v>
      </c>
      <c r="BF9" s="31" t="n">
        <v>2.154</v>
      </c>
      <c r="BG9" s="31" t="n">
        <v>0.02162</v>
      </c>
      <c r="BH9" s="14" t="n">
        <f aca="false">10^6/((BB9+273.15)^2)</f>
        <v>13.3198747897387</v>
      </c>
      <c r="BI9" s="14" t="n">
        <f aca="false">BH9*(2*($BF9/($BE9+273.15)))</f>
        <v>0.208569439925336</v>
      </c>
      <c r="BJ9" s="14" t="n">
        <f aca="false">BH9*(2*($BG9/($BE9+273.15)))</f>
        <v>0.0020934407108569</v>
      </c>
      <c r="BL9" s="14" t="n">
        <f aca="false">10^6/((AH9+273.15)^2)</f>
        <v>13.2229513516627</v>
      </c>
      <c r="BM9" s="14" t="n">
        <f aca="false">BL9*(2*($AI9/($AH9+273.15)))</f>
        <v>0.266890967845145</v>
      </c>
      <c r="BN9" s="14" t="n">
        <f aca="false">10^6/((AJ9+273.15)^2)</f>
        <v>13.1704061894851</v>
      </c>
      <c r="BO9" s="14" t="n">
        <f aca="false">BN9*(2*($AK9/($AJ9+273.15)))</f>
        <v>0.00315443053332737</v>
      </c>
    </row>
    <row r="10" s="14" customFormat="true" ht="16" hidden="false" customHeight="false" outlineLevel="0" collapsed="false">
      <c r="A10" s="22" t="s">
        <v>85</v>
      </c>
      <c r="B10" s="36" t="s">
        <v>585</v>
      </c>
      <c r="C10" s="14" t="s">
        <v>557</v>
      </c>
      <c r="D10" s="36" t="s">
        <v>585</v>
      </c>
      <c r="E10" s="34" t="s">
        <v>586</v>
      </c>
      <c r="F10" s="22" t="n">
        <v>37.70566</v>
      </c>
      <c r="G10" s="22" t="n">
        <v>-10.492</v>
      </c>
      <c r="H10" s="22" t="s">
        <v>78</v>
      </c>
      <c r="I10" s="22" t="s">
        <v>566</v>
      </c>
      <c r="J10" s="22" t="n">
        <v>3729</v>
      </c>
      <c r="K10" s="35" t="s">
        <v>85</v>
      </c>
      <c r="L10" s="22" t="s">
        <v>89</v>
      </c>
      <c r="M10" s="22" t="s">
        <v>90</v>
      </c>
      <c r="N10" s="22" t="s">
        <v>91</v>
      </c>
      <c r="O10" s="22" t="s">
        <v>92</v>
      </c>
      <c r="P10" s="22" t="s">
        <v>92</v>
      </c>
      <c r="Q10" s="22" t="n">
        <v>4</v>
      </c>
      <c r="R10" s="35" t="s">
        <v>62</v>
      </c>
      <c r="S10" s="25" t="n">
        <v>36.1821052631579</v>
      </c>
      <c r="T10" s="22" t="n">
        <v>17.8601857142857</v>
      </c>
      <c r="U10" s="36" t="n">
        <v>7</v>
      </c>
      <c r="V10" s="48" t="n">
        <v>1.98870072928571</v>
      </c>
      <c r="W10" s="48" t="n">
        <v>0.098382871638217</v>
      </c>
      <c r="X10" s="48" t="n">
        <v>0.0371852302318731</v>
      </c>
      <c r="Y10" s="48" t="n">
        <v>0.937107192945372</v>
      </c>
      <c r="Z10" s="48" t="n">
        <v>0.0525311289990519</v>
      </c>
      <c r="AA10" s="48" t="n">
        <v>0.0198549004887064</v>
      </c>
      <c r="AB10" s="27" t="n">
        <v>1.3568424</v>
      </c>
      <c r="AC10" s="27" t="n">
        <v>0.210685786242016</v>
      </c>
      <c r="AD10" s="27" t="n">
        <v>0.201561228033432</v>
      </c>
      <c r="AE10" s="61" t="n">
        <v>0.603231923930479</v>
      </c>
      <c r="AF10" s="61" t="n">
        <v>0.00843276469582819</v>
      </c>
      <c r="AG10" s="61" t="n">
        <f aca="false">AF10*SQRT(U10)</f>
        <v>0.0223109982498866</v>
      </c>
      <c r="AH10" s="29" t="n">
        <v>14.6372412129452</v>
      </c>
      <c r="AI10" s="27" t="n">
        <v>1.09842113677567</v>
      </c>
      <c r="AJ10" s="27" t="n">
        <f aca="false">VLOOKUP(B10,proft,2,0)</f>
        <v>16.5</v>
      </c>
      <c r="AK10" s="27" t="n">
        <f aca="false">VLOOKUP(B10,proft,3,0)</f>
        <v>0.634</v>
      </c>
      <c r="AL10" s="27" t="s">
        <v>63</v>
      </c>
      <c r="BB10" s="30" t="n">
        <v>17.863</v>
      </c>
      <c r="BC10" s="30" t="n">
        <v>2.264</v>
      </c>
      <c r="BD10" s="30" t="n">
        <v>0.02264</v>
      </c>
      <c r="BE10" s="31" t="n">
        <v>18.8605</v>
      </c>
      <c r="BF10" s="31" t="n">
        <v>2.205</v>
      </c>
      <c r="BG10" s="31" t="n">
        <v>0.0216</v>
      </c>
      <c r="BH10" s="14" t="n">
        <f aca="false">10^6/((BB10+273.15)^2)</f>
        <v>11.8079694253467</v>
      </c>
      <c r="BI10" s="14" t="n">
        <f aca="false">BH10*(2*($BF10/($BE10+273.15)))</f>
        <v>0.178326276506423</v>
      </c>
      <c r="BJ10" s="14" t="n">
        <f aca="false">BH10*(2*($BG10/($BE10+273.15)))</f>
        <v>0.00174686964740986</v>
      </c>
      <c r="BL10" s="14" t="n">
        <f aca="false">10^6/((AH10+273.15)^2)</f>
        <v>12.0741600408342</v>
      </c>
      <c r="BM10" s="14" t="n">
        <f aca="false">BL10*(2*($AI10/($AH10+273.15)))</f>
        <v>0.0921688712937135</v>
      </c>
      <c r="BN10" s="14" t="n">
        <f aca="false">10^6/((AJ10+273.15)^2)</f>
        <v>11.919359927988</v>
      </c>
      <c r="BO10" s="14" t="n">
        <f aca="false">BN10*(2*($AK10/($AJ10+273.15)))</f>
        <v>0.0521793488302737</v>
      </c>
    </row>
    <row r="11" s="14" customFormat="true" ht="16" hidden="false" customHeight="false" outlineLevel="0" collapsed="false">
      <c r="A11" s="22" t="s">
        <v>93</v>
      </c>
      <c r="B11" s="36" t="s">
        <v>576</v>
      </c>
      <c r="C11" s="14" t="s">
        <v>557</v>
      </c>
      <c r="D11" s="36" t="s">
        <v>576</v>
      </c>
      <c r="E11" s="34" t="s">
        <v>577</v>
      </c>
      <c r="F11" s="22" t="n">
        <v>46.213</v>
      </c>
      <c r="G11" s="22" t="n">
        <v>-23.715</v>
      </c>
      <c r="H11" s="22" t="s">
        <v>78</v>
      </c>
      <c r="I11" s="22" t="s">
        <v>79</v>
      </c>
      <c r="J11" s="22" t="n">
        <v>3393</v>
      </c>
      <c r="K11" s="35" t="s">
        <v>93</v>
      </c>
      <c r="L11" s="22" t="s">
        <v>96</v>
      </c>
      <c r="M11" s="22" t="s">
        <v>97</v>
      </c>
      <c r="N11" s="22" t="s">
        <v>98</v>
      </c>
      <c r="O11" s="22" t="s">
        <v>92</v>
      </c>
      <c r="P11" s="22" t="s">
        <v>92</v>
      </c>
      <c r="Q11" s="22" t="n">
        <v>4</v>
      </c>
      <c r="R11" s="35" t="s">
        <v>62</v>
      </c>
      <c r="S11" s="25" t="n">
        <v>35.6415675675676</v>
      </c>
      <c r="T11" s="22" t="n">
        <v>27.5362424242424</v>
      </c>
      <c r="U11" s="36" t="n">
        <v>10</v>
      </c>
      <c r="V11" s="48" t="n">
        <v>0.6309016679</v>
      </c>
      <c r="W11" s="48" t="n">
        <v>0.0561225380240003</v>
      </c>
      <c r="X11" s="48" t="n">
        <v>0.0177475048225247</v>
      </c>
      <c r="Y11" s="48" t="n">
        <v>1.30714661998081</v>
      </c>
      <c r="Z11" s="48" t="n">
        <v>0.0627635191525012</v>
      </c>
      <c r="AA11" s="48" t="n">
        <v>0.0198475674489505</v>
      </c>
      <c r="AB11" s="27" t="n">
        <v>0.701636974285715</v>
      </c>
      <c r="AC11" s="27" t="n">
        <v>0.214897012744409</v>
      </c>
      <c r="AD11" s="27" t="n">
        <v>0.201100672387608</v>
      </c>
      <c r="AE11" s="61" t="n">
        <v>0.634607241000528</v>
      </c>
      <c r="AF11" s="61" t="n">
        <v>0.00783813414032407</v>
      </c>
      <c r="AG11" s="61" t="n">
        <f aca="false">AF11*SQRT(U11)</f>
        <v>0.0247863564893499</v>
      </c>
      <c r="AH11" s="29" t="n">
        <v>14.4466262250333</v>
      </c>
      <c r="AI11" s="27" t="n">
        <v>1.88807623564032</v>
      </c>
      <c r="AJ11" s="27" t="n">
        <f aca="false">VLOOKUP(B11,proft,2,0)</f>
        <v>11.4</v>
      </c>
      <c r="AK11" s="27" t="n">
        <f aca="false">VLOOKUP(B11,proft,3,0)</f>
        <v>0.171</v>
      </c>
      <c r="AL11" s="27" t="s">
        <v>63</v>
      </c>
      <c r="BB11" s="30" t="n">
        <v>13.884</v>
      </c>
      <c r="BC11" s="30" t="n">
        <v>2.22</v>
      </c>
      <c r="BD11" s="30" t="n">
        <v>0.02348</v>
      </c>
      <c r="BE11" s="31" t="n">
        <v>15.3014</v>
      </c>
      <c r="BF11" s="31" t="n">
        <v>2.243</v>
      </c>
      <c r="BG11" s="31" t="n">
        <v>0.02243</v>
      </c>
      <c r="BH11" s="14" t="n">
        <f aca="false">10^6/((BB11+273.15)^2)</f>
        <v>12.1376137660851</v>
      </c>
      <c r="BI11" s="14" t="n">
        <f aca="false">BH11*(2*($BF11/($BE11+273.15)))</f>
        <v>0.188764330333143</v>
      </c>
      <c r="BJ11" s="14" t="n">
        <f aca="false">BH11*(2*($BG11/($BE11+273.15)))</f>
        <v>0.00188764330333143</v>
      </c>
      <c r="BL11" s="14" t="n">
        <f aca="false">10^6/((AH11+273.15)^2)</f>
        <v>12.0901705108218</v>
      </c>
      <c r="BM11" s="14" t="n">
        <f aca="false">BL11*(2*($AI11/($AH11+273.15)))</f>
        <v>0.158744307441636</v>
      </c>
      <c r="BN11" s="14" t="n">
        <f aca="false">10^6/((AJ11+273.15)^2)</f>
        <v>12.3504510894194</v>
      </c>
      <c r="BO11" s="14" t="n">
        <f aca="false">BN11*(2*($AK11/($AJ11+273.15)))</f>
        <v>0.0148439791691493</v>
      </c>
    </row>
    <row r="12" s="14" customFormat="true" ht="16" hidden="false" customHeight="false" outlineLevel="0" collapsed="false">
      <c r="A12" s="22" t="s">
        <v>93</v>
      </c>
      <c r="B12" s="36" t="s">
        <v>578</v>
      </c>
      <c r="C12" s="14" t="s">
        <v>557</v>
      </c>
      <c r="D12" s="36" t="s">
        <v>578</v>
      </c>
      <c r="E12" s="34" t="s">
        <v>579</v>
      </c>
      <c r="F12" s="22" t="n">
        <v>47.172</v>
      </c>
      <c r="G12" s="22" t="n">
        <v>-21.387</v>
      </c>
      <c r="H12" s="22" t="s">
        <v>78</v>
      </c>
      <c r="I12" s="22" t="s">
        <v>79</v>
      </c>
      <c r="J12" s="22" t="n">
        <v>3945</v>
      </c>
      <c r="K12" s="35" t="s">
        <v>93</v>
      </c>
      <c r="L12" s="22" t="s">
        <v>96</v>
      </c>
      <c r="M12" s="22" t="s">
        <v>97</v>
      </c>
      <c r="N12" s="22" t="s">
        <v>98</v>
      </c>
      <c r="O12" s="22" t="s">
        <v>92</v>
      </c>
      <c r="P12" s="22" t="s">
        <v>92</v>
      </c>
      <c r="Q12" s="22" t="n">
        <v>4</v>
      </c>
      <c r="R12" s="35" t="s">
        <v>62</v>
      </c>
      <c r="S12" s="25" t="n">
        <v>35.6192702702703</v>
      </c>
      <c r="T12" s="22" t="n">
        <v>13.1609409836066</v>
      </c>
      <c r="U12" s="36" t="n">
        <v>7</v>
      </c>
      <c r="V12" s="48" t="n">
        <v>1.049409487</v>
      </c>
      <c r="W12" s="48" t="n">
        <v>0.0450757626172528</v>
      </c>
      <c r="X12" s="48" t="n">
        <v>0.017037036863119</v>
      </c>
      <c r="Y12" s="48" t="n">
        <v>1.52597054789653</v>
      </c>
      <c r="Z12" s="48" t="n">
        <v>0.0517397751733741</v>
      </c>
      <c r="AA12" s="48" t="n">
        <v>0.0195557968570202</v>
      </c>
      <c r="AB12" s="27" t="n">
        <v>0.587817352142857</v>
      </c>
      <c r="AC12" s="27" t="n">
        <v>0.208529379309043</v>
      </c>
      <c r="AD12" s="27" t="n">
        <v>0.20062126757276</v>
      </c>
      <c r="AE12" s="61" t="n">
        <v>0.640565717202707</v>
      </c>
      <c r="AF12" s="61" t="n">
        <v>0.00753738805694233</v>
      </c>
      <c r="AG12" s="61" t="n">
        <f aca="false">AF12*SQRT(U12)</f>
        <v>0.0199420543336578</v>
      </c>
      <c r="AH12" s="29" t="n">
        <v>13.0241778863443</v>
      </c>
      <c r="AI12" s="27" t="n">
        <v>1.28336366567763</v>
      </c>
      <c r="AJ12" s="27" t="n">
        <f aca="false">VLOOKUP(B12,proft,2,0)</f>
        <v>9.9</v>
      </c>
      <c r="AK12" s="27" t="n">
        <f aca="false">VLOOKUP(B12,proft,3,0)</f>
        <v>0.407</v>
      </c>
      <c r="AL12" s="27" t="s">
        <v>63</v>
      </c>
      <c r="BB12" s="30" t="n">
        <v>12.582</v>
      </c>
      <c r="BC12" s="30" t="n">
        <v>2.244</v>
      </c>
      <c r="BD12" s="30" t="n">
        <v>0.02244</v>
      </c>
      <c r="BE12" s="31" t="n">
        <v>13.6108</v>
      </c>
      <c r="BF12" s="31" t="n">
        <v>2.239</v>
      </c>
      <c r="BG12" s="31" t="n">
        <v>0.02239</v>
      </c>
      <c r="BH12" s="14" t="n">
        <f aca="false">10^6/((BB12+273.15)^2)</f>
        <v>12.2484811412553</v>
      </c>
      <c r="BI12" s="14" t="n">
        <f aca="false">BH12*(2*($BF12/($BE12+273.15)))</f>
        <v>0.191269861677542</v>
      </c>
      <c r="BJ12" s="14" t="n">
        <f aca="false">BH12*(2*($BG12/($BE12+273.15)))</f>
        <v>0.00191269861677542</v>
      </c>
      <c r="BL12" s="14" t="n">
        <f aca="false">10^6/((AH12+273.15)^2)</f>
        <v>12.2106592573302</v>
      </c>
      <c r="BM12" s="14" t="n">
        <f aca="false">BL12*(2*($AI12/($AH12+273.15)))</f>
        <v>0.109518731148773</v>
      </c>
      <c r="BN12" s="14" t="n">
        <f aca="false">10^6/((AJ12+273.15)^2)</f>
        <v>12.4816983197855</v>
      </c>
      <c r="BO12" s="14" t="n">
        <f aca="false">BN12*(2*($AK12/($AJ12+273.15)))</f>
        <v>0.035895080135331</v>
      </c>
    </row>
    <row r="13" s="14" customFormat="true" ht="16" hidden="false" customHeight="false" outlineLevel="0" collapsed="false">
      <c r="A13" s="22" t="s">
        <v>85</v>
      </c>
      <c r="B13" s="36" t="s">
        <v>587</v>
      </c>
      <c r="C13" s="14" t="s">
        <v>557</v>
      </c>
      <c r="D13" s="36" t="s">
        <v>587</v>
      </c>
      <c r="E13" s="34" t="s">
        <v>588</v>
      </c>
      <c r="F13" s="22" t="n">
        <v>47.673</v>
      </c>
      <c r="G13" s="22" t="n">
        <v>-20.808</v>
      </c>
      <c r="H13" s="22" t="s">
        <v>78</v>
      </c>
      <c r="I13" s="22" t="s">
        <v>79</v>
      </c>
      <c r="J13" s="22" t="n">
        <v>4479</v>
      </c>
      <c r="K13" s="35" t="s">
        <v>85</v>
      </c>
      <c r="L13" s="22" t="s">
        <v>89</v>
      </c>
      <c r="M13" s="22" t="s">
        <v>90</v>
      </c>
      <c r="N13" s="22" t="s">
        <v>91</v>
      </c>
      <c r="O13" s="22" t="s">
        <v>92</v>
      </c>
      <c r="P13" s="22" t="s">
        <v>92</v>
      </c>
      <c r="Q13" s="22" t="n">
        <v>4</v>
      </c>
      <c r="R13" s="35" t="s">
        <v>62</v>
      </c>
      <c r="S13" s="25" t="n">
        <v>35.6609473684211</v>
      </c>
      <c r="T13" s="22" t="n">
        <v>-1.05576041666667</v>
      </c>
      <c r="U13" s="36" t="n">
        <v>6</v>
      </c>
      <c r="V13" s="48" t="n">
        <v>1.97753290398315</v>
      </c>
      <c r="W13" s="48" t="n">
        <v>0.0305894540607666</v>
      </c>
      <c r="X13" s="48" t="n">
        <v>0.0124880923265308</v>
      </c>
      <c r="Y13" s="48" t="n">
        <v>0.957353645284629</v>
      </c>
      <c r="Z13" s="48" t="n">
        <v>0.0287921223953634</v>
      </c>
      <c r="AA13" s="48" t="n">
        <v>0.0117543347467334</v>
      </c>
      <c r="AB13" s="27" t="n">
        <v>0.59755683</v>
      </c>
      <c r="AC13" s="27" t="n">
        <v>0.200307563959533</v>
      </c>
      <c r="AD13" s="27" t="n">
        <v>0.200043966659976</v>
      </c>
      <c r="AE13" s="61" t="n">
        <v>0.606119555392167</v>
      </c>
      <c r="AF13" s="61" t="n">
        <v>0.00471262903087338</v>
      </c>
      <c r="AG13" s="61" t="n">
        <f aca="false">AF13*SQRT(U13)</f>
        <v>0.0115435364726666</v>
      </c>
      <c r="AH13" s="29" t="n">
        <v>13.3764349284925</v>
      </c>
      <c r="AI13" s="27" t="n">
        <v>0.598908217077686</v>
      </c>
      <c r="AJ13" s="27" t="n">
        <f aca="false">VLOOKUP(B13,proft,2,0)</f>
        <v>13.2</v>
      </c>
      <c r="AK13" s="27" t="n">
        <f aca="false">VLOOKUP(B13,proft,3,0)</f>
        <v>0.085</v>
      </c>
      <c r="AL13" s="27" t="s">
        <v>63</v>
      </c>
      <c r="AM13" s="62"/>
      <c r="BB13" s="30" t="n">
        <v>14.886</v>
      </c>
      <c r="BC13" s="30" t="n">
        <v>2.237</v>
      </c>
      <c r="BD13" s="30" t="n">
        <v>0.02237</v>
      </c>
      <c r="BE13" s="31" t="n">
        <v>14.799</v>
      </c>
      <c r="BF13" s="31" t="n">
        <v>2.242</v>
      </c>
      <c r="BG13" s="31" t="n">
        <v>0.02242</v>
      </c>
      <c r="BH13" s="14" t="n">
        <f aca="false">10^6/((BB13+273.15)^2)</f>
        <v>12.0533136437499</v>
      </c>
      <c r="BI13" s="14" t="n">
        <f aca="false">BH13*(2*($BF13/($BE13+273.15)))</f>
        <v>0.187696635093626</v>
      </c>
      <c r="BJ13" s="14" t="n">
        <f aca="false">BH13*(2*($BG13/($BE13+273.15)))</f>
        <v>0.00187696635093626</v>
      </c>
      <c r="BL13" s="14" t="n">
        <f aca="false">10^6/((AH13+273.15)^2)</f>
        <v>12.1806540209931</v>
      </c>
      <c r="BM13" s="14" t="n">
        <f aca="false">BL13*(2*($AI13/($AH13+273.15)))</f>
        <v>0.0509209126506859</v>
      </c>
      <c r="BN13" s="14" t="n">
        <f aca="false">10^6/((AJ13+273.15)^2)</f>
        <v>12.195668897224</v>
      </c>
      <c r="BO13" s="14" t="n">
        <f aca="false">BN13*(2*($AK13/($AJ13+273.15)))</f>
        <v>0.007240313296763</v>
      </c>
    </row>
    <row r="14" s="14" customFormat="true" ht="16" hidden="false" customHeight="false" outlineLevel="0" collapsed="false">
      <c r="A14" s="22" t="s">
        <v>130</v>
      </c>
      <c r="B14" s="36" t="s">
        <v>580</v>
      </c>
      <c r="C14" s="14" t="s">
        <v>557</v>
      </c>
      <c r="D14" s="36" t="s">
        <v>580</v>
      </c>
      <c r="E14" s="34" t="s">
        <v>581</v>
      </c>
      <c r="F14" s="22" t="n">
        <v>20</v>
      </c>
      <c r="G14" s="22" t="n">
        <v>-20.4</v>
      </c>
      <c r="H14" s="22" t="s">
        <v>78</v>
      </c>
      <c r="I14" s="22" t="s">
        <v>582</v>
      </c>
      <c r="J14" s="22" t="n">
        <v>3400</v>
      </c>
      <c r="K14" s="35" t="s">
        <v>130</v>
      </c>
      <c r="L14" s="22" t="s">
        <v>80</v>
      </c>
      <c r="M14" s="22" t="s">
        <v>134</v>
      </c>
      <c r="N14" s="22" t="s">
        <v>583</v>
      </c>
      <c r="O14" s="22" t="s">
        <v>92</v>
      </c>
      <c r="P14" s="22" t="s">
        <v>92</v>
      </c>
      <c r="Q14" s="22" t="n">
        <v>4</v>
      </c>
      <c r="R14" s="35" t="s">
        <v>62</v>
      </c>
      <c r="S14" s="25" t="n">
        <v>36.5490555555556</v>
      </c>
      <c r="T14" s="22" t="n">
        <v>21.243033557047</v>
      </c>
      <c r="U14" s="36" t="n">
        <v>11</v>
      </c>
      <c r="V14" s="48" t="n">
        <v>1.78385621909091</v>
      </c>
      <c r="W14" s="48" t="n">
        <v>0.0666016432340024</v>
      </c>
      <c r="X14" s="48" t="n">
        <v>0.0200811510025726</v>
      </c>
      <c r="Y14" s="48" t="n">
        <v>0.210833406096324</v>
      </c>
      <c r="Z14" s="48" t="n">
        <v>0.0666436807129569</v>
      </c>
      <c r="AA14" s="48" t="n">
        <v>0.0200938257793748</v>
      </c>
      <c r="AB14" s="27" t="n">
        <v>0.8700112</v>
      </c>
      <c r="AC14" s="27" t="n">
        <v>0.209293170760686</v>
      </c>
      <c r="AD14" s="27" t="n">
        <v>0.200822058902139</v>
      </c>
      <c r="AE14" s="61" t="n">
        <v>0.620598332063375</v>
      </c>
      <c r="AF14" s="61" t="n">
        <v>0.0116412161337307</v>
      </c>
      <c r="AG14" s="61" t="n">
        <f aca="false">AF14*SQRT(U14)</f>
        <v>0.0386095460190165</v>
      </c>
      <c r="AH14" s="29" t="n">
        <v>19.3941742579142</v>
      </c>
      <c r="AI14" s="27" t="n">
        <v>1.93654512933949</v>
      </c>
      <c r="AJ14" s="27" t="n">
        <f aca="false">VLOOKUP(B14,proft,2,0)</f>
        <v>18</v>
      </c>
      <c r="AK14" s="27" t="n">
        <f aca="false">VLOOKUP(B14,proft,3,0)</f>
        <v>0.273</v>
      </c>
      <c r="AL14" s="27" t="s">
        <v>63</v>
      </c>
      <c r="BB14" s="30" t="n">
        <v>18.778</v>
      </c>
      <c r="BC14" s="30" t="n">
        <v>2.225</v>
      </c>
      <c r="BD14" s="30" t="n">
        <v>0.02303</v>
      </c>
      <c r="BE14" s="31" t="n">
        <v>19.8064</v>
      </c>
      <c r="BF14" s="31" t="n">
        <v>2.249</v>
      </c>
      <c r="BG14" s="31" t="n">
        <v>0.02249</v>
      </c>
      <c r="BH14" s="14" t="n">
        <f aca="false">10^6/((BB14+273.15)^2)</f>
        <v>11.7340651757262</v>
      </c>
      <c r="BI14" s="14" t="n">
        <f aca="false">BH14*(2*($BF14/($BE14+273.15)))</f>
        <v>0.180162731247436</v>
      </c>
      <c r="BJ14" s="14" t="n">
        <f aca="false">BH14*(2*($BG14/($BE14+273.15)))</f>
        <v>0.00180162731247436</v>
      </c>
      <c r="BL14" s="14" t="n">
        <f aca="false">10^6/((AH14+273.15)^2)</f>
        <v>11.6846872344475</v>
      </c>
      <c r="BM14" s="14" t="n">
        <f aca="false">BL14*(2*($AI14/($AH14+273.15)))</f>
        <v>0.154697486006166</v>
      </c>
      <c r="BN14" s="14" t="n">
        <f aca="false">10^6/((AJ14+273.15)^2)</f>
        <v>11.7968596110888</v>
      </c>
      <c r="BO14" s="14" t="n">
        <f aca="false">BN14*(2*($AK14/($AJ14+273.15)))</f>
        <v>0.0221229103474308</v>
      </c>
    </row>
    <row r="15" s="14" customFormat="true" ht="16" hidden="false" customHeight="false" outlineLevel="0" collapsed="false">
      <c r="A15" s="22" t="s">
        <v>85</v>
      </c>
      <c r="B15" s="36" t="s">
        <v>584</v>
      </c>
      <c r="C15" s="14" t="s">
        <v>557</v>
      </c>
      <c r="D15" s="36" t="s">
        <v>584</v>
      </c>
      <c r="E15" s="34" t="s">
        <v>581</v>
      </c>
      <c r="F15" s="22" t="n">
        <v>20</v>
      </c>
      <c r="G15" s="22" t="n">
        <v>-20.4</v>
      </c>
      <c r="H15" s="22" t="s">
        <v>78</v>
      </c>
      <c r="I15" s="22" t="s">
        <v>582</v>
      </c>
      <c r="J15" s="22" t="n">
        <v>3400</v>
      </c>
      <c r="K15" s="35" t="s">
        <v>85</v>
      </c>
      <c r="L15" s="22" t="s">
        <v>89</v>
      </c>
      <c r="M15" s="22" t="s">
        <v>90</v>
      </c>
      <c r="N15" s="22" t="s">
        <v>91</v>
      </c>
      <c r="O15" s="22" t="s">
        <v>92</v>
      </c>
      <c r="P15" s="22" t="s">
        <v>92</v>
      </c>
      <c r="Q15" s="22" t="n">
        <v>4</v>
      </c>
      <c r="R15" s="35" t="s">
        <v>62</v>
      </c>
      <c r="S15" s="25" t="n">
        <v>36.5339473684211</v>
      </c>
      <c r="T15" s="22" t="n">
        <v>21.243033557047</v>
      </c>
      <c r="U15" s="36" t="n">
        <v>7</v>
      </c>
      <c r="V15" s="48" t="n">
        <v>1.92231348157143</v>
      </c>
      <c r="W15" s="48" t="n">
        <v>0.074329699299821</v>
      </c>
      <c r="X15" s="48" t="n">
        <v>0.0280939856247912</v>
      </c>
      <c r="Y15" s="48" t="n">
        <v>-0.141860753098685</v>
      </c>
      <c r="Z15" s="48" t="n">
        <v>0.135399330567108</v>
      </c>
      <c r="AA15" s="48" t="n">
        <v>0.0511761366235991</v>
      </c>
      <c r="AB15" s="27" t="n">
        <v>0.8700112</v>
      </c>
      <c r="AC15" s="27" t="n">
        <v>0.209293170760686</v>
      </c>
      <c r="AD15" s="27" t="n">
        <v>0.201353857434781</v>
      </c>
      <c r="AE15" s="61" t="n">
        <v>0.604255242129607</v>
      </c>
      <c r="AF15" s="61" t="n">
        <v>0.0126898755242733</v>
      </c>
      <c r="AG15" s="61" t="n">
        <f aca="false">AF15*SQRT(U15)</f>
        <v>0.0335742548055924</v>
      </c>
      <c r="AH15" s="29" t="n">
        <v>19.1836474067287</v>
      </c>
      <c r="AI15" s="27" t="n">
        <v>2.09379362613852</v>
      </c>
      <c r="AJ15" s="27" t="n">
        <f aca="false">VLOOKUP(B15,proft,2,0)</f>
        <v>19.7</v>
      </c>
      <c r="AK15" s="27" t="n">
        <f aca="false">VLOOKUP(B15,proft,3,0)</f>
        <v>0.293</v>
      </c>
      <c r="AL15" s="27" t="s">
        <v>63</v>
      </c>
      <c r="BB15" s="30" t="n">
        <v>20.196</v>
      </c>
      <c r="BC15" s="30" t="n">
        <v>2.237</v>
      </c>
      <c r="BD15" s="30" t="n">
        <v>0.02237</v>
      </c>
      <c r="BE15" s="31" t="n">
        <v>21.1964</v>
      </c>
      <c r="BF15" s="31" t="n">
        <v>2.214</v>
      </c>
      <c r="BG15" s="31" t="n">
        <v>0.02233</v>
      </c>
      <c r="BH15" s="14" t="n">
        <f aca="false">10^6/((BB15+273.15)^2)</f>
        <v>11.6208971818387</v>
      </c>
      <c r="BI15" s="14" t="n">
        <f aca="false">BH15*(2*($BF15/($BE15+273.15)))</f>
        <v>0.174818964054535</v>
      </c>
      <c r="BJ15" s="14" t="n">
        <f aca="false">BH15*(2*($BG15/($BE15+273.15)))</f>
        <v>0.00176319217133594</v>
      </c>
      <c r="BL15" s="14" t="n">
        <f aca="false">10^6/((AH15+273.15)^2)</f>
        <v>11.7015229713331</v>
      </c>
      <c r="BM15" s="14" t="n">
        <f aca="false">BL15*(2*($AI15/($AH15+273.15)))</f>
        <v>0.16762062411107</v>
      </c>
      <c r="BN15" s="14" t="n">
        <f aca="false">10^6/((AJ15+273.15)^2)</f>
        <v>11.6602951413095</v>
      </c>
      <c r="BO15" s="14" t="n">
        <f aca="false">BN15*(2*($AK15/($AJ15+273.15)))</f>
        <v>0.0233325352665439</v>
      </c>
    </row>
    <row r="16" s="14" customFormat="true" ht="16" hidden="false" customHeight="false" outlineLevel="0" collapsed="false">
      <c r="A16" s="22" t="s">
        <v>85</v>
      </c>
      <c r="B16" s="36" t="s">
        <v>589</v>
      </c>
      <c r="C16" s="14" t="s">
        <v>557</v>
      </c>
      <c r="D16" s="36" t="s">
        <v>589</v>
      </c>
      <c r="E16" s="34" t="s">
        <v>341</v>
      </c>
      <c r="F16" s="22" t="n">
        <v>-29.12483</v>
      </c>
      <c r="G16" s="22" t="n">
        <v>47.549</v>
      </c>
      <c r="H16" s="22" t="s">
        <v>125</v>
      </c>
      <c r="I16" s="22" t="s">
        <v>342</v>
      </c>
      <c r="J16" s="22" t="n">
        <v>2871</v>
      </c>
      <c r="K16" s="35" t="s">
        <v>85</v>
      </c>
      <c r="L16" s="22" t="s">
        <v>89</v>
      </c>
      <c r="M16" s="22" t="s">
        <v>90</v>
      </c>
      <c r="N16" s="22" t="s">
        <v>91</v>
      </c>
      <c r="O16" s="22" t="s">
        <v>92</v>
      </c>
      <c r="P16" s="22" t="s">
        <v>92</v>
      </c>
      <c r="Q16" s="22" t="n">
        <v>4</v>
      </c>
      <c r="R16" s="35" t="s">
        <v>62</v>
      </c>
      <c r="S16" s="25" t="n">
        <v>35.5302105263158</v>
      </c>
      <c r="T16" s="22" t="n">
        <v>-2.645</v>
      </c>
      <c r="U16" s="36" t="n">
        <v>9</v>
      </c>
      <c r="V16" s="48" t="n">
        <v>1.677910106</v>
      </c>
      <c r="W16" s="48" t="n">
        <v>0.0727629992668793</v>
      </c>
      <c r="X16" s="48" t="n">
        <v>0.0242543330889598</v>
      </c>
      <c r="Y16" s="48" t="n">
        <v>0.201664564510649</v>
      </c>
      <c r="Z16" s="48" t="n">
        <v>0.63177539404675</v>
      </c>
      <c r="AA16" s="48" t="n">
        <v>0.210591798015583</v>
      </c>
      <c r="AB16" s="27" t="n">
        <v>0.425181222857143</v>
      </c>
      <c r="AC16" s="27" t="n">
        <v>0.207962686399698</v>
      </c>
      <c r="AD16" s="27" t="n">
        <v>0.201156825435344</v>
      </c>
      <c r="AE16" s="61" t="n">
        <v>0.622982508285903</v>
      </c>
      <c r="AF16" s="61" t="n">
        <v>0.0059645007798489</v>
      </c>
      <c r="AG16" s="61" t="n">
        <f aca="false">AF16*SQRT(U16)</f>
        <v>0.0178935023395467</v>
      </c>
      <c r="AH16" s="29" t="n">
        <v>20.5711719111392</v>
      </c>
      <c r="AI16" s="27" t="n">
        <v>1.54637297670146</v>
      </c>
      <c r="AJ16" s="27" t="n">
        <f aca="false">VLOOKUP(B16,proft,2,0)</f>
        <v>15.6</v>
      </c>
      <c r="AK16" s="27" t="n">
        <f aca="false">VLOOKUP(B16,proft,3,0)</f>
        <v>0.4</v>
      </c>
      <c r="AL16" s="27" t="s">
        <v>63</v>
      </c>
      <c r="BB16" s="30" t="n">
        <v>17.113</v>
      </c>
      <c r="BC16" s="30" t="n">
        <v>2.228</v>
      </c>
      <c r="BD16" s="30" t="n">
        <v>0.02228</v>
      </c>
      <c r="BE16" s="31" t="n">
        <v>18.1693</v>
      </c>
      <c r="BF16" s="31" t="n">
        <v>2.212</v>
      </c>
      <c r="BG16" s="31" t="n">
        <v>0.02253</v>
      </c>
      <c r="BH16" s="14" t="n">
        <f aca="false">10^6/((BB16+273.15)^2)</f>
        <v>11.8690686242622</v>
      </c>
      <c r="BI16" s="14" t="n">
        <f aca="false">BH16*(2*($BF16/($BE16+273.15)))</f>
        <v>0.180244699179683</v>
      </c>
      <c r="BJ16" s="14" t="n">
        <f aca="false">BH16*(2*($BG16/($BE16+273.15)))</f>
        <v>0.00183585581940247</v>
      </c>
      <c r="BL16" s="14" t="n">
        <f aca="false">10^6/((AH16+273.15)^2)</f>
        <v>11.5912292504832</v>
      </c>
      <c r="BM16" s="14" t="n">
        <f aca="false">BL16*(2*($AI16/($AH16+273.15)))</f>
        <v>0.122050198581678</v>
      </c>
      <c r="BN16" s="14" t="n">
        <f aca="false">10^6/((AJ16+273.15)^2)</f>
        <v>11.9937782275445</v>
      </c>
      <c r="BO16" s="14" t="n">
        <f aca="false">BN16*(2*($AK16/($AJ16+273.15)))</f>
        <v>0.033229515435621</v>
      </c>
    </row>
    <row r="17" s="14" customFormat="true" ht="16" hidden="false" customHeight="false" outlineLevel="0" collapsed="false">
      <c r="A17" s="22" t="s">
        <v>479</v>
      </c>
      <c r="B17" s="36" t="s">
        <v>590</v>
      </c>
      <c r="C17" s="14" t="s">
        <v>557</v>
      </c>
      <c r="D17" s="36" t="s">
        <v>590</v>
      </c>
      <c r="E17" s="34" t="s">
        <v>588</v>
      </c>
      <c r="F17" s="22" t="n">
        <v>47.673</v>
      </c>
      <c r="G17" s="22" t="n">
        <v>-20.808</v>
      </c>
      <c r="H17" s="22" t="s">
        <v>78</v>
      </c>
      <c r="I17" s="22" t="s">
        <v>79</v>
      </c>
      <c r="J17" s="22" t="n">
        <v>4479</v>
      </c>
      <c r="K17" s="35" t="s">
        <v>479</v>
      </c>
      <c r="L17" s="22" t="s">
        <v>58</v>
      </c>
      <c r="M17" s="22" t="s">
        <v>483</v>
      </c>
      <c r="N17" s="22" t="s">
        <v>484</v>
      </c>
      <c r="O17" s="22" t="s">
        <v>485</v>
      </c>
      <c r="P17" s="22" t="s">
        <v>61</v>
      </c>
      <c r="Q17" s="22" t="n">
        <v>3</v>
      </c>
      <c r="R17" s="35" t="s">
        <v>486</v>
      </c>
      <c r="S17" s="25" t="n">
        <v>35.3036</v>
      </c>
      <c r="T17" s="22" t="n">
        <v>-1.05576041666667</v>
      </c>
      <c r="U17" s="36" t="n">
        <v>8</v>
      </c>
      <c r="V17" s="48" t="n">
        <v>1.109653871375</v>
      </c>
      <c r="W17" s="48" t="n">
        <v>0.0386913456125226</v>
      </c>
      <c r="X17" s="48" t="n">
        <v>0.0136794564279235</v>
      </c>
      <c r="Y17" s="48" t="n">
        <v>2.21115862428413</v>
      </c>
      <c r="Z17" s="48" t="n">
        <v>0.0670203147736232</v>
      </c>
      <c r="AA17" s="48" t="n">
        <v>0.0236952595268429</v>
      </c>
      <c r="AB17" s="27" t="n">
        <v>0.403879376666667</v>
      </c>
      <c r="AC17" s="27" t="n">
        <v>0.201441607585615</v>
      </c>
      <c r="AD17" s="27" t="n">
        <v>0.200481687664715</v>
      </c>
      <c r="AE17" s="61" t="n">
        <v>0.632</v>
      </c>
      <c r="AF17" s="61" t="n">
        <v>0.017</v>
      </c>
      <c r="AG17" s="61" t="n">
        <f aca="false">AF17*SQRT(U17)</f>
        <v>0.0480832611206852</v>
      </c>
      <c r="AH17" s="29" t="n">
        <v>9.4574493408203</v>
      </c>
      <c r="AI17" s="27" t="n">
        <v>0.694612121822182</v>
      </c>
      <c r="AJ17" s="27" t="n">
        <f aca="false">VLOOKUP(B17,proft,2,0)</f>
        <v>6.7</v>
      </c>
      <c r="AK17" s="27" t="n">
        <f aca="false">VLOOKUP(B17,proft,3,0)</f>
        <v>0.337</v>
      </c>
      <c r="AL17" s="27" t="s">
        <v>63</v>
      </c>
      <c r="BB17" s="30" t="n">
        <v>9.203</v>
      </c>
      <c r="BC17" s="30" t="n">
        <v>2.203</v>
      </c>
      <c r="BD17" s="30" t="n">
        <v>0.02203</v>
      </c>
      <c r="BE17" s="31" t="n">
        <v>10.2815</v>
      </c>
      <c r="BF17" s="31" t="n">
        <v>2.242</v>
      </c>
      <c r="BG17" s="31" t="n">
        <v>0.02242</v>
      </c>
      <c r="BH17" s="14" t="n">
        <f aca="false">10^6/((BB17+273.15)^2)</f>
        <v>12.5433975513616</v>
      </c>
      <c r="BI17" s="14" t="n">
        <f aca="false">BH17*(2*($BF17/($BE17+273.15)))</f>
        <v>0.198441579783141</v>
      </c>
      <c r="BJ17" s="14" t="n">
        <f aca="false">BH17*(2*($BG17/($BE17+273.15)))</f>
        <v>0.00198441579783141</v>
      </c>
      <c r="BL17" s="14" t="n">
        <f aca="false">10^6/((AH17+273.15)^2)</f>
        <v>12.5208204931856</v>
      </c>
      <c r="BM17" s="14" t="n">
        <f aca="false">BL17*(2*($AI17/($AH17+273.15)))</f>
        <v>0.0615490760063988</v>
      </c>
      <c r="BN17" s="14" t="n">
        <f aca="false">10^6/((AJ17+273.15)^2)</f>
        <v>12.7687792111761</v>
      </c>
      <c r="BO17" s="14" t="n">
        <f aca="false">BN17*(2*($AK17/($AJ17+273.15)))</f>
        <v>0.0307527503603098</v>
      </c>
    </row>
    <row r="18" s="14" customFormat="true" ht="16" hidden="false" customHeight="false" outlineLevel="0" collapsed="false">
      <c r="A18" s="22" t="s">
        <v>479</v>
      </c>
      <c r="B18" s="36" t="s">
        <v>591</v>
      </c>
      <c r="C18" s="14" t="s">
        <v>557</v>
      </c>
      <c r="D18" s="36" t="s">
        <v>591</v>
      </c>
      <c r="E18" s="34" t="s">
        <v>592</v>
      </c>
      <c r="F18" s="22" t="n">
        <v>46.213</v>
      </c>
      <c r="G18" s="22" t="n">
        <v>-23.715</v>
      </c>
      <c r="H18" s="22" t="s">
        <v>78</v>
      </c>
      <c r="I18" s="22" t="s">
        <v>79</v>
      </c>
      <c r="J18" s="22" t="n">
        <v>3393</v>
      </c>
      <c r="K18" s="35" t="s">
        <v>593</v>
      </c>
      <c r="L18" s="22" t="s">
        <v>58</v>
      </c>
      <c r="M18" s="22" t="s">
        <v>483</v>
      </c>
      <c r="N18" s="22" t="s">
        <v>484</v>
      </c>
      <c r="O18" s="22" t="s">
        <v>485</v>
      </c>
      <c r="P18" s="22" t="s">
        <v>61</v>
      </c>
      <c r="Q18" s="22" t="n">
        <v>3</v>
      </c>
      <c r="R18" s="35" t="s">
        <v>83</v>
      </c>
      <c r="S18" s="25" t="n">
        <v>35.3042</v>
      </c>
      <c r="T18" s="22" t="n">
        <v>24.6793636363636</v>
      </c>
      <c r="U18" s="36" t="n">
        <v>7</v>
      </c>
      <c r="V18" s="48" t="n">
        <v>1.10306344657143</v>
      </c>
      <c r="W18" s="48" t="n">
        <v>0.0567977692307729</v>
      </c>
      <c r="X18" s="48" t="n">
        <v>0.0214675389154088</v>
      </c>
      <c r="Y18" s="48" t="n">
        <v>2.0362849571074</v>
      </c>
      <c r="Z18" s="48" t="n">
        <v>0.0879816983548796</v>
      </c>
      <c r="AA18" s="48" t="n">
        <v>0.0332539562531589</v>
      </c>
      <c r="AB18" s="27" t="n">
        <v>0.429721803333333</v>
      </c>
      <c r="AC18" s="27" t="n">
        <v>0.203569942070938</v>
      </c>
      <c r="AD18" s="27" t="n">
        <v>0.201197018959663</v>
      </c>
      <c r="AE18" s="61" t="n">
        <v>0.616282396347919</v>
      </c>
      <c r="AF18" s="61" t="n">
        <v>0.00993740295783665</v>
      </c>
      <c r="AG18" s="61" t="n">
        <f aca="false">AF18*SQRT(U18)</f>
        <v>0.0262918969042735</v>
      </c>
      <c r="AH18" s="29" t="n">
        <v>9.86676769256593</v>
      </c>
      <c r="AI18" s="27" t="n">
        <v>0.776761478843393</v>
      </c>
      <c r="AJ18" s="27" t="n">
        <f aca="false">VLOOKUP(B18,proft,2,0)</f>
        <v>7.4</v>
      </c>
      <c r="AK18" s="27" t="n">
        <f aca="false">VLOOKUP(B18,proft,3,0)</f>
        <v>0.309</v>
      </c>
      <c r="AL18" s="27" t="s">
        <v>63</v>
      </c>
      <c r="BB18" s="30" t="n">
        <v>9.993</v>
      </c>
      <c r="BC18" s="30" t="n">
        <v>2.237</v>
      </c>
      <c r="BD18" s="30" t="n">
        <v>0.02237</v>
      </c>
      <c r="BE18" s="31" t="n">
        <v>11.0562</v>
      </c>
      <c r="BF18" s="31" t="n">
        <v>2.255</v>
      </c>
      <c r="BG18" s="31" t="n">
        <v>0.02255</v>
      </c>
      <c r="BH18" s="14" t="n">
        <f aca="false">10^6/((BB18+273.15)^2)</f>
        <v>12.4735002904629</v>
      </c>
      <c r="BI18" s="14" t="n">
        <f aca="false">BH18*(2*($BF18/($BE18+273.15)))</f>
        <v>0.197938983421149</v>
      </c>
      <c r="BJ18" s="14" t="n">
        <f aca="false">BH18*(2*($BG18/($BE18+273.15)))</f>
        <v>0.00197938983421149</v>
      </c>
      <c r="BL18" s="14" t="n">
        <f aca="false">10^6/((AH18+273.15)^2)</f>
        <v>12.484629736127</v>
      </c>
      <c r="BM18" s="14" t="n">
        <f aca="false">BL18*(2*($AI18/($AH18+273.15)))</f>
        <v>0.0685300700429203</v>
      </c>
      <c r="BN18" s="14" t="n">
        <f aca="false">10^6/((AJ18+273.15)^2)</f>
        <v>12.7051399691919</v>
      </c>
      <c r="BO18" s="14" t="n">
        <f aca="false">BN18*(2*($AK18/($AJ18+273.15)))</f>
        <v>0.0279870843021231</v>
      </c>
    </row>
    <row r="19" s="37" customFormat="true" ht="16" hidden="false" customHeight="false" outlineLevel="0" collapsed="false">
      <c r="A19" s="22" t="s">
        <v>51</v>
      </c>
      <c r="B19" s="36" t="s">
        <v>594</v>
      </c>
      <c r="C19" s="14" t="s">
        <v>557</v>
      </c>
      <c r="D19" s="36" t="s">
        <v>594</v>
      </c>
      <c r="E19" s="34" t="s">
        <v>581</v>
      </c>
      <c r="F19" s="22" t="n">
        <v>20</v>
      </c>
      <c r="G19" s="22" t="n">
        <v>-20.4</v>
      </c>
      <c r="H19" s="22" t="s">
        <v>78</v>
      </c>
      <c r="I19" s="22" t="s">
        <v>582</v>
      </c>
      <c r="J19" s="22" t="n">
        <v>3400</v>
      </c>
      <c r="K19" s="35" t="s">
        <v>51</v>
      </c>
      <c r="L19" s="22" t="s">
        <v>58</v>
      </c>
      <c r="M19" s="22" t="s">
        <v>59</v>
      </c>
      <c r="N19" s="22" t="s">
        <v>60</v>
      </c>
      <c r="O19" s="22" t="s">
        <v>61</v>
      </c>
      <c r="P19" s="22" t="s">
        <v>61</v>
      </c>
      <c r="Q19" s="22" t="n">
        <v>3</v>
      </c>
      <c r="R19" s="35" t="s">
        <v>62</v>
      </c>
      <c r="S19" s="25" t="n">
        <v>36.5598235294118</v>
      </c>
      <c r="T19" s="22" t="n">
        <v>21.243033557047</v>
      </c>
      <c r="U19" s="36" t="n">
        <v>7</v>
      </c>
      <c r="V19" s="48" t="n">
        <v>1.84263942571429</v>
      </c>
      <c r="W19" s="48" t="n">
        <v>0.0399133736044895</v>
      </c>
      <c r="X19" s="48" t="n">
        <v>0.0150858372204413</v>
      </c>
      <c r="Y19" s="48" t="n">
        <v>0.458883411718473</v>
      </c>
      <c r="Z19" s="48" t="n">
        <v>0.0653714395014132</v>
      </c>
      <c r="AA19" s="48" t="n">
        <v>0.0247080816810062</v>
      </c>
      <c r="AB19" s="27" t="n">
        <v>0.902287624</v>
      </c>
      <c r="AC19" s="27" t="n">
        <v>0.202101072798306</v>
      </c>
      <c r="AD19" s="27" t="n">
        <v>0.200421976652375</v>
      </c>
      <c r="AE19" s="61" t="n">
        <v>0.614771825884839</v>
      </c>
      <c r="AF19" s="61" t="n">
        <v>0.0134633965785395</v>
      </c>
      <c r="AG19" s="61" t="n">
        <f aca="false">AF19*SQRT(U19)</f>
        <v>0.0356207991490535</v>
      </c>
      <c r="AH19" s="29" t="n">
        <v>19.5833569694968</v>
      </c>
      <c r="AI19" s="27" t="n">
        <v>1.8166203088905</v>
      </c>
      <c r="AJ19" s="27" t="n">
        <f aca="false">VLOOKUP(B19,proft,2,0)</f>
        <v>16.6</v>
      </c>
      <c r="AK19" s="27" t="n">
        <f aca="false">VLOOKUP(B19,proft,3,0)</f>
        <v>0.909</v>
      </c>
      <c r="AL19" s="27" t="s">
        <v>63</v>
      </c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30" t="n">
        <v>17.902</v>
      </c>
      <c r="BC19" s="30" t="n">
        <v>2.239</v>
      </c>
      <c r="BD19" s="30" t="n">
        <v>0.02213</v>
      </c>
      <c r="BE19" s="31" t="n">
        <v>19.0132</v>
      </c>
      <c r="BF19" s="31" t="n">
        <v>2.225</v>
      </c>
      <c r="BG19" s="31" t="n">
        <v>0.02225</v>
      </c>
      <c r="BH19" s="14" t="n">
        <f aca="false">10^6/((BB19+273.15)^2)</f>
        <v>11.8048051800975</v>
      </c>
      <c r="BI19" s="14" t="n">
        <f aca="false">BH19*(2*($BF19/($BE19+273.15)))</f>
        <v>0.179801504951458</v>
      </c>
      <c r="BJ19" s="14" t="n">
        <f aca="false">BH19*(2*($BG19/($BE19+273.15)))</f>
        <v>0.00179801504951458</v>
      </c>
      <c r="BK19" s="14"/>
      <c r="BL19" s="14" t="n">
        <f aca="false">10^6/((AH19+273.15)^2)</f>
        <v>11.669589354639</v>
      </c>
      <c r="BM19" s="14" t="n">
        <f aca="false">BL19*(2*($AI19/($AH19+273.15)))</f>
        <v>0.144836333224974</v>
      </c>
      <c r="BN19" s="14" t="n">
        <f aca="false">10^6/((AJ19+273.15)^2)</f>
        <v>11.9111340069576</v>
      </c>
      <c r="BO19" s="14" t="n">
        <f aca="false">BN19*(2*($AK19/($AJ19+273.15)))</f>
        <v>0.0747349150117305</v>
      </c>
    </row>
    <row r="20" s="37" customFormat="true" ht="16" hidden="false" customHeight="false" outlineLevel="0" collapsed="false">
      <c r="A20" s="22" t="s">
        <v>51</v>
      </c>
      <c r="B20" s="36" t="s">
        <v>595</v>
      </c>
      <c r="C20" s="14" t="s">
        <v>557</v>
      </c>
      <c r="D20" s="36" t="s">
        <v>595</v>
      </c>
      <c r="E20" s="34" t="s">
        <v>563</v>
      </c>
      <c r="F20" s="22" t="n">
        <v>7.05</v>
      </c>
      <c r="G20" s="22" t="n">
        <v>76.717</v>
      </c>
      <c r="H20" s="22" t="s">
        <v>125</v>
      </c>
      <c r="I20" s="22" t="s">
        <v>121</v>
      </c>
      <c r="J20" s="22" t="n">
        <v>1254</v>
      </c>
      <c r="K20" s="35" t="s">
        <v>51</v>
      </c>
      <c r="L20" s="22" t="s">
        <v>58</v>
      </c>
      <c r="M20" s="22" t="s">
        <v>59</v>
      </c>
      <c r="N20" s="22" t="s">
        <v>60</v>
      </c>
      <c r="O20" s="22" t="s">
        <v>61</v>
      </c>
      <c r="P20" s="22" t="s">
        <v>61</v>
      </c>
      <c r="Q20" s="22" t="n">
        <v>3</v>
      </c>
      <c r="R20" s="35" t="s">
        <v>62</v>
      </c>
      <c r="S20" s="25" t="n">
        <v>35.0648823529412</v>
      </c>
      <c r="T20" s="22" t="n">
        <v>17.2642113402062</v>
      </c>
      <c r="U20" s="36" t="n">
        <v>9</v>
      </c>
      <c r="V20" s="48" t="n">
        <v>1.11824430444444</v>
      </c>
      <c r="W20" s="48" t="n">
        <v>0.0913961370522297</v>
      </c>
      <c r="X20" s="48" t="n">
        <v>0.0304653790174099</v>
      </c>
      <c r="Y20" s="48" t="n">
        <v>-0.714911074012107</v>
      </c>
      <c r="Z20" s="48" t="n">
        <v>0.169752668400328</v>
      </c>
      <c r="AA20" s="48" t="n">
        <v>0.0565842228001093</v>
      </c>
      <c r="AB20" s="27" t="n">
        <v>0.349719012</v>
      </c>
      <c r="AC20" s="27" t="n">
        <v>0.213871095318035</v>
      </c>
      <c r="AD20" s="27" t="n">
        <v>0.202850114820049</v>
      </c>
      <c r="AE20" s="61" t="n">
        <v>0.618402390054774</v>
      </c>
      <c r="AF20" s="61" t="n">
        <v>0.00716778551986086</v>
      </c>
      <c r="AG20" s="61" t="n">
        <f aca="false">AF20*SQRT(U20)</f>
        <v>0.0215033565595826</v>
      </c>
      <c r="AH20" s="29" t="n">
        <v>25.7346838782815</v>
      </c>
      <c r="AI20" s="27" t="n">
        <v>2.23881709019944</v>
      </c>
      <c r="AJ20" s="27" t="n">
        <f aca="false">VLOOKUP(B20,proft,2,0)</f>
        <v>19.3</v>
      </c>
      <c r="AK20" s="27" t="n">
        <f aca="false">VLOOKUP(B20,proft,3,0)</f>
        <v>3.046</v>
      </c>
      <c r="AL20" s="27" t="s">
        <v>63</v>
      </c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30" t="n">
        <v>20.394</v>
      </c>
      <c r="BC20" s="30" t="n">
        <v>2.249</v>
      </c>
      <c r="BD20" s="30" t="n">
        <v>0.02249</v>
      </c>
      <c r="BE20" s="31" t="n">
        <v>21.3923</v>
      </c>
      <c r="BF20" s="31" t="n">
        <v>2.222</v>
      </c>
      <c r="BG20" s="31" t="n">
        <v>0.02328</v>
      </c>
      <c r="BH20" s="14" t="n">
        <f aca="false">10^6/((BB20+273.15)^2)</f>
        <v>11.6052255167196</v>
      </c>
      <c r="BI20" s="14" t="n">
        <f aca="false">BH20*(2*($BF20/($BE20+273.15)))</f>
        <v>0.175097506186045</v>
      </c>
      <c r="BJ20" s="14" t="n">
        <f aca="false">BH20*(2*($BG20/($BE20+273.15)))</f>
        <v>0.00183450492529753</v>
      </c>
      <c r="BK20" s="14"/>
      <c r="BL20" s="14" t="n">
        <f aca="false">10^6/((AH20+273.15)^2)</f>
        <v>11.1941901293668</v>
      </c>
      <c r="BM20" s="14" t="n">
        <f aca="false">BL20*(2*($AI20/($AH20+273.15)))</f>
        <v>0.167701762749239</v>
      </c>
      <c r="BN20" s="14" t="n">
        <f aca="false">10^6/((AJ20+273.15)^2)</f>
        <v>11.6922138128248</v>
      </c>
      <c r="BO20" s="14" t="n">
        <f aca="false">BN20*(2*($AK20/($AJ20+273.15)))</f>
        <v>0.24355946844838</v>
      </c>
    </row>
    <row r="21" s="37" customFormat="true" ht="16" hidden="false" customHeight="false" outlineLevel="0" collapsed="false">
      <c r="A21" s="22" t="s">
        <v>629</v>
      </c>
      <c r="B21" s="36" t="s">
        <v>630</v>
      </c>
      <c r="C21" s="14" t="s">
        <v>597</v>
      </c>
      <c r="D21" s="36" t="s">
        <v>630</v>
      </c>
      <c r="E21" s="34" t="s">
        <v>631</v>
      </c>
      <c r="F21" s="22" t="n">
        <v>70.1</v>
      </c>
      <c r="G21" s="22" t="n">
        <v>-17.7</v>
      </c>
      <c r="H21" s="22" t="s">
        <v>571</v>
      </c>
      <c r="I21" s="22" t="s">
        <v>632</v>
      </c>
      <c r="J21" s="22" t="n">
        <v>1610</v>
      </c>
      <c r="K21" s="35" t="s">
        <v>633</v>
      </c>
      <c r="L21" s="22" t="s">
        <v>80</v>
      </c>
      <c r="M21" s="22" t="s">
        <v>81</v>
      </c>
      <c r="N21" s="22" t="s">
        <v>82</v>
      </c>
      <c r="O21" s="22" t="s">
        <v>71</v>
      </c>
      <c r="P21" s="22" t="s">
        <v>71</v>
      </c>
      <c r="Q21" s="22" t="n">
        <v>5</v>
      </c>
      <c r="R21" s="35" t="s">
        <v>486</v>
      </c>
      <c r="S21" s="25" t="n">
        <v>34.36548</v>
      </c>
      <c r="T21" s="22" t="n">
        <v>36.967623655914</v>
      </c>
      <c r="U21" s="36" t="n">
        <v>21</v>
      </c>
      <c r="V21" s="48" t="n">
        <v>0.391428571428571</v>
      </c>
      <c r="W21" s="48" t="n">
        <v>0.0623125761211745</v>
      </c>
      <c r="X21" s="48" t="n">
        <v>0.0135977188963324</v>
      </c>
      <c r="Y21" s="48" t="n">
        <v>2.78571428571429</v>
      </c>
      <c r="Z21" s="48" t="n">
        <v>0.0695393002964099</v>
      </c>
      <c r="AA21" s="48" t="n">
        <v>0.0151747193991697</v>
      </c>
      <c r="AB21" s="79" t="n">
        <v>0.276767029</v>
      </c>
      <c r="AC21" s="27" t="n">
        <v>0.20314708560148</v>
      </c>
      <c r="AD21" s="27" t="n">
        <v>0.200316933480017</v>
      </c>
      <c r="AE21" s="55" t="n">
        <v>0.669</v>
      </c>
      <c r="AF21" s="55" t="n">
        <v>0.005</v>
      </c>
      <c r="AG21" s="61" t="n">
        <f aca="false">AF21*SQRT(U21)</f>
        <v>0.0229128784747792</v>
      </c>
      <c r="AH21" s="29" t="n">
        <v>4.1341</v>
      </c>
      <c r="AI21" s="27" t="n">
        <v>0.5727</v>
      </c>
      <c r="AJ21" s="27" t="n">
        <f aca="false">VLOOKUP(B21,proft,2,0)</f>
        <v>3.9750525637083</v>
      </c>
      <c r="AK21" s="27" t="n">
        <f aca="false">VLOOKUP(B21,proft,3,0)</f>
        <v>1.50977923647612</v>
      </c>
      <c r="AL21" s="39" t="s">
        <v>84</v>
      </c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30" t="n">
        <v>7.1598</v>
      </c>
      <c r="BC21" s="30" t="n">
        <v>2.159</v>
      </c>
      <c r="BD21" s="30" t="n">
        <v>0.02159</v>
      </c>
      <c r="BE21" s="31" t="n">
        <v>7.1598</v>
      </c>
      <c r="BF21" s="31" t="n">
        <v>2.159</v>
      </c>
      <c r="BG21" s="31" t="n">
        <v>0.02159</v>
      </c>
      <c r="BH21" s="14" t="n">
        <f aca="false">10^6/((BB21+273.15)^2)</f>
        <v>12.7269235969297</v>
      </c>
      <c r="BI21" s="14" t="n">
        <f aca="false">BH21*(2*($BF21/($BE21+273.15)))</f>
        <v>0.196050427389775</v>
      </c>
      <c r="BJ21" s="14" t="n">
        <f aca="false">BH21*(2*($BG21/($BE21+273.15)))</f>
        <v>0.00196050427389775</v>
      </c>
      <c r="BK21" s="14"/>
      <c r="BL21" s="14" t="n">
        <f aca="false">10^6/((AH21+273.15)^2)</f>
        <v>13.0061891581236</v>
      </c>
      <c r="BM21" s="14" t="n">
        <f aca="false">BL21*(2*($AI21/($AH21+273.15)))</f>
        <v>0.0537257241281226</v>
      </c>
      <c r="BN21" s="14" t="n">
        <f aca="false">10^6/((AJ21+273.15)^2)</f>
        <v>13.0211224499894</v>
      </c>
      <c r="BO21" s="14" t="n">
        <f aca="false">BN21*(2*($AK21/($AJ21+273.15)))</f>
        <v>0.141878333472486</v>
      </c>
    </row>
    <row r="22" s="14" customFormat="true" ht="16" hidden="false" customHeight="false" outlineLevel="0" collapsed="false">
      <c r="A22" s="22" t="s">
        <v>100</v>
      </c>
      <c r="B22" s="36" t="s">
        <v>596</v>
      </c>
      <c r="C22" s="14" t="s">
        <v>597</v>
      </c>
      <c r="D22" s="36" t="s">
        <v>598</v>
      </c>
      <c r="E22" s="34" t="s">
        <v>88</v>
      </c>
      <c r="F22" s="22" t="n">
        <v>52.9</v>
      </c>
      <c r="G22" s="22" t="n">
        <v>-16.9</v>
      </c>
      <c r="H22" s="22" t="s">
        <v>78</v>
      </c>
      <c r="I22" s="22" t="s">
        <v>79</v>
      </c>
      <c r="J22" s="22" t="n">
        <v>3569</v>
      </c>
      <c r="K22" s="35" t="s">
        <v>100</v>
      </c>
      <c r="L22" s="22" t="s">
        <v>104</v>
      </c>
      <c r="M22" s="22" t="s">
        <v>105</v>
      </c>
      <c r="N22" s="22" t="s">
        <v>106</v>
      </c>
      <c r="O22" s="22" t="s">
        <v>71</v>
      </c>
      <c r="P22" s="22" t="s">
        <v>71</v>
      </c>
      <c r="Q22" s="22" t="n">
        <v>5</v>
      </c>
      <c r="R22" s="35" t="s">
        <v>83</v>
      </c>
      <c r="S22" s="25" t="n">
        <v>35.4827619047619</v>
      </c>
      <c r="T22" s="22" t="n">
        <v>23.1977172131148</v>
      </c>
      <c r="U22" s="36" t="n">
        <v>30</v>
      </c>
      <c r="V22" s="48" t="n">
        <v>-0.409</v>
      </c>
      <c r="W22" s="48" t="n">
        <v>0.123018081093237</v>
      </c>
      <c r="X22" s="48" t="n">
        <v>0.0224599259985885</v>
      </c>
      <c r="Y22" s="48" t="n">
        <v>1.38366666666667</v>
      </c>
      <c r="Z22" s="48" t="n">
        <v>0.198467982883602</v>
      </c>
      <c r="AA22" s="48" t="n">
        <v>0.0362351303892994</v>
      </c>
      <c r="AB22" s="27" t="n">
        <v>0.50648155</v>
      </c>
      <c r="AC22" s="27" t="n">
        <v>0.20011610775396</v>
      </c>
      <c r="AD22" s="27" t="n">
        <v>0.200016590948492</v>
      </c>
      <c r="AE22" s="55" t="n">
        <v>0.635</v>
      </c>
      <c r="AF22" s="55" t="n">
        <v>0.005</v>
      </c>
      <c r="AG22" s="61" t="n">
        <f aca="false">AF22*SQRT(U22)</f>
        <v>0.0273861278752583</v>
      </c>
      <c r="AH22" s="29" t="n">
        <v>11.982</v>
      </c>
      <c r="AI22" s="27" t="n">
        <v>0.494409</v>
      </c>
      <c r="AJ22" s="27" t="n">
        <f aca="false">VLOOKUP(B22,proft,2,0)</f>
        <v>10.5045167153299</v>
      </c>
      <c r="AK22" s="27" t="n">
        <f aca="false">VLOOKUP(B22,proft,3,0)</f>
        <v>1.71413451667754</v>
      </c>
      <c r="AL22" s="27" t="s">
        <v>107</v>
      </c>
      <c r="BB22" s="30" t="n">
        <v>13.0873</v>
      </c>
      <c r="BC22" s="30" t="n">
        <v>2.411</v>
      </c>
      <c r="BD22" s="30" t="n">
        <v>0.02314</v>
      </c>
      <c r="BE22" s="31" t="n">
        <v>13.0873</v>
      </c>
      <c r="BF22" s="31" t="n">
        <v>2.411</v>
      </c>
      <c r="BG22" s="31" t="n">
        <v>0.02314</v>
      </c>
      <c r="BH22" s="14" t="n">
        <f aca="false">10^6/((BB22+273.15)^2)</f>
        <v>12.2052743711834</v>
      </c>
      <c r="BI22" s="14" t="n">
        <f aca="false">BH22*(2*($BF22/($BE22+273.15)))</f>
        <v>0.205612032456449</v>
      </c>
      <c r="BJ22" s="14" t="n">
        <f aca="false">BH22*(2*($BG22/($BE22+273.15)))</f>
        <v>0.00197339793904697</v>
      </c>
      <c r="BL22" s="14" t="n">
        <f aca="false">10^6/((AH22+273.15)^2)</f>
        <v>12.3000840548975</v>
      </c>
      <c r="BM22" s="14" t="n">
        <f aca="false">BL22*(2*($AI22/($AH22+273.15)))</f>
        <v>0.0426558384011461</v>
      </c>
      <c r="BN22" s="14" t="n">
        <f aca="false">10^6/((AJ22+273.15)^2)</f>
        <v>12.4285537050781</v>
      </c>
      <c r="BO22" s="14" t="n">
        <f aca="false">BN22*(2*($AK22/($AJ22+273.15)))</f>
        <v>0.150212400246285</v>
      </c>
    </row>
    <row r="23" s="37" customFormat="true" ht="16" hidden="false" customHeight="false" outlineLevel="0" collapsed="false">
      <c r="A23" s="22" t="s">
        <v>100</v>
      </c>
      <c r="B23" s="36" t="s">
        <v>599</v>
      </c>
      <c r="C23" s="14" t="s">
        <v>597</v>
      </c>
      <c r="D23" s="36" t="s">
        <v>599</v>
      </c>
      <c r="E23" s="34" t="s">
        <v>600</v>
      </c>
      <c r="F23" s="22" t="n">
        <v>48.9</v>
      </c>
      <c r="G23" s="22" t="n">
        <v>-11.8</v>
      </c>
      <c r="H23" s="22" t="s">
        <v>78</v>
      </c>
      <c r="I23" s="22" t="s">
        <v>79</v>
      </c>
      <c r="J23" s="22" t="n">
        <v>1484</v>
      </c>
      <c r="K23" s="35" t="s">
        <v>100</v>
      </c>
      <c r="L23" s="22" t="s">
        <v>104</v>
      </c>
      <c r="M23" s="22" t="s">
        <v>105</v>
      </c>
      <c r="N23" s="22" t="s">
        <v>106</v>
      </c>
      <c r="O23" s="22" t="s">
        <v>71</v>
      </c>
      <c r="P23" s="22" t="s">
        <v>71</v>
      </c>
      <c r="Q23" s="22" t="n">
        <v>5</v>
      </c>
      <c r="R23" s="35" t="s">
        <v>83</v>
      </c>
      <c r="S23" s="25" t="n">
        <v>35.5901428571428</v>
      </c>
      <c r="T23" s="22" t="n">
        <v>51.05021</v>
      </c>
      <c r="U23" s="36" t="n">
        <v>16</v>
      </c>
      <c r="V23" s="48" t="n">
        <v>-0.4375</v>
      </c>
      <c r="W23" s="48" t="n">
        <v>0.108166538263919</v>
      </c>
      <c r="X23" s="48" t="n">
        <v>0.0270416345659798</v>
      </c>
      <c r="Y23" s="48" t="n">
        <v>0.71875</v>
      </c>
      <c r="Z23" s="48" t="n">
        <v>0.0630211604674705</v>
      </c>
      <c r="AA23" s="48" t="n">
        <v>0.0157552901168676</v>
      </c>
      <c r="AB23" s="27" t="n">
        <v>0.575650715714286</v>
      </c>
      <c r="AC23" s="27" t="n">
        <v>0.200018381882431</v>
      </c>
      <c r="AD23" s="27" t="n">
        <v>0.20000262608664</v>
      </c>
      <c r="AE23" s="55" t="n">
        <v>0.628</v>
      </c>
      <c r="AF23" s="55" t="n">
        <v>0.005</v>
      </c>
      <c r="AG23" s="61" t="n">
        <f aca="false">AF23*SQRT(U23)</f>
        <v>0.02</v>
      </c>
      <c r="AH23" s="29" t="n">
        <v>12.8894</v>
      </c>
      <c r="AI23" s="27" t="n">
        <v>0.780495</v>
      </c>
      <c r="AJ23" s="27" t="n">
        <f aca="false">VLOOKUP(B23,proft,2,0)</f>
        <v>14.1881734464994</v>
      </c>
      <c r="AK23" s="27" t="n">
        <f aca="false">VLOOKUP(B23,proft,3,0)</f>
        <v>1.47496217980997</v>
      </c>
      <c r="AL23" s="27" t="s">
        <v>107</v>
      </c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30" t="n">
        <v>15.9191</v>
      </c>
      <c r="BC23" s="30" t="n">
        <v>2.433</v>
      </c>
      <c r="BD23" s="30" t="n">
        <v>0.02433</v>
      </c>
      <c r="BE23" s="31" t="n">
        <v>15.9191</v>
      </c>
      <c r="BF23" s="31" t="n">
        <v>2.433</v>
      </c>
      <c r="BG23" s="31" t="n">
        <v>0.02433</v>
      </c>
      <c r="BH23" s="14" t="n">
        <f aca="false">10^6/((BB23+273.15)^2)</f>
        <v>11.9673132596619</v>
      </c>
      <c r="BI23" s="14" t="n">
        <f aca="false">BH23*(2*($BF23/($BE23+273.15)))</f>
        <v>0.201449917412532</v>
      </c>
      <c r="BJ23" s="14" t="n">
        <f aca="false">BH23*(2*($BG23/($BE23+273.15)))</f>
        <v>0.00201449917412532</v>
      </c>
      <c r="BK23" s="14"/>
      <c r="BL23" s="14" t="n">
        <f aca="false">10^6/((AH23+273.15)^2)</f>
        <v>12.2221689624104</v>
      </c>
      <c r="BM23" s="14" t="n">
        <f aca="false">BL23*(2*($AI23/($AH23+273.15)))</f>
        <v>0.0666994949948609</v>
      </c>
      <c r="BN23" s="14" t="n">
        <f aca="false">10^6/((AJ23+273.15)^2)</f>
        <v>12.1119298436105</v>
      </c>
      <c r="BO23" s="14" t="n">
        <f aca="false">BN23*(2*($AK23/($AJ23+273.15)))</f>
        <v>0.124345736798967</v>
      </c>
    </row>
    <row r="24" s="37" customFormat="true" ht="16" hidden="false" customHeight="false" outlineLevel="0" collapsed="false">
      <c r="A24" s="22" t="s">
        <v>100</v>
      </c>
      <c r="B24" s="36" t="s">
        <v>601</v>
      </c>
      <c r="C24" s="14" t="s">
        <v>597</v>
      </c>
      <c r="D24" s="36" t="s">
        <v>601</v>
      </c>
      <c r="E24" s="34" t="s">
        <v>602</v>
      </c>
      <c r="F24" s="22" t="n">
        <v>63.8</v>
      </c>
      <c r="G24" s="22" t="n">
        <v>5.2</v>
      </c>
      <c r="H24" s="22" t="s">
        <v>78</v>
      </c>
      <c r="I24" s="22" t="s">
        <v>79</v>
      </c>
      <c r="J24" s="22" t="n">
        <v>922</v>
      </c>
      <c r="K24" s="35" t="s">
        <v>100</v>
      </c>
      <c r="L24" s="22" t="s">
        <v>104</v>
      </c>
      <c r="M24" s="22" t="s">
        <v>105</v>
      </c>
      <c r="N24" s="22" t="s">
        <v>106</v>
      </c>
      <c r="O24" s="22" t="s">
        <v>71</v>
      </c>
      <c r="P24" s="22" t="s">
        <v>71</v>
      </c>
      <c r="Q24" s="22" t="n">
        <v>5</v>
      </c>
      <c r="R24" s="35" t="s">
        <v>83</v>
      </c>
      <c r="S24" s="25" t="n">
        <v>34.8341904761905</v>
      </c>
      <c r="T24" s="22" t="n">
        <v>20</v>
      </c>
      <c r="U24" s="36" t="n">
        <v>18</v>
      </c>
      <c r="V24" s="48" t="n">
        <v>-0.410555555555556</v>
      </c>
      <c r="W24" s="48" t="n">
        <v>0.109354911787382</v>
      </c>
      <c r="X24" s="48" t="n">
        <v>0.0257751998936382</v>
      </c>
      <c r="Y24" s="48" t="n">
        <v>1.61055555555556</v>
      </c>
      <c r="Z24" s="48" t="n">
        <v>0.0978277130362787</v>
      </c>
      <c r="AA24" s="48" t="n">
        <v>0.0230582130919748</v>
      </c>
      <c r="AB24" s="27" t="n">
        <v>0.29681454</v>
      </c>
      <c r="AC24" s="27" t="n">
        <v>0.221102402401137</v>
      </c>
      <c r="AD24" s="27" t="n">
        <v>0.203148880081142</v>
      </c>
      <c r="AE24" s="55" t="n">
        <v>0.637</v>
      </c>
      <c r="AF24" s="55" t="n">
        <v>0.006</v>
      </c>
      <c r="AG24" s="61" t="n">
        <f aca="false">AF24*SQRT(U24)</f>
        <v>0.0254558441227157</v>
      </c>
      <c r="AH24" s="29" t="n">
        <v>8.4802</v>
      </c>
      <c r="AI24" s="27" t="n">
        <v>0.406524</v>
      </c>
      <c r="AJ24" s="27" t="n">
        <f aca="false">VLOOKUP(B24,proft,2,0)</f>
        <v>9.14269545906587</v>
      </c>
      <c r="AK24" s="27" t="n">
        <f aca="false">VLOOKUP(B24,proft,3,0)</f>
        <v>0.905005656034291</v>
      </c>
      <c r="AL24" s="27" t="s">
        <v>107</v>
      </c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30" t="n">
        <v>11.4411</v>
      </c>
      <c r="BC24" s="30" t="n">
        <v>2.431</v>
      </c>
      <c r="BD24" s="30" t="n">
        <v>0.02431</v>
      </c>
      <c r="BE24" s="31" t="n">
        <v>11.4411</v>
      </c>
      <c r="BF24" s="31" t="n">
        <v>2.431</v>
      </c>
      <c r="BG24" s="31" t="n">
        <v>0.02431</v>
      </c>
      <c r="BH24" s="14" t="n">
        <f aca="false">10^6/((BB24+273.15)^2)</f>
        <v>12.3468840988403</v>
      </c>
      <c r="BI24" s="14" t="n">
        <f aca="false">BH24*(2*($BF24/($BE24+273.15)))</f>
        <v>0.210936148349549</v>
      </c>
      <c r="BJ24" s="14" t="n">
        <f aca="false">BH24*(2*($BG24/($BE24+273.15)))</f>
        <v>0.00210936148349549</v>
      </c>
      <c r="BK24" s="14"/>
      <c r="BL24" s="14" t="n">
        <f aca="false">10^6/((AH24+273.15)^2)</f>
        <v>12.6078650843437</v>
      </c>
      <c r="BM24" s="14" t="n">
        <f aca="false">BL24*(2*($AI24/($AH24+273.15)))</f>
        <v>0.0363980833415432</v>
      </c>
      <c r="BN24" s="14" t="n">
        <f aca="false">10^6/((AJ24+273.15)^2)</f>
        <v>12.5487572694022</v>
      </c>
      <c r="BO24" s="14" t="n">
        <f aca="false">BN24*(2*($AK24/($AJ24+273.15)))</f>
        <v>0.0804604333565352</v>
      </c>
    </row>
    <row r="25" s="37" customFormat="true" ht="16" hidden="false" customHeight="false" outlineLevel="0" collapsed="false">
      <c r="A25" s="22" t="s">
        <v>100</v>
      </c>
      <c r="B25" s="36" t="s">
        <v>603</v>
      </c>
      <c r="C25" s="14" t="s">
        <v>597</v>
      </c>
      <c r="D25" s="36" t="s">
        <v>603</v>
      </c>
      <c r="E25" s="34" t="s">
        <v>604</v>
      </c>
      <c r="F25" s="22" t="n">
        <v>34.8</v>
      </c>
      <c r="G25" s="22" t="n">
        <v>-27.7</v>
      </c>
      <c r="H25" s="22" t="s">
        <v>78</v>
      </c>
      <c r="I25" s="22" t="s">
        <v>605</v>
      </c>
      <c r="J25" s="22" t="n">
        <v>2060</v>
      </c>
      <c r="K25" s="35" t="s">
        <v>100</v>
      </c>
      <c r="L25" s="22" t="s">
        <v>104</v>
      </c>
      <c r="M25" s="22" t="s">
        <v>105</v>
      </c>
      <c r="N25" s="22" t="s">
        <v>106</v>
      </c>
      <c r="O25" s="22" t="s">
        <v>71</v>
      </c>
      <c r="P25" s="22" t="s">
        <v>71</v>
      </c>
      <c r="Q25" s="22" t="n">
        <v>5</v>
      </c>
      <c r="R25" s="35" t="s">
        <v>83</v>
      </c>
      <c r="S25" s="25" t="n">
        <v>36.4714285714286</v>
      </c>
      <c r="T25" s="22" t="n">
        <v>45.4435183946488</v>
      </c>
      <c r="U25" s="36" t="n">
        <v>17</v>
      </c>
      <c r="V25" s="48" t="n">
        <v>-1.18294117647059</v>
      </c>
      <c r="W25" s="48" t="n">
        <v>0.176343581747477</v>
      </c>
      <c r="X25" s="48" t="n">
        <v>0.04276960082027</v>
      </c>
      <c r="Y25" s="48" t="n">
        <v>1.41294117647059</v>
      </c>
      <c r="Z25" s="48" t="n">
        <v>0.139676622322883</v>
      </c>
      <c r="AA25" s="48" t="n">
        <v>0.0338765568980443</v>
      </c>
      <c r="AB25" s="27" t="n">
        <v>1.01732282285714</v>
      </c>
      <c r="AC25" s="27" t="n">
        <v>0.205889800645239</v>
      </c>
      <c r="AD25" s="27" t="n">
        <v>0.200851974637235</v>
      </c>
      <c r="AE25" s="55" t="n">
        <v>0.628</v>
      </c>
      <c r="AF25" s="55" t="n">
        <v>0.005</v>
      </c>
      <c r="AG25" s="61" t="n">
        <f aca="false">AF25*SQRT(U25)</f>
        <v>0.0206155281280883</v>
      </c>
      <c r="AH25" s="29" t="n">
        <v>19.1487</v>
      </c>
      <c r="AI25" s="27" t="n">
        <v>1.192915</v>
      </c>
      <c r="AJ25" s="27" t="n">
        <f aca="false">VLOOKUP(B25,proft,2,0)</f>
        <v>11.1422658889363</v>
      </c>
      <c r="AK25" s="27" t="n">
        <f aca="false">VLOOKUP(B25,proft,3,0)</f>
        <v>0.716791227909091</v>
      </c>
      <c r="AL25" s="27" t="s">
        <v>107</v>
      </c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30" t="n">
        <v>14.9735</v>
      </c>
      <c r="BC25" s="30" t="n">
        <v>2.391</v>
      </c>
      <c r="BD25" s="30" t="n">
        <v>0.02431</v>
      </c>
      <c r="BE25" s="31" t="n">
        <v>14.9735</v>
      </c>
      <c r="BF25" s="31" t="n">
        <v>2.391</v>
      </c>
      <c r="BG25" s="31" t="n">
        <v>0.02431</v>
      </c>
      <c r="BH25" s="14" t="n">
        <f aca="false">10^6/((BB25+273.15)^2)</f>
        <v>12.0459938326366</v>
      </c>
      <c r="BI25" s="14" t="n">
        <f aca="false">BH25*(2*($BF25/($BE25+273.15)))</f>
        <v>0.199927956267602</v>
      </c>
      <c r="BJ25" s="14" t="n">
        <f aca="false">BH25*(2*($BG25/($BE25+273.15)))</f>
        <v>0.00203272631403823</v>
      </c>
      <c r="BK25" s="14"/>
      <c r="BL25" s="14" t="n">
        <f aca="false">10^6/((AH25+273.15)^2)</f>
        <v>11.7043212207201</v>
      </c>
      <c r="BM25" s="14" t="n">
        <f aca="false">BL25*(2*($AI25/($AH25+273.15)))</f>
        <v>0.0955341939530716</v>
      </c>
      <c r="BN25" s="14" t="n">
        <f aca="false">10^6/((AJ25+273.15)^2)</f>
        <v>12.3728546212732</v>
      </c>
      <c r="BO25" s="14" t="n">
        <f aca="false">BN25*(2*($AK25/($AJ25+273.15)))</f>
        <v>0.0623918039345313</v>
      </c>
    </row>
    <row r="26" s="14" customFormat="true" ht="16" hidden="false" customHeight="false" outlineLevel="0" collapsed="false">
      <c r="A26" s="22" t="s">
        <v>154</v>
      </c>
      <c r="B26" s="36" t="s">
        <v>619</v>
      </c>
      <c r="C26" s="14" t="s">
        <v>597</v>
      </c>
      <c r="D26" s="36" t="s">
        <v>619</v>
      </c>
      <c r="E26" s="34" t="s">
        <v>604</v>
      </c>
      <c r="F26" s="22" t="n">
        <v>14.7</v>
      </c>
      <c r="G26" s="22" t="n">
        <v>-59.7</v>
      </c>
      <c r="H26" s="22" t="s">
        <v>78</v>
      </c>
      <c r="I26" s="22" t="s">
        <v>605</v>
      </c>
      <c r="J26" s="22" t="n">
        <v>2720</v>
      </c>
      <c r="K26" s="35" t="s">
        <v>154</v>
      </c>
      <c r="L26" s="22" t="s">
        <v>160</v>
      </c>
      <c r="M26" s="22" t="s">
        <v>161</v>
      </c>
      <c r="N26" s="22" t="s">
        <v>620</v>
      </c>
      <c r="O26" s="22" t="s">
        <v>71</v>
      </c>
      <c r="P26" s="22" t="s">
        <v>71</v>
      </c>
      <c r="Q26" s="22" t="n">
        <v>5</v>
      </c>
      <c r="R26" s="35" t="s">
        <v>62</v>
      </c>
      <c r="S26" s="25" t="n">
        <v>35.779</v>
      </c>
      <c r="T26" s="22" t="n">
        <v>45.4435183946488</v>
      </c>
      <c r="U26" s="36" t="n">
        <v>19</v>
      </c>
      <c r="V26" s="48" t="n">
        <v>1.05315789473684</v>
      </c>
      <c r="W26" s="48" t="n">
        <v>0.11416618645052</v>
      </c>
      <c r="X26" s="48" t="n">
        <v>0.0261915194477494</v>
      </c>
      <c r="Y26" s="48" t="n">
        <v>0.614736842105263</v>
      </c>
      <c r="Z26" s="48" t="n">
        <v>0.0866902801838962</v>
      </c>
      <c r="AA26" s="48" t="n">
        <v>0.0198881142478332</v>
      </c>
      <c r="AB26" s="27" t="n">
        <v>1.0334437</v>
      </c>
      <c r="AC26" s="27" t="n">
        <v>0.200038992065497</v>
      </c>
      <c r="AD26" s="27" t="n">
        <v>0.200019496982894</v>
      </c>
      <c r="AE26" s="55" t="n">
        <v>0.635</v>
      </c>
      <c r="AF26" s="55" t="n">
        <v>0.007</v>
      </c>
      <c r="AG26" s="61" t="n">
        <f aca="false">AF26*SQRT(U26)</f>
        <v>0.0305122926047847</v>
      </c>
      <c r="AH26" s="29" t="n">
        <v>19.655</v>
      </c>
      <c r="AI26" s="27" t="n">
        <v>0.374369</v>
      </c>
      <c r="AJ26" s="27" t="n">
        <f aca="false">VLOOKUP(B26,proft,2,0)</f>
        <v>15.6668871263616</v>
      </c>
      <c r="AK26" s="27" t="n">
        <f aca="false">VLOOKUP(B26,proft,3,0)</f>
        <v>0.378377411057999</v>
      </c>
      <c r="AL26" s="27" t="s">
        <v>163</v>
      </c>
      <c r="BB26" s="30" t="n">
        <v>18.529</v>
      </c>
      <c r="BC26" s="30" t="n">
        <v>1.905</v>
      </c>
      <c r="BD26" s="30" t="n">
        <v>0.01943</v>
      </c>
      <c r="BE26" s="31" t="n">
        <v>18.529</v>
      </c>
      <c r="BF26" s="31" t="n">
        <v>1.905</v>
      </c>
      <c r="BG26" s="31" t="n">
        <v>0.01943</v>
      </c>
      <c r="BH26" s="14" t="n">
        <f aca="false">10^6/((BB26+273.15)^2)</f>
        <v>11.7541079580974</v>
      </c>
      <c r="BI26" s="14" t="n">
        <f aca="false">BH26*(2*($BF26/($BE26+273.15)))</f>
        <v>0.153535740729882</v>
      </c>
      <c r="BJ26" s="14" t="n">
        <f aca="false">BH26*(2*($BG26/($BE26+273.15)))</f>
        <v>0.00156598395925543</v>
      </c>
      <c r="BL26" s="14" t="n">
        <f aca="false">10^6/((AH26+273.15)^2)</f>
        <v>11.6638794626283</v>
      </c>
      <c r="BM26" s="14" t="n">
        <f aca="false">BL26*(2*($AI26/($AH26+273.15)))</f>
        <v>0.0298259585085275</v>
      </c>
      <c r="BN26" s="14" t="n">
        <f aca="false">10^6/((AJ26+273.15)^2)</f>
        <v>11.9882235906695</v>
      </c>
      <c r="BO26" s="14" t="n">
        <f aca="false">BN26*(2*($AK26/($AJ26+273.15)))</f>
        <v>0.0314114112270543</v>
      </c>
    </row>
    <row r="27" s="14" customFormat="true" ht="16" hidden="false" customHeight="false" outlineLevel="0" collapsed="false">
      <c r="A27" s="22" t="s">
        <v>609</v>
      </c>
      <c r="B27" s="36" t="s">
        <v>610</v>
      </c>
      <c r="C27" s="14" t="s">
        <v>597</v>
      </c>
      <c r="D27" s="36" t="s">
        <v>610</v>
      </c>
      <c r="E27" s="34" t="s">
        <v>611</v>
      </c>
      <c r="F27" s="22" t="n">
        <v>14.7</v>
      </c>
      <c r="G27" s="22" t="n">
        <v>-59.7</v>
      </c>
      <c r="H27" s="22" t="s">
        <v>78</v>
      </c>
      <c r="I27" s="22" t="s">
        <v>612</v>
      </c>
      <c r="J27" s="22" t="n">
        <v>2720</v>
      </c>
      <c r="K27" s="35" t="s">
        <v>609</v>
      </c>
      <c r="L27" s="22" t="s">
        <v>160</v>
      </c>
      <c r="M27" s="22" t="s">
        <v>613</v>
      </c>
      <c r="N27" s="22" t="s">
        <v>614</v>
      </c>
      <c r="O27" s="22" t="s">
        <v>71</v>
      </c>
      <c r="P27" s="22" t="s">
        <v>71</v>
      </c>
      <c r="Q27" s="22" t="n">
        <v>5</v>
      </c>
      <c r="R27" s="35" t="s">
        <v>62</v>
      </c>
      <c r="S27" s="25" t="n">
        <v>36.6595714285714</v>
      </c>
      <c r="T27" s="22" t="n">
        <v>28.2040202020202</v>
      </c>
      <c r="U27" s="36" t="n">
        <v>16</v>
      </c>
      <c r="V27" s="48" t="n">
        <v>2.301875</v>
      </c>
      <c r="W27" s="48" t="n">
        <v>0.223851699420249</v>
      </c>
      <c r="X27" s="48" t="n">
        <v>0.0559629248550621</v>
      </c>
      <c r="Y27" s="48" t="n">
        <v>-1.2975</v>
      </c>
      <c r="Z27" s="48" t="n">
        <v>0.135523675668375</v>
      </c>
      <c r="AA27" s="48" t="n">
        <v>0.0338809189170938</v>
      </c>
      <c r="AB27" s="27" t="n">
        <v>1.08055668333333</v>
      </c>
      <c r="AC27" s="27" t="n">
        <v>0.21198174443217</v>
      </c>
      <c r="AD27" s="27" t="n">
        <v>0.204072095081212</v>
      </c>
      <c r="AE27" s="55" t="n">
        <v>0.596</v>
      </c>
      <c r="AF27" s="55" t="n">
        <v>0.008</v>
      </c>
      <c r="AG27" s="61" t="n">
        <f aca="false">AF27*SQRT(U27)</f>
        <v>0.032</v>
      </c>
      <c r="AH27" s="29" t="n">
        <v>25.5079</v>
      </c>
      <c r="AI27" s="27" t="n">
        <v>0.783823</v>
      </c>
      <c r="AJ27" s="27" t="n">
        <f aca="false">VLOOKUP(B27,proft,2,0)</f>
        <v>25.9665966048897</v>
      </c>
      <c r="AK27" s="27" t="n">
        <f aca="false">VLOOKUP(B27,proft,3,0)</f>
        <v>1.40079248818879</v>
      </c>
      <c r="AL27" s="27" t="s">
        <v>63</v>
      </c>
      <c r="BB27" s="30" t="n">
        <v>25.4944</v>
      </c>
      <c r="BC27" s="30" t="n">
        <v>2.215</v>
      </c>
      <c r="BD27" s="30" t="n">
        <v>0.02215</v>
      </c>
      <c r="BE27" s="31" t="n">
        <v>25.4944</v>
      </c>
      <c r="BF27" s="31" t="n">
        <v>2.215</v>
      </c>
      <c r="BG27" s="31" t="n">
        <v>0.02215</v>
      </c>
      <c r="BH27" s="14" t="n">
        <f aca="false">10^6/((BB27+273.15)^2)</f>
        <v>11.212210661438</v>
      </c>
      <c r="BI27" s="14" t="n">
        <f aca="false">BH27*(2*($BF27/($BE27+273.15)))</f>
        <v>0.166318515365331</v>
      </c>
      <c r="BJ27" s="14" t="n">
        <f aca="false">BH27*(2*($BG27/($BE27+273.15)))</f>
        <v>0.00166318515365331</v>
      </c>
      <c r="BL27" s="14" t="n">
        <f aca="false">10^6/((AH27+273.15)^2)</f>
        <v>11.2111970507287</v>
      </c>
      <c r="BM27" s="14" t="n">
        <f aca="false">BL27*(2*($AI27/($AH27+273.15)))</f>
        <v>0.0588472235684598</v>
      </c>
      <c r="BN27" s="14" t="n">
        <f aca="false">10^6/((AJ27+273.15)^2)</f>
        <v>11.1768385762743</v>
      </c>
      <c r="BO27" s="14" t="n">
        <f aca="false">BN27*(2*($AK27/($AJ27+273.15)))</f>
        <v>0.10468447218945</v>
      </c>
    </row>
    <row r="28" s="14" customFormat="true" ht="16" hidden="false" customHeight="false" outlineLevel="0" collapsed="false">
      <c r="A28" s="22" t="s">
        <v>154</v>
      </c>
      <c r="B28" s="36" t="s">
        <v>621</v>
      </c>
      <c r="C28" s="14" t="s">
        <v>597</v>
      </c>
      <c r="D28" s="36" t="s">
        <v>621</v>
      </c>
      <c r="E28" s="34" t="s">
        <v>611</v>
      </c>
      <c r="F28" s="22" t="n">
        <v>14.7</v>
      </c>
      <c r="G28" s="22" t="n">
        <v>-59.7</v>
      </c>
      <c r="H28" s="22" t="s">
        <v>78</v>
      </c>
      <c r="I28" s="22" t="s">
        <v>612</v>
      </c>
      <c r="J28" s="22" t="n">
        <v>2720</v>
      </c>
      <c r="K28" s="35" t="s">
        <v>154</v>
      </c>
      <c r="L28" s="22" t="s">
        <v>160</v>
      </c>
      <c r="M28" s="22" t="s">
        <v>161</v>
      </c>
      <c r="N28" s="22" t="s">
        <v>162</v>
      </c>
      <c r="O28" s="22" t="s">
        <v>71</v>
      </c>
      <c r="P28" s="22" t="s">
        <v>71</v>
      </c>
      <c r="Q28" s="22" t="n">
        <v>5</v>
      </c>
      <c r="R28" s="35" t="s">
        <v>62</v>
      </c>
      <c r="S28" s="25" t="n">
        <v>35.4234545454545</v>
      </c>
      <c r="T28" s="22" t="n">
        <v>28.2040202020202</v>
      </c>
      <c r="U28" s="36" t="n">
        <v>20</v>
      </c>
      <c r="V28" s="48" t="n">
        <v>1.1875</v>
      </c>
      <c r="W28" s="48" t="n">
        <v>0.204266982158154</v>
      </c>
      <c r="X28" s="48" t="n">
        <v>0.045675485766437</v>
      </c>
      <c r="Y28" s="48" t="n">
        <v>-2.293</v>
      </c>
      <c r="Z28" s="48" t="n">
        <v>0.10285912696499</v>
      </c>
      <c r="AA28" s="48" t="n">
        <v>0.023</v>
      </c>
      <c r="AB28" s="27" t="n">
        <v>0.769982172</v>
      </c>
      <c r="AC28" s="27" t="n">
        <v>0.209148111045576</v>
      </c>
      <c r="AD28" s="27" t="n">
        <v>0.201862791199336</v>
      </c>
      <c r="AE28" s="55" t="n">
        <v>0.601</v>
      </c>
      <c r="AF28" s="55" t="n">
        <v>0.007</v>
      </c>
      <c r="AG28" s="61" t="n">
        <f aca="false">AF28*SQRT(U28)</f>
        <v>0.0313049516849971</v>
      </c>
      <c r="AH28" s="29" t="n">
        <v>27.3473</v>
      </c>
      <c r="AI28" s="27" t="n">
        <v>0.13363</v>
      </c>
      <c r="AJ28" s="27" t="n">
        <f aca="false">VLOOKUP(B28,proft,2,0)</f>
        <v>28.4092559814453</v>
      </c>
      <c r="AK28" s="27" t="n">
        <f aca="false">VLOOKUP(B28,proft,3,0)</f>
        <v>0.15676237642765</v>
      </c>
      <c r="AL28" s="27" t="s">
        <v>163</v>
      </c>
      <c r="BB28" s="30" t="n">
        <v>28.623</v>
      </c>
      <c r="BC28" s="30" t="n">
        <v>1.871</v>
      </c>
      <c r="BD28" s="30" t="n">
        <v>0.01871</v>
      </c>
      <c r="BE28" s="31" t="n">
        <v>28.623</v>
      </c>
      <c r="BF28" s="31" t="n">
        <v>1.871</v>
      </c>
      <c r="BG28" s="31" t="n">
        <v>0.01871</v>
      </c>
      <c r="BH28" s="14" t="n">
        <f aca="false">10^6/((BB28+273.15)^2)</f>
        <v>10.980932940629</v>
      </c>
      <c r="BI28" s="14" t="n">
        <f aca="false">BH28*(2*($BF28/($BE28+273.15)))</f>
        <v>0.136164107007035</v>
      </c>
      <c r="BJ28" s="14" t="n">
        <f aca="false">BH28*(2*($BG28/($BE28+273.15)))</f>
        <v>0.00136164107007035</v>
      </c>
      <c r="BL28" s="14" t="n">
        <f aca="false">10^6/((AH28+273.15)^2)</f>
        <v>11.0743654673394</v>
      </c>
      <c r="BM28" s="14" t="n">
        <f aca="false">BL28*(2*($AI28/($AH28+273.15)))</f>
        <v>0.00984945593454956</v>
      </c>
      <c r="BN28" s="14" t="n">
        <f aca="false">10^6/((AJ28+273.15)^2)</f>
        <v>10.9965049418087</v>
      </c>
      <c r="BO28" s="14" t="n">
        <f aca="false">BN28*(2*($AK28/($AJ28+273.15)))</f>
        <v>0.0114328326050944</v>
      </c>
    </row>
    <row r="29" s="14" customFormat="true" ht="16" hidden="false" customHeight="false" outlineLevel="0" collapsed="false">
      <c r="A29" s="22" t="s">
        <v>154</v>
      </c>
      <c r="B29" s="36" t="s">
        <v>622</v>
      </c>
      <c r="C29" s="14" t="s">
        <v>597</v>
      </c>
      <c r="D29" s="36" t="s">
        <v>622</v>
      </c>
      <c r="E29" s="34" t="s">
        <v>611</v>
      </c>
      <c r="F29" s="63" t="n">
        <v>14.7</v>
      </c>
      <c r="G29" s="63" t="n">
        <v>-59.7</v>
      </c>
      <c r="H29" s="22" t="s">
        <v>78</v>
      </c>
      <c r="I29" s="22" t="s">
        <v>612</v>
      </c>
      <c r="J29" s="22" t="n">
        <v>2060</v>
      </c>
      <c r="K29" s="35" t="s">
        <v>154</v>
      </c>
      <c r="L29" s="22" t="s">
        <v>160</v>
      </c>
      <c r="M29" s="22" t="s">
        <v>161</v>
      </c>
      <c r="N29" s="22" t="s">
        <v>620</v>
      </c>
      <c r="O29" s="22" t="s">
        <v>71</v>
      </c>
      <c r="P29" s="22" t="s">
        <v>71</v>
      </c>
      <c r="Q29" s="22" t="n">
        <v>5</v>
      </c>
      <c r="R29" s="35" t="s">
        <v>62</v>
      </c>
      <c r="S29" s="25" t="n">
        <v>34.04</v>
      </c>
      <c r="T29" s="22" t="n">
        <v>28.2040202020202</v>
      </c>
      <c r="U29" s="36" t="n">
        <v>20</v>
      </c>
      <c r="V29" s="48" t="n">
        <v>1.4505</v>
      </c>
      <c r="W29" s="48" t="n">
        <v>0.0971962204160115</v>
      </c>
      <c r="X29" s="48" t="n">
        <v>0.0217337356006255</v>
      </c>
      <c r="Y29" s="48" t="n">
        <v>-2.1825</v>
      </c>
      <c r="Z29" s="48" t="n">
        <v>0.0888449269943511</v>
      </c>
      <c r="AA29" s="48" t="n">
        <v>0.0198663296215375</v>
      </c>
      <c r="AB29" s="27" t="n">
        <v>0.82940951</v>
      </c>
      <c r="AC29" s="27" t="n">
        <v>0.20154233385918</v>
      </c>
      <c r="AD29" s="27" t="n">
        <v>0.200772647959583</v>
      </c>
      <c r="AE29" s="55" t="n">
        <v>0.605</v>
      </c>
      <c r="AF29" s="55" t="n">
        <v>0.005</v>
      </c>
      <c r="AG29" s="61" t="n">
        <f aca="false">AF29*SQRT(U29)</f>
        <v>0.0223606797749979</v>
      </c>
      <c r="AH29" s="29" t="n">
        <v>27.2402</v>
      </c>
      <c r="AI29" s="27" t="n">
        <v>0.133551</v>
      </c>
      <c r="AJ29" s="27" t="n">
        <f aca="false">VLOOKUP(B29,proft,2,0)</f>
        <v>28.4092559814453</v>
      </c>
      <c r="AK29" s="27" t="n">
        <f aca="false">VLOOKUP(B29,proft,3,0)</f>
        <v>0.15676237642765</v>
      </c>
      <c r="AL29" s="27" t="s">
        <v>163</v>
      </c>
      <c r="BB29" s="30" t="n">
        <v>28.421</v>
      </c>
      <c r="BC29" s="30" t="n">
        <v>1.893</v>
      </c>
      <c r="BD29" s="30" t="n">
        <v>0.01893</v>
      </c>
      <c r="BE29" s="31" t="n">
        <v>28.421</v>
      </c>
      <c r="BF29" s="31" t="n">
        <v>1.893</v>
      </c>
      <c r="BG29" s="31" t="n">
        <v>0.01893</v>
      </c>
      <c r="BH29" s="14" t="n">
        <f aca="false">10^6/((BB29+273.15)^2)</f>
        <v>10.9956484891427</v>
      </c>
      <c r="BI29" s="14" t="n">
        <f aca="false">BH29*(2*($BF29/($BE29+273.15)))</f>
        <v>0.138042202930302</v>
      </c>
      <c r="BJ29" s="14" t="n">
        <f aca="false">BH29*(2*($BG29/($BE29+273.15)))</f>
        <v>0.00138042202930302</v>
      </c>
      <c r="BL29" s="14" t="n">
        <f aca="false">10^6/((AH29+273.15)^2)</f>
        <v>11.0822637008973</v>
      </c>
      <c r="BM29" s="14" t="n">
        <f aca="false">BL29*(2*($AI29/($AH29+273.15)))</f>
        <v>0.00985416567863093</v>
      </c>
      <c r="BN29" s="14" t="n">
        <f aca="false">10^6/((AJ29+273.15)^2)</f>
        <v>10.9965049418087</v>
      </c>
      <c r="BO29" s="14" t="n">
        <f aca="false">BN29*(2*($AK29/($AJ29+273.15)))</f>
        <v>0.0114328326050944</v>
      </c>
    </row>
    <row r="30" s="14" customFormat="true" ht="16" hidden="false" customHeight="false" outlineLevel="0" collapsed="false">
      <c r="A30" s="22" t="s">
        <v>154</v>
      </c>
      <c r="B30" s="36" t="s">
        <v>623</v>
      </c>
      <c r="C30" s="14" t="s">
        <v>597</v>
      </c>
      <c r="D30" s="36" t="s">
        <v>623</v>
      </c>
      <c r="E30" s="34" t="s">
        <v>611</v>
      </c>
      <c r="F30" s="22" t="n">
        <v>14.7</v>
      </c>
      <c r="G30" s="22" t="n">
        <v>-59.7</v>
      </c>
      <c r="H30" s="22" t="s">
        <v>78</v>
      </c>
      <c r="I30" s="22" t="s">
        <v>612</v>
      </c>
      <c r="J30" s="22" t="n">
        <v>2720</v>
      </c>
      <c r="K30" s="35" t="s">
        <v>154</v>
      </c>
      <c r="L30" s="22" t="s">
        <v>160</v>
      </c>
      <c r="M30" s="22" t="s">
        <v>161</v>
      </c>
      <c r="N30" s="22" t="s">
        <v>624</v>
      </c>
      <c r="O30" s="22" t="s">
        <v>71</v>
      </c>
      <c r="P30" s="22" t="s">
        <v>71</v>
      </c>
      <c r="Q30" s="22" t="n">
        <v>5</v>
      </c>
      <c r="R30" s="35" t="s">
        <v>62</v>
      </c>
      <c r="S30" s="25" t="n">
        <v>35.1782857142857</v>
      </c>
      <c r="T30" s="22" t="n">
        <v>28.2040202020202</v>
      </c>
      <c r="U30" s="36" t="n">
        <v>18</v>
      </c>
      <c r="V30" s="48" t="n">
        <v>0.674444444444444</v>
      </c>
      <c r="W30" s="48" t="n">
        <v>0.196325726408113</v>
      </c>
      <c r="X30" s="48" t="n">
        <v>0.0462744174881839</v>
      </c>
      <c r="Y30" s="48" t="n">
        <v>-2.20777777777778</v>
      </c>
      <c r="Z30" s="48" t="n">
        <v>0.125255294853706</v>
      </c>
      <c r="AA30" s="48" t="n">
        <v>0.0295229561235254</v>
      </c>
      <c r="AB30" s="27" t="n">
        <v>0.750726075</v>
      </c>
      <c r="AC30" s="27" t="n">
        <v>0.206200375025736</v>
      </c>
      <c r="AD30" s="27" t="n">
        <v>0.201567975296644</v>
      </c>
      <c r="AE30" s="55" t="n">
        <v>0.577</v>
      </c>
      <c r="AF30" s="55" t="n">
        <v>0.006</v>
      </c>
      <c r="AG30" s="61" t="n">
        <f aca="false">AF30*SQRT(U30)</f>
        <v>0.0254558441227157</v>
      </c>
      <c r="AH30" s="29" t="n">
        <v>27.4258</v>
      </c>
      <c r="AI30" s="27" t="n">
        <v>0.034088</v>
      </c>
      <c r="AJ30" s="27" t="n">
        <f aca="false">VLOOKUP(B30,proft,2,0)</f>
        <v>28.4092559814453</v>
      </c>
      <c r="AK30" s="27" t="n">
        <f aca="false">VLOOKUP(B30,proft,3,0)</f>
        <v>0.15676237642765</v>
      </c>
      <c r="AL30" s="27" t="s">
        <v>163</v>
      </c>
      <c r="BB30" s="30" t="n">
        <v>28.24</v>
      </c>
      <c r="BC30" s="30" t="n">
        <v>1.904</v>
      </c>
      <c r="BD30" s="30" t="n">
        <v>0.01904</v>
      </c>
      <c r="BE30" s="31" t="n">
        <v>28.24</v>
      </c>
      <c r="BF30" s="31" t="n">
        <v>1.904</v>
      </c>
      <c r="BG30" s="31" t="n">
        <v>0.01904</v>
      </c>
      <c r="BH30" s="14" t="n">
        <f aca="false">10^6/((BB30+273.15)^2)</f>
        <v>11.0088593454308</v>
      </c>
      <c r="BI30" s="14" t="n">
        <f aca="false">BH30*(2*($BF30/($BE30+273.15)))</f>
        <v>0.139094649415708</v>
      </c>
      <c r="BJ30" s="14" t="n">
        <f aca="false">BH30*(2*($BG30/($BE30+273.15)))</f>
        <v>0.00139094649415709</v>
      </c>
      <c r="BL30" s="14" t="n">
        <f aca="false">10^6/((AH30+273.15)^2)</f>
        <v>11.0685817404477</v>
      </c>
      <c r="BM30" s="14" t="n">
        <f aca="false">BL30*(2*($AI30/($AH30+273.15)))</f>
        <v>0.00251055350675857</v>
      </c>
      <c r="BN30" s="14" t="n">
        <f aca="false">10^6/((AJ30+273.15)^2)</f>
        <v>10.9965049418087</v>
      </c>
      <c r="BO30" s="14" t="n">
        <f aca="false">BN30*(2*($AK30/($AJ30+273.15)))</f>
        <v>0.0114328326050944</v>
      </c>
    </row>
    <row r="31" s="14" customFormat="true" ht="16" hidden="false" customHeight="false" outlineLevel="0" collapsed="false">
      <c r="A31" s="22" t="s">
        <v>139</v>
      </c>
      <c r="B31" s="36" t="s">
        <v>638</v>
      </c>
      <c r="C31" s="14" t="s">
        <v>597</v>
      </c>
      <c r="D31" s="36" t="s">
        <v>638</v>
      </c>
      <c r="E31" s="34" t="s">
        <v>611</v>
      </c>
      <c r="F31" s="22" t="n">
        <v>14.7</v>
      </c>
      <c r="G31" s="22" t="n">
        <v>-59.7</v>
      </c>
      <c r="H31" s="22" t="s">
        <v>78</v>
      </c>
      <c r="I31" s="22" t="s">
        <v>612</v>
      </c>
      <c r="J31" s="22" t="n">
        <v>2720</v>
      </c>
      <c r="K31" s="35" t="s">
        <v>139</v>
      </c>
      <c r="L31" s="22" t="s">
        <v>144</v>
      </c>
      <c r="M31" s="22" t="s">
        <v>145</v>
      </c>
      <c r="N31" s="22" t="s">
        <v>146</v>
      </c>
      <c r="O31" s="22" t="s">
        <v>71</v>
      </c>
      <c r="P31" s="22" t="s">
        <v>71</v>
      </c>
      <c r="Q31" s="22" t="n">
        <v>5</v>
      </c>
      <c r="R31" s="35" t="s">
        <v>62</v>
      </c>
      <c r="S31" s="25" t="n">
        <v>36.853</v>
      </c>
      <c r="T31" s="22" t="n">
        <v>28.2040202020202</v>
      </c>
      <c r="U31" s="36" t="n">
        <v>17</v>
      </c>
      <c r="V31" s="48" t="n">
        <v>1.22647058823529</v>
      </c>
      <c r="W31" s="48" t="n">
        <v>0.154795880778146</v>
      </c>
      <c r="X31" s="48" t="n">
        <v>0.0375435156975774</v>
      </c>
      <c r="Y31" s="48" t="n">
        <v>-0.904705882352941</v>
      </c>
      <c r="Z31" s="48" t="n">
        <v>0.0944800009961646</v>
      </c>
      <c r="AA31" s="48" t="n">
        <v>0.0229147660950381</v>
      </c>
      <c r="AB31" s="27" t="n">
        <v>1.12099265</v>
      </c>
      <c r="AC31" s="27" t="n">
        <v>0.200155228618702</v>
      </c>
      <c r="AD31" s="27" t="n">
        <v>0.200077629363461</v>
      </c>
      <c r="AE31" s="55" t="n">
        <v>0.59</v>
      </c>
      <c r="AF31" s="55" t="n">
        <v>0.005</v>
      </c>
      <c r="AG31" s="61" t="n">
        <f aca="false">AF31*SQRT(U31)</f>
        <v>0.0206155281280883</v>
      </c>
      <c r="AH31" s="29" t="n">
        <v>24.5893</v>
      </c>
      <c r="AI31" s="27" t="n">
        <v>0.985775</v>
      </c>
      <c r="AJ31" s="27" t="n">
        <f aca="false">VLOOKUP(B31,proft,2,0)</f>
        <v>24.5072783206551</v>
      </c>
      <c r="AK31" s="27" t="n">
        <f aca="false">VLOOKUP(B31,proft,3,0)</f>
        <v>0.133075165123459</v>
      </c>
      <c r="AL31" s="27" t="s">
        <v>63</v>
      </c>
      <c r="BB31" s="30" t="n">
        <v>24.1165</v>
      </c>
      <c r="BC31" s="30" t="n">
        <v>2.218</v>
      </c>
      <c r="BD31" s="30" t="n">
        <v>0.02218</v>
      </c>
      <c r="BE31" s="31" t="n">
        <v>24.1165</v>
      </c>
      <c r="BF31" s="31" t="n">
        <v>2.218</v>
      </c>
      <c r="BG31" s="31" t="n">
        <v>0.02218</v>
      </c>
      <c r="BH31" s="14" t="n">
        <f aca="false">10^6/((BB31+273.15)^2)</f>
        <v>11.3163940164274</v>
      </c>
      <c r="BI31" s="14" t="n">
        <f aca="false">BH31*(2*($BF31/($BE31+273.15)))</f>
        <v>0.168870437324326</v>
      </c>
      <c r="BJ31" s="14" t="n">
        <f aca="false">BH31*(2*($BG31/($BE31+273.15)))</f>
        <v>0.00168870437324326</v>
      </c>
      <c r="BL31" s="14" t="n">
        <f aca="false">10^6/((AH31+273.15)^2)</f>
        <v>11.2804824456648</v>
      </c>
      <c r="BM31" s="14" t="n">
        <f aca="false">BL31*(2*($AI31/($AH31+273.15)))</f>
        <v>0.074696337251248</v>
      </c>
      <c r="BN31" s="14" t="n">
        <f aca="false">10^6/((AJ31+273.15)^2)</f>
        <v>11.2867001440741</v>
      </c>
      <c r="BO31" s="14" t="n">
        <f aca="false">BN31*(2*($AK31/($AJ31+273.15)))</f>
        <v>0.0100920057715075</v>
      </c>
    </row>
    <row r="32" s="14" customFormat="true" ht="16" hidden="false" customHeight="false" outlineLevel="0" collapsed="false">
      <c r="A32" s="22" t="s">
        <v>645</v>
      </c>
      <c r="B32" s="36" t="s">
        <v>648</v>
      </c>
      <c r="C32" s="14" t="s">
        <v>597</v>
      </c>
      <c r="D32" s="36" t="s">
        <v>648</v>
      </c>
      <c r="E32" s="34" t="s">
        <v>611</v>
      </c>
      <c r="F32" s="22" t="n">
        <v>14.7</v>
      </c>
      <c r="G32" s="22" t="n">
        <v>-59.7</v>
      </c>
      <c r="H32" s="22" t="s">
        <v>78</v>
      </c>
      <c r="I32" s="22" t="s">
        <v>612</v>
      </c>
      <c r="J32" s="22" t="n">
        <v>2720</v>
      </c>
      <c r="K32" s="35" t="s">
        <v>645</v>
      </c>
      <c r="L32" s="22" t="s">
        <v>68</v>
      </c>
      <c r="M32" s="22" t="s">
        <v>647</v>
      </c>
      <c r="N32" s="22" t="s">
        <v>70</v>
      </c>
      <c r="O32" s="22" t="s">
        <v>71</v>
      </c>
      <c r="P32" s="22" t="s">
        <v>71</v>
      </c>
      <c r="Q32" s="22" t="n">
        <v>5</v>
      </c>
      <c r="R32" s="35" t="s">
        <v>62</v>
      </c>
      <c r="S32" s="25" t="n">
        <v>36.433</v>
      </c>
      <c r="T32" s="22" t="n">
        <v>28.2040202020202</v>
      </c>
      <c r="U32" s="36" t="n">
        <v>19</v>
      </c>
      <c r="V32" s="48" t="n">
        <v>1.38421052631579</v>
      </c>
      <c r="W32" s="48" t="n">
        <v>0.238916903022175</v>
      </c>
      <c r="X32" s="48" t="n">
        <v>0.054811296640914</v>
      </c>
      <c r="Y32" s="48" t="n">
        <v>-1.85578947368421</v>
      </c>
      <c r="Z32" s="48" t="n">
        <v>0.163037684446595</v>
      </c>
      <c r="AA32" s="48" t="n">
        <v>0.0374034100258727</v>
      </c>
      <c r="AB32" s="27" t="n">
        <v>0.987370336666667</v>
      </c>
      <c r="AC32" s="27" t="n">
        <v>0.241091553176325</v>
      </c>
      <c r="AD32" s="27" t="n">
        <v>0.214573326249228</v>
      </c>
      <c r="AE32" s="55" t="n">
        <v>0.591</v>
      </c>
      <c r="AF32" s="55" t="n">
        <v>0.008</v>
      </c>
      <c r="AG32" s="61" t="n">
        <f aca="false">AF32*SQRT(U32)</f>
        <v>0.0348711915483254</v>
      </c>
      <c r="AH32" s="29" t="n">
        <v>26.2173</v>
      </c>
      <c r="AI32" s="27" t="n">
        <v>0.587287</v>
      </c>
      <c r="AJ32" s="27" t="n">
        <f aca="false">VLOOKUP(B32,proft,2,0)</f>
        <v>27.3177283170896</v>
      </c>
      <c r="AK32" s="27" t="n">
        <f aca="false">VLOOKUP(B32,proft,3,0)</f>
        <v>1.10440902355466</v>
      </c>
      <c r="AL32" s="27" t="s">
        <v>63</v>
      </c>
      <c r="BB32" s="30" t="n">
        <v>27.2881</v>
      </c>
      <c r="BC32" s="30" t="n">
        <v>2.241</v>
      </c>
      <c r="BD32" s="30" t="n">
        <v>0.02292</v>
      </c>
      <c r="BE32" s="31" t="n">
        <v>27.2881</v>
      </c>
      <c r="BF32" s="31" t="n">
        <v>2.241</v>
      </c>
      <c r="BG32" s="31" t="n">
        <v>0.02292</v>
      </c>
      <c r="BH32" s="14" t="n">
        <f aca="false">10^6/((BB32+273.15)^2)</f>
        <v>11.078730206881</v>
      </c>
      <c r="BI32" s="14" t="n">
        <f aca="false">BH32*(2*($BF32/($BE32+273.15)))</f>
        <v>0.165274872884767</v>
      </c>
      <c r="BJ32" s="14" t="n">
        <f aca="false">BH32*(2*($BG32/($BE32+273.15)))</f>
        <v>0.00169036148439039</v>
      </c>
      <c r="BL32" s="14" t="n">
        <f aca="false">10^6/((AH32+273.15)^2)</f>
        <v>11.1581264584944</v>
      </c>
      <c r="BM32" s="14" t="n">
        <f aca="false">BL32*(2*($AI32/($AH32+273.15)))</f>
        <v>0.0437791476452491</v>
      </c>
      <c r="BN32" s="14" t="n">
        <f aca="false">10^6/((AJ32+273.15)^2)</f>
        <v>11.0765454268401</v>
      </c>
      <c r="BO32" s="14" t="n">
        <f aca="false">BN32*(2*($AK32/($AJ32+273.15)))</f>
        <v>0.0814266263317677</v>
      </c>
    </row>
    <row r="33" s="14" customFormat="true" ht="16" hidden="false" customHeight="false" outlineLevel="0" collapsed="false">
      <c r="A33" s="22" t="s">
        <v>130</v>
      </c>
      <c r="B33" s="36" t="s">
        <v>655</v>
      </c>
      <c r="C33" s="14" t="s">
        <v>597</v>
      </c>
      <c r="D33" s="36" t="s">
        <v>655</v>
      </c>
      <c r="E33" s="34" t="s">
        <v>413</v>
      </c>
      <c r="F33" s="22" t="n">
        <v>70</v>
      </c>
      <c r="G33" s="22" t="n">
        <v>-13.6</v>
      </c>
      <c r="H33" s="22" t="s">
        <v>125</v>
      </c>
      <c r="I33" s="22" t="s">
        <v>121</v>
      </c>
      <c r="J33" s="22" t="n">
        <v>1423</v>
      </c>
      <c r="K33" s="35" t="s">
        <v>130</v>
      </c>
      <c r="L33" s="22" t="s">
        <v>80</v>
      </c>
      <c r="M33" s="22" t="s">
        <v>134</v>
      </c>
      <c r="N33" s="22" t="s">
        <v>135</v>
      </c>
      <c r="O33" s="22" t="s">
        <v>71</v>
      </c>
      <c r="P33" s="22" t="s">
        <v>71</v>
      </c>
      <c r="Q33" s="22" t="n">
        <v>5</v>
      </c>
      <c r="R33" s="35" t="s">
        <v>62</v>
      </c>
      <c r="S33" s="25" t="n">
        <v>34.7867058823529</v>
      </c>
      <c r="T33" s="22" t="n">
        <v>62.2654680851064</v>
      </c>
      <c r="U33" s="36" t="n">
        <v>20</v>
      </c>
      <c r="V33" s="48" t="n">
        <v>1.4185</v>
      </c>
      <c r="W33" s="48" t="n">
        <v>0.171503414113631</v>
      </c>
      <c r="X33" s="48" t="n">
        <v>0.0383493292331376</v>
      </c>
      <c r="Y33" s="48" t="n">
        <v>-1.122</v>
      </c>
      <c r="Z33" s="48" t="n">
        <v>0.0840175420279661</v>
      </c>
      <c r="AA33" s="48" t="n">
        <v>0.0187868935276978</v>
      </c>
      <c r="AB33" s="27" t="n">
        <v>0.673166573333334</v>
      </c>
      <c r="AC33" s="27" t="n">
        <v>0.202643223233973</v>
      </c>
      <c r="AD33" s="27" t="n">
        <v>0.200442957772136</v>
      </c>
      <c r="AE33" s="55" t="n">
        <v>0.601</v>
      </c>
      <c r="AF33" s="55" t="n">
        <v>0.007</v>
      </c>
      <c r="AG33" s="61" t="n">
        <f aca="false">AF33*SQRT(U33)</f>
        <v>0.0313049516849971</v>
      </c>
      <c r="AH33" s="29" t="n">
        <v>23.8745</v>
      </c>
      <c r="AI33" s="27" t="n">
        <v>1.550499</v>
      </c>
      <c r="AJ33" s="27" t="n">
        <f aca="false">VLOOKUP(B33,proft,2,0)</f>
        <v>19.5340386648663</v>
      </c>
      <c r="AK33" s="27" t="n">
        <f aca="false">VLOOKUP(B33,proft,3,0)</f>
        <v>0.111205698344084</v>
      </c>
      <c r="AL33" s="27" t="s">
        <v>63</v>
      </c>
      <c r="BB33" s="30" t="n">
        <v>23.1785</v>
      </c>
      <c r="BC33" s="30" t="n">
        <v>2.238</v>
      </c>
      <c r="BD33" s="30" t="n">
        <v>0.02238</v>
      </c>
      <c r="BE33" s="31" t="n">
        <v>23.1785</v>
      </c>
      <c r="BF33" s="31" t="n">
        <v>2.238</v>
      </c>
      <c r="BG33" s="31" t="n">
        <v>0.02238</v>
      </c>
      <c r="BH33" s="14" t="n">
        <f aca="false">10^6/((BB33+273.15)^2)</f>
        <v>11.3881493665036</v>
      </c>
      <c r="BI33" s="14" t="n">
        <f aca="false">BH33*(2*($BF33/($BE33+273.15)))</f>
        <v>0.172016382374527</v>
      </c>
      <c r="BJ33" s="14" t="n">
        <f aca="false">BH33*(2*($BG33/($BE33+273.15)))</f>
        <v>0.00172016382374527</v>
      </c>
      <c r="BL33" s="14" t="n">
        <f aca="false">10^6/((AH33+273.15)^2)</f>
        <v>11.3348415382484</v>
      </c>
      <c r="BM33" s="14" t="n">
        <f aca="false">BL33*(2*($AI33/($AH33+273.15)))</f>
        <v>0.118338120055501</v>
      </c>
      <c r="BN33" s="14" t="n">
        <f aca="false">10^6/((AJ33+273.15)^2)</f>
        <v>11.6735224208512</v>
      </c>
      <c r="BO33" s="14" t="n">
        <f aca="false">BN33*(2*($AK33/($AJ33+273.15)))</f>
        <v>0.00887074142387736</v>
      </c>
    </row>
    <row r="34" s="14" customFormat="true" ht="16" hidden="false" customHeight="false" outlineLevel="0" collapsed="false">
      <c r="A34" s="22" t="s">
        <v>627</v>
      </c>
      <c r="B34" s="36" t="s">
        <v>628</v>
      </c>
      <c r="C34" s="14" t="s">
        <v>597</v>
      </c>
      <c r="D34" s="36" t="s">
        <v>628</v>
      </c>
      <c r="E34" s="34" t="s">
        <v>345</v>
      </c>
      <c r="F34" s="22" t="n">
        <v>-11.2</v>
      </c>
      <c r="G34" s="22" t="n">
        <v>58.8</v>
      </c>
      <c r="H34" s="22" t="s">
        <v>125</v>
      </c>
      <c r="I34" s="22" t="s">
        <v>346</v>
      </c>
      <c r="J34" s="22" t="n">
        <v>2871</v>
      </c>
      <c r="K34" s="35" t="s">
        <v>154</v>
      </c>
      <c r="L34" s="22" t="s">
        <v>160</v>
      </c>
      <c r="M34" s="22" t="s">
        <v>161</v>
      </c>
      <c r="N34" s="22" t="s">
        <v>624</v>
      </c>
      <c r="O34" s="22" t="s">
        <v>71</v>
      </c>
      <c r="P34" s="22" t="s">
        <v>71</v>
      </c>
      <c r="Q34" s="22" t="n">
        <v>5</v>
      </c>
      <c r="R34" s="35" t="s">
        <v>62</v>
      </c>
      <c r="S34" s="25" t="n">
        <v>35.0202857142857</v>
      </c>
      <c r="T34" s="22" t="n">
        <v>7.05296756756757</v>
      </c>
      <c r="U34" s="36" t="n">
        <v>19</v>
      </c>
      <c r="V34" s="48" t="n">
        <v>1.58684210526316</v>
      </c>
      <c r="W34" s="48" t="n">
        <v>0.114312079247944</v>
      </c>
      <c r="X34" s="48" t="n">
        <v>0.026224989550937</v>
      </c>
      <c r="Y34" s="48" t="n">
        <v>-1.73894736842105</v>
      </c>
      <c r="Z34" s="48" t="n">
        <v>0.0803391932055101</v>
      </c>
      <c r="AA34" s="48" t="n">
        <v>0.018431074967811</v>
      </c>
      <c r="AB34" s="27" t="n">
        <v>0.3977346125</v>
      </c>
      <c r="AC34" s="27" t="n">
        <v>0.200015176168739</v>
      </c>
      <c r="AD34" s="27" t="n">
        <v>0.200003794150143</v>
      </c>
      <c r="AE34" s="55" t="n">
        <v>0.607</v>
      </c>
      <c r="AF34" s="55" t="n">
        <v>0.008</v>
      </c>
      <c r="AG34" s="61" t="n">
        <f aca="false">AF34*SQRT(U34)</f>
        <v>0.0348711915483254</v>
      </c>
      <c r="AH34" s="29" t="n">
        <v>21.4148</v>
      </c>
      <c r="AI34" s="27" t="n">
        <v>2.708527</v>
      </c>
      <c r="AJ34" s="27" t="n">
        <f aca="false">VLOOKUP(B34,proft,2,0)</f>
        <v>25.3107296103726</v>
      </c>
      <c r="AK34" s="27" t="n">
        <f aca="false">VLOOKUP(B34,proft,3,0)</f>
        <v>1.51115158394306</v>
      </c>
      <c r="AL34" s="27" t="s">
        <v>163</v>
      </c>
      <c r="BB34" s="30" t="n">
        <v>25.106</v>
      </c>
      <c r="BC34" s="30" t="n">
        <v>1.911</v>
      </c>
      <c r="BD34" s="30" t="n">
        <v>0.01911</v>
      </c>
      <c r="BE34" s="31" t="n">
        <v>25.106</v>
      </c>
      <c r="BF34" s="31" t="n">
        <v>1.911</v>
      </c>
      <c r="BG34" s="31" t="n">
        <v>0.01911</v>
      </c>
      <c r="BH34" s="14" t="n">
        <f aca="false">10^6/((BB34+273.15)^2)</f>
        <v>11.2414315865928</v>
      </c>
      <c r="BI34" s="14" t="n">
        <f aca="false">BH34*(2*($BF34/($BE34+273.15)))</f>
        <v>0.144053268078287</v>
      </c>
      <c r="BJ34" s="14" t="n">
        <f aca="false">BH34*(2*($BG34/($BE34+273.15)))</f>
        <v>0.00144053268078287</v>
      </c>
      <c r="BL34" s="14" t="n">
        <f aca="false">10^6/((AH34+273.15)^2)</f>
        <v>11.5249301978319</v>
      </c>
      <c r="BM34" s="14" t="n">
        <f aca="false">BL34*(2*($AI34/($AH34+273.15)))</f>
        <v>0.211943753048179</v>
      </c>
      <c r="BN34" s="14" t="n">
        <f aca="false">10^6/((AJ34+273.15)^2)</f>
        <v>11.2260147204022</v>
      </c>
      <c r="BO34" s="14" t="n">
        <f aca="false">BN34*(2*($AK34/($AJ34+273.15)))</f>
        <v>0.113678003456266</v>
      </c>
    </row>
    <row r="35" s="14" customFormat="true" ht="16" hidden="false" customHeight="false" outlineLevel="0" collapsed="false">
      <c r="A35" s="22" t="s">
        <v>139</v>
      </c>
      <c r="B35" s="36" t="s">
        <v>641</v>
      </c>
      <c r="C35" s="14" t="s">
        <v>597</v>
      </c>
      <c r="D35" s="36" t="s">
        <v>641</v>
      </c>
      <c r="E35" s="34" t="s">
        <v>345</v>
      </c>
      <c r="F35" s="22" t="n">
        <v>-11.2</v>
      </c>
      <c r="G35" s="22" t="n">
        <v>58.8</v>
      </c>
      <c r="H35" s="22" t="s">
        <v>125</v>
      </c>
      <c r="I35" s="22" t="s">
        <v>346</v>
      </c>
      <c r="J35" s="22" t="n">
        <v>2871</v>
      </c>
      <c r="K35" s="35" t="s">
        <v>139</v>
      </c>
      <c r="L35" s="22" t="s">
        <v>144</v>
      </c>
      <c r="M35" s="22" t="s">
        <v>145</v>
      </c>
      <c r="N35" s="22" t="s">
        <v>146</v>
      </c>
      <c r="O35" s="22" t="s">
        <v>71</v>
      </c>
      <c r="P35" s="22" t="s">
        <v>71</v>
      </c>
      <c r="Q35" s="22" t="n">
        <v>5</v>
      </c>
      <c r="R35" s="35" t="s">
        <v>62</v>
      </c>
      <c r="S35" s="25" t="n">
        <v>35.197</v>
      </c>
      <c r="T35" s="22" t="n">
        <v>7.05296756756757</v>
      </c>
      <c r="U35" s="36" t="n">
        <v>21</v>
      </c>
      <c r="V35" s="48" t="n">
        <v>0.993809523809524</v>
      </c>
      <c r="W35" s="48" t="n">
        <v>0.0615204186003469</v>
      </c>
      <c r="X35" s="48" t="n">
        <v>0.0134248559534028</v>
      </c>
      <c r="Y35" s="48" t="n">
        <v>-0.795238095238095</v>
      </c>
      <c r="Z35" s="48" t="n">
        <v>0.146205986458115</v>
      </c>
      <c r="AA35" s="48" t="n">
        <v>0.0319047619047619</v>
      </c>
      <c r="AB35" s="27" t="n">
        <v>0.224312055</v>
      </c>
      <c r="AC35" s="27" t="n">
        <v>0.200171203355368</v>
      </c>
      <c r="AD35" s="27" t="n">
        <v>0.200085619988964</v>
      </c>
      <c r="AE35" s="55" t="n">
        <v>0.605</v>
      </c>
      <c r="AF35" s="55" t="n">
        <v>0.005</v>
      </c>
      <c r="AG35" s="61" t="n">
        <f aca="false">AF35*SQRT(U35)</f>
        <v>0.0229128784747792</v>
      </c>
      <c r="AH35" s="29" t="n">
        <v>18.9503</v>
      </c>
      <c r="AI35" s="27" t="n">
        <v>1.433712</v>
      </c>
      <c r="AJ35" s="27" t="n">
        <f aca="false">VLOOKUP(B35,proft,2,0)</f>
        <v>19.6479684655999</v>
      </c>
      <c r="AK35" s="27" t="n">
        <f aca="false">VLOOKUP(B35,proft,3,0)</f>
        <v>1.82212185580648</v>
      </c>
      <c r="AL35" s="27" t="s">
        <v>63</v>
      </c>
      <c r="BB35" s="30" t="n">
        <v>20.2284</v>
      </c>
      <c r="BC35" s="30" t="n">
        <v>2.214</v>
      </c>
      <c r="BD35" s="30" t="n">
        <v>0.02214</v>
      </c>
      <c r="BE35" s="31" t="n">
        <v>20.2284</v>
      </c>
      <c r="BF35" s="31" t="n">
        <v>2.214</v>
      </c>
      <c r="BG35" s="31" t="n">
        <v>0.02214</v>
      </c>
      <c r="BH35" s="14" t="n">
        <f aca="false">10^6/((BB35+273.15)^2)</f>
        <v>11.6183305560893</v>
      </c>
      <c r="BI35" s="14" t="n">
        <f aca="false">BH35*(2*($BF35/($BE35+273.15)))</f>
        <v>0.175357039585612</v>
      </c>
      <c r="BJ35" s="14" t="n">
        <f aca="false">BH35*(2*($BG35/($BE35+273.15)))</f>
        <v>0.00175357039585612</v>
      </c>
      <c r="BL35" s="14" t="n">
        <f aca="false">10^6/((AH35+273.15)^2)</f>
        <v>11.7202262091765</v>
      </c>
      <c r="BM35" s="14" t="n">
        <f aca="false">BL35*(2*($AI35/($AH35+273.15)))</f>
        <v>0.115052459438151</v>
      </c>
      <c r="BN35" s="14" t="n">
        <f aca="false">10^6/((AJ35+273.15)^2)</f>
        <v>11.6644396847836</v>
      </c>
      <c r="BO35" s="14" t="n">
        <f aca="false">BN35*(2*($AK35/($AJ35+273.15)))</f>
        <v>0.145178811156114</v>
      </c>
    </row>
    <row r="36" s="14" customFormat="true" ht="16" hidden="false" customHeight="false" outlineLevel="0" collapsed="false">
      <c r="A36" s="22" t="s">
        <v>67</v>
      </c>
      <c r="B36" s="36" t="s">
        <v>644</v>
      </c>
      <c r="C36" s="14" t="s">
        <v>597</v>
      </c>
      <c r="D36" s="36" t="s">
        <v>644</v>
      </c>
      <c r="E36" s="34" t="s">
        <v>345</v>
      </c>
      <c r="F36" s="22" t="n">
        <v>-11.2</v>
      </c>
      <c r="G36" s="22" t="n">
        <v>58.8</v>
      </c>
      <c r="H36" s="22" t="s">
        <v>125</v>
      </c>
      <c r="I36" s="22" t="s">
        <v>346</v>
      </c>
      <c r="J36" s="22" t="n">
        <v>2871</v>
      </c>
      <c r="K36" s="35" t="s">
        <v>67</v>
      </c>
      <c r="L36" s="22" t="s">
        <v>68</v>
      </c>
      <c r="M36" s="22" t="s">
        <v>69</v>
      </c>
      <c r="N36" s="22" t="s">
        <v>70</v>
      </c>
      <c r="O36" s="22" t="s">
        <v>71</v>
      </c>
      <c r="P36" s="22" t="s">
        <v>71</v>
      </c>
      <c r="Q36" s="22" t="n">
        <v>5</v>
      </c>
      <c r="R36" s="35" t="s">
        <v>62</v>
      </c>
      <c r="S36" s="25" t="n">
        <v>35.1836363636364</v>
      </c>
      <c r="T36" s="22" t="n">
        <v>7.05296756756757</v>
      </c>
      <c r="U36" s="36" t="n">
        <v>25</v>
      </c>
      <c r="V36" s="48" t="n">
        <v>2.346</v>
      </c>
      <c r="W36" s="48" t="n">
        <v>0.152370163308525</v>
      </c>
      <c r="X36" s="48" t="n">
        <v>0.0304740326617051</v>
      </c>
      <c r="Y36" s="48" t="n">
        <v>-1.5464</v>
      </c>
      <c r="Z36" s="48" t="n">
        <v>0.102423955531246</v>
      </c>
      <c r="AA36" s="48" t="n">
        <v>0.0204847911062492</v>
      </c>
      <c r="AB36" s="27" t="n">
        <v>0.27877157</v>
      </c>
      <c r="AC36" s="27" t="n">
        <v>0.232499021638854</v>
      </c>
      <c r="AD36" s="27" t="n">
        <v>0.211388895216868</v>
      </c>
      <c r="AE36" s="55" t="n">
        <v>0.599</v>
      </c>
      <c r="AF36" s="55" t="n">
        <v>0.006</v>
      </c>
      <c r="AG36" s="61" t="n">
        <f aca="false">AF36*SQRT(U36)</f>
        <v>0.03</v>
      </c>
      <c r="AH36" s="29" t="n">
        <v>22.7538</v>
      </c>
      <c r="AI36" s="27" t="n">
        <v>1.865783</v>
      </c>
      <c r="AJ36" s="27" t="n">
        <f aca="false">VLOOKUP(B36,proft,2,0)</f>
        <v>24.0749436330153</v>
      </c>
      <c r="AK36" s="27" t="n">
        <f aca="false">VLOOKUP(B36,proft,3,0)</f>
        <v>2.92383351456558</v>
      </c>
      <c r="AL36" s="27" t="s">
        <v>72</v>
      </c>
      <c r="BB36" s="30" t="n">
        <v>24.3669</v>
      </c>
      <c r="BC36" s="30" t="n">
        <v>2.097</v>
      </c>
      <c r="BD36" s="30" t="n">
        <v>0.02097</v>
      </c>
      <c r="BE36" s="31" t="n">
        <v>24.3669</v>
      </c>
      <c r="BF36" s="31" t="n">
        <v>2.097</v>
      </c>
      <c r="BG36" s="31" t="n">
        <v>0.02097</v>
      </c>
      <c r="BH36" s="14" t="n">
        <f aca="false">10^6/((BB36+273.15)^2)</f>
        <v>11.2973535341843</v>
      </c>
      <c r="BI36" s="14" t="n">
        <f aca="false">BH36*(2*($BF36/($BE36+273.15)))</f>
        <v>0.159255157345243</v>
      </c>
      <c r="BJ36" s="14" t="n">
        <f aca="false">BH36*(2*($BG36/($BE36+273.15)))</f>
        <v>0.00159255157345243</v>
      </c>
      <c r="BL36" s="14" t="n">
        <f aca="false">10^6/((AH36+273.15)^2)</f>
        <v>11.4208628220002</v>
      </c>
      <c r="BM36" s="14" t="n">
        <f aca="false">BL36*(2*($AI36/($AH36+273.15)))</f>
        <v>0.144025535992576</v>
      </c>
      <c r="BN36" s="14" t="n">
        <f aca="false">10^6/((AJ36+273.15)^2)</f>
        <v>11.3195586303531</v>
      </c>
      <c r="BO36" s="14" t="n">
        <f aca="false">BN36*(2*($AK36/($AJ36+273.15)))</f>
        <v>0.222703414383559</v>
      </c>
    </row>
    <row r="37" s="14" customFormat="true" ht="16" hidden="false" customHeight="false" outlineLevel="0" collapsed="false">
      <c r="A37" s="22" t="s">
        <v>645</v>
      </c>
      <c r="B37" s="36" t="s">
        <v>650</v>
      </c>
      <c r="C37" s="14" t="s">
        <v>597</v>
      </c>
      <c r="D37" s="36" t="s">
        <v>650</v>
      </c>
      <c r="E37" s="34" t="s">
        <v>345</v>
      </c>
      <c r="F37" s="22" t="n">
        <v>-11.2</v>
      </c>
      <c r="G37" s="22" t="n">
        <v>58.8</v>
      </c>
      <c r="H37" s="22" t="s">
        <v>125</v>
      </c>
      <c r="I37" s="22" t="s">
        <v>346</v>
      </c>
      <c r="J37" s="22" t="n">
        <v>2871</v>
      </c>
      <c r="K37" s="35" t="s">
        <v>645</v>
      </c>
      <c r="L37" s="22" t="s">
        <v>68</v>
      </c>
      <c r="M37" s="22" t="s">
        <v>647</v>
      </c>
      <c r="N37" s="22" t="s">
        <v>70</v>
      </c>
      <c r="O37" s="22" t="s">
        <v>71</v>
      </c>
      <c r="P37" s="22" t="s">
        <v>71</v>
      </c>
      <c r="Q37" s="22" t="n">
        <v>5</v>
      </c>
      <c r="R37" s="35" t="s">
        <v>62</v>
      </c>
      <c r="S37" s="25" t="n">
        <v>35.1836363636364</v>
      </c>
      <c r="T37" s="22" t="n">
        <v>7.05296756756757</v>
      </c>
      <c r="U37" s="36" t="n">
        <v>23</v>
      </c>
      <c r="V37" s="48" t="n">
        <v>1.66782608695652</v>
      </c>
      <c r="W37" s="48" t="n">
        <v>0.132663501925296</v>
      </c>
      <c r="X37" s="48" t="n">
        <v>0.0276622523707127</v>
      </c>
      <c r="Y37" s="48" t="n">
        <v>-1.5104347826087</v>
      </c>
      <c r="Z37" s="48" t="n">
        <v>0.0752256158541252</v>
      </c>
      <c r="AA37" s="48" t="n">
        <v>0.0156856252119055</v>
      </c>
      <c r="AB37" s="27" t="n">
        <v>0.27877157</v>
      </c>
      <c r="AC37" s="27" t="n">
        <v>0.232499021638854</v>
      </c>
      <c r="AD37" s="27" t="n">
        <v>0.211388895216868</v>
      </c>
      <c r="AE37" s="55" t="n">
        <v>0.593</v>
      </c>
      <c r="AF37" s="55" t="n">
        <v>0.005</v>
      </c>
      <c r="AG37" s="61" t="n">
        <f aca="false">AF37*SQRT(U37)</f>
        <v>0.0239791576165636</v>
      </c>
      <c r="AH37" s="29" t="n">
        <v>22.7538</v>
      </c>
      <c r="AI37" s="27" t="n">
        <v>1.865783</v>
      </c>
      <c r="AJ37" s="27" t="n">
        <f aca="false">VLOOKUP(B37,proft,2,0)</f>
        <v>23.1184790499104</v>
      </c>
      <c r="AK37" s="27" t="n">
        <f aca="false">VLOOKUP(B37,proft,3,0)</f>
        <v>1.24111399164718</v>
      </c>
      <c r="AL37" s="27" t="s">
        <v>63</v>
      </c>
      <c r="BB37" s="30" t="n">
        <v>23.2102</v>
      </c>
      <c r="BC37" s="30" t="n">
        <v>2.24</v>
      </c>
      <c r="BD37" s="30" t="n">
        <v>0.0224</v>
      </c>
      <c r="BE37" s="31" t="n">
        <v>23.2102</v>
      </c>
      <c r="BF37" s="31" t="n">
        <v>2.24</v>
      </c>
      <c r="BG37" s="31" t="n">
        <v>0.0224</v>
      </c>
      <c r="BH37" s="14" t="n">
        <f aca="false">10^6/((BB37+273.15)^2)</f>
        <v>11.3857132429782</v>
      </c>
      <c r="BI37" s="14" t="n">
        <f aca="false">BH37*(2*($BF37/($BE37+273.15)))</f>
        <v>0.172114863360675</v>
      </c>
      <c r="BJ37" s="14" t="n">
        <f aca="false">BH37*(2*($BG37/($BE37+273.15)))</f>
        <v>0.00172114863360674</v>
      </c>
      <c r="BL37" s="14" t="n">
        <f aca="false">10^6/((AH37+273.15)^2)</f>
        <v>11.4208628220002</v>
      </c>
      <c r="BM37" s="14" t="n">
        <f aca="false">BL37*(2*($AI37/($AH37+273.15)))</f>
        <v>0.144025535992576</v>
      </c>
      <c r="BN37" s="14" t="n">
        <f aca="false">10^6/((AJ37+273.15)^2)</f>
        <v>11.3927640780298</v>
      </c>
      <c r="BO37" s="14" t="n">
        <f aca="false">BN37*(2*($AK37/($AJ37+273.15)))</f>
        <v>0.0954520639260862</v>
      </c>
    </row>
    <row r="38" s="14" customFormat="true" ht="16" hidden="false" customHeight="false" outlineLevel="0" collapsed="false">
      <c r="A38" s="22" t="s">
        <v>130</v>
      </c>
      <c r="B38" s="36" t="s">
        <v>656</v>
      </c>
      <c r="C38" s="14" t="s">
        <v>597</v>
      </c>
      <c r="D38" s="36" t="s">
        <v>656</v>
      </c>
      <c r="E38" s="34" t="s">
        <v>345</v>
      </c>
      <c r="F38" s="22" t="n">
        <v>70.5</v>
      </c>
      <c r="G38" s="22" t="n">
        <v>-2.8</v>
      </c>
      <c r="H38" s="22" t="s">
        <v>125</v>
      </c>
      <c r="I38" s="22" t="s">
        <v>346</v>
      </c>
      <c r="J38" s="22" t="n">
        <v>2995</v>
      </c>
      <c r="K38" s="35" t="s">
        <v>130</v>
      </c>
      <c r="L38" s="22" t="s">
        <v>80</v>
      </c>
      <c r="M38" s="22" t="s">
        <v>134</v>
      </c>
      <c r="N38" s="22" t="s">
        <v>583</v>
      </c>
      <c r="O38" s="22" t="s">
        <v>71</v>
      </c>
      <c r="P38" s="22" t="s">
        <v>71</v>
      </c>
      <c r="Q38" s="22" t="n">
        <v>5</v>
      </c>
      <c r="R38" s="35" t="s">
        <v>62</v>
      </c>
      <c r="S38" s="25" t="n">
        <v>35.0827777777778</v>
      </c>
      <c r="T38" s="22" t="n">
        <v>7.05296756756757</v>
      </c>
      <c r="U38" s="36" t="n">
        <v>20</v>
      </c>
      <c r="V38" s="48" t="n">
        <v>1.7225</v>
      </c>
      <c r="W38" s="48" t="n">
        <v>0.0847830047517594</v>
      </c>
      <c r="X38" s="48" t="n">
        <v>0.0189580561961622</v>
      </c>
      <c r="Y38" s="48" t="n">
        <v>-0.6385</v>
      </c>
      <c r="Z38" s="48" t="n">
        <v>0.14590101186475</v>
      </c>
      <c r="AA38" s="48" t="n">
        <v>0.0326244580515584</v>
      </c>
      <c r="AB38" s="27" t="n">
        <v>0.310979933333333</v>
      </c>
      <c r="AC38" s="27" t="n">
        <v>0.225166451419619</v>
      </c>
      <c r="AD38" s="27" t="n">
        <v>0.204409691080154</v>
      </c>
      <c r="AE38" s="55" t="n">
        <v>0.604</v>
      </c>
      <c r="AF38" s="55" t="n">
        <v>0.005</v>
      </c>
      <c r="AG38" s="61" t="n">
        <f aca="false">AF38*SQRT(U38)</f>
        <v>0.0223606797749979</v>
      </c>
      <c r="AH38" s="29" t="n">
        <v>23.7359</v>
      </c>
      <c r="AI38" s="27" t="n">
        <v>2.720152</v>
      </c>
      <c r="AJ38" s="27" t="n">
        <f aca="false">VLOOKUP(B38,proft,2,0)</f>
        <v>18.9105153498174</v>
      </c>
      <c r="AK38" s="27" t="n">
        <f aca="false">VLOOKUP(B38,proft,3,0)</f>
        <v>1.7282785106513</v>
      </c>
      <c r="AL38" s="27" t="s">
        <v>63</v>
      </c>
      <c r="BB38" s="30" t="n">
        <v>19.9253</v>
      </c>
      <c r="BC38" s="30" t="n">
        <v>2.252</v>
      </c>
      <c r="BD38" s="30" t="n">
        <v>0.02252</v>
      </c>
      <c r="BE38" s="31" t="n">
        <v>19.9253</v>
      </c>
      <c r="BF38" s="31" t="n">
        <v>2.252</v>
      </c>
      <c r="BG38" s="31" t="n">
        <v>0.02252</v>
      </c>
      <c r="BH38" s="14" t="n">
        <f aca="false">10^6/((BB38+273.15)^2)</f>
        <v>11.6423744586402</v>
      </c>
      <c r="BI38" s="14" t="n">
        <f aca="false">BH38*(2*($BF38/($BE38+273.15)))</f>
        <v>0.17892075709456</v>
      </c>
      <c r="BJ38" s="14" t="n">
        <f aca="false">BH38*(2*($BG38/($BE38+273.15)))</f>
        <v>0.0017892075709456</v>
      </c>
      <c r="BL38" s="14" t="n">
        <f aca="false">10^6/((AH38+273.15)^2)</f>
        <v>11.3454272598799</v>
      </c>
      <c r="BM38" s="14" t="n">
        <f aca="false">BL38*(2*($AI38/($AH38+273.15)))</f>
        <v>0.20789998212658</v>
      </c>
      <c r="BN38" s="14" t="n">
        <f aca="false">10^6/((AJ38+273.15)^2)</f>
        <v>11.7234194984716</v>
      </c>
      <c r="BO38" s="14" t="n">
        <f aca="false">BN38*(2*($AK38/($AJ38+273.15)))</f>
        <v>0.138747505572884</v>
      </c>
    </row>
    <row r="39" s="14" customFormat="true" ht="16" hidden="false" customHeight="false" outlineLevel="0" collapsed="false">
      <c r="A39" s="22" t="s">
        <v>100</v>
      </c>
      <c r="B39" s="36" t="s">
        <v>606</v>
      </c>
      <c r="C39" s="14" t="s">
        <v>597</v>
      </c>
      <c r="D39" s="36" t="s">
        <v>606</v>
      </c>
      <c r="E39" s="34" t="s">
        <v>607</v>
      </c>
      <c r="F39" s="22" t="n">
        <v>-45.1</v>
      </c>
      <c r="G39" s="22" t="n">
        <v>174.6</v>
      </c>
      <c r="H39" s="22" t="s">
        <v>56</v>
      </c>
      <c r="I39" s="22" t="s">
        <v>608</v>
      </c>
      <c r="J39" s="22" t="n">
        <v>992</v>
      </c>
      <c r="K39" s="35" t="s">
        <v>100</v>
      </c>
      <c r="L39" s="22" t="s">
        <v>104</v>
      </c>
      <c r="M39" s="22" t="s">
        <v>105</v>
      </c>
      <c r="N39" s="22" t="s">
        <v>151</v>
      </c>
      <c r="O39" s="22" t="s">
        <v>71</v>
      </c>
      <c r="P39" s="22" t="s">
        <v>71</v>
      </c>
      <c r="Q39" s="22" t="n">
        <v>5</v>
      </c>
      <c r="R39" s="35" t="s">
        <v>83</v>
      </c>
      <c r="S39" s="25" t="n">
        <v>34.341</v>
      </c>
      <c r="T39" s="22" t="n">
        <v>33.51871</v>
      </c>
      <c r="U39" s="36" t="n">
        <v>30</v>
      </c>
      <c r="V39" s="48" t="n">
        <v>0.404333333333334</v>
      </c>
      <c r="W39" s="48" t="n">
        <v>0.1678193473153</v>
      </c>
      <c r="X39" s="48" t="n">
        <v>0.0306394807034613</v>
      </c>
      <c r="Y39" s="48" t="n">
        <v>2.01733333333333</v>
      </c>
      <c r="Z39" s="48" t="n">
        <v>0.146097117754225</v>
      </c>
      <c r="AA39" s="48" t="n">
        <v>0.0266735623268259</v>
      </c>
      <c r="AB39" s="27" t="n">
        <v>-0.0243575398333333</v>
      </c>
      <c r="AC39" s="27" t="n">
        <v>0.201583910873476</v>
      </c>
      <c r="AD39" s="27" t="n">
        <v>0.200529360379842</v>
      </c>
      <c r="AE39" s="55" t="n">
        <v>0.65</v>
      </c>
      <c r="AF39" s="55" t="n">
        <v>0.004</v>
      </c>
      <c r="AG39" s="61" t="n">
        <f aca="false">AF39*SQRT(U39)</f>
        <v>0.0219089023002066</v>
      </c>
      <c r="AH39" s="29" t="n">
        <v>7.7927</v>
      </c>
      <c r="AI39" s="27" t="n">
        <v>0.245063</v>
      </c>
      <c r="AJ39" s="27" t="n">
        <f aca="false">VLOOKUP(B39,proft,2,0)</f>
        <v>5.54836626344597</v>
      </c>
      <c r="AK39" s="27" t="n">
        <f aca="false">VLOOKUP(B39,proft,3,0)</f>
        <v>0.627293414729047</v>
      </c>
      <c r="AL39" s="27" t="s">
        <v>107</v>
      </c>
      <c r="BB39" s="30" t="n">
        <v>8.6268</v>
      </c>
      <c r="BC39" s="30" t="n">
        <v>2.439</v>
      </c>
      <c r="BD39" s="30" t="n">
        <v>0.02517</v>
      </c>
      <c r="BE39" s="31" t="n">
        <v>8.6268</v>
      </c>
      <c r="BF39" s="31" t="n">
        <v>2.439</v>
      </c>
      <c r="BG39" s="31" t="n">
        <v>0.02517</v>
      </c>
      <c r="BH39" s="14" t="n">
        <f aca="false">10^6/((BB39+273.15)^2)</f>
        <v>12.5947495105242</v>
      </c>
      <c r="BI39" s="14" t="n">
        <f aca="false">BH39*(2*($BF39/($BE39+273.15)))</f>
        <v>0.218034941529385</v>
      </c>
      <c r="BJ39" s="14" t="n">
        <f aca="false">BH39*(2*($BG39/($BE39+273.15)))</f>
        <v>0.00225007768687766</v>
      </c>
      <c r="BL39" s="14" t="n">
        <f aca="false">10^6/((AH39+273.15)^2)</f>
        <v>12.6696464578577</v>
      </c>
      <c r="BM39" s="14" t="n">
        <f aca="false">BL39*(2*($AI39/($AH39+273.15)))</f>
        <v>0.0221031660185652</v>
      </c>
      <c r="BN39" s="14" t="n">
        <f aca="false">10^6/((AJ39+273.15)^2)</f>
        <v>12.8745232019062</v>
      </c>
      <c r="BO39" s="14" t="n">
        <f aca="false">BN39*(2*($AK39/($AJ39+273.15)))</f>
        <v>0.0579558734456157</v>
      </c>
    </row>
    <row r="40" s="14" customFormat="true" ht="16" hidden="false" customHeight="false" outlineLevel="0" collapsed="false">
      <c r="A40" s="22" t="s">
        <v>645</v>
      </c>
      <c r="B40" s="36" t="s">
        <v>646</v>
      </c>
      <c r="C40" s="14" t="s">
        <v>597</v>
      </c>
      <c r="D40" s="36" t="s">
        <v>646</v>
      </c>
      <c r="E40" s="34" t="s">
        <v>257</v>
      </c>
      <c r="F40" s="22" t="n">
        <v>-1</v>
      </c>
      <c r="G40" s="22" t="n">
        <v>157.8</v>
      </c>
      <c r="H40" s="22" t="s">
        <v>56</v>
      </c>
      <c r="I40" s="22" t="s">
        <v>57</v>
      </c>
      <c r="J40" s="22" t="n">
        <v>2016</v>
      </c>
      <c r="K40" s="35" t="s">
        <v>645</v>
      </c>
      <c r="L40" s="22" t="s">
        <v>68</v>
      </c>
      <c r="M40" s="22" t="s">
        <v>647</v>
      </c>
      <c r="N40" s="22" t="s">
        <v>643</v>
      </c>
      <c r="O40" s="22" t="s">
        <v>71</v>
      </c>
      <c r="P40" s="22" t="s">
        <v>71</v>
      </c>
      <c r="Q40" s="22" t="n">
        <v>5</v>
      </c>
      <c r="R40" s="35" t="s">
        <v>62</v>
      </c>
      <c r="S40" s="25" t="n">
        <v>35.26325</v>
      </c>
      <c r="T40" s="22" t="n">
        <v>4.33191554054054</v>
      </c>
      <c r="U40" s="36" t="n">
        <v>16</v>
      </c>
      <c r="V40" s="48" t="n">
        <v>2.221875</v>
      </c>
      <c r="W40" s="48" t="n">
        <v>0.105780826870153</v>
      </c>
      <c r="X40" s="48" t="n">
        <v>0.0264452067175383</v>
      </c>
      <c r="Y40" s="48" t="n">
        <v>-2.054375</v>
      </c>
      <c r="Z40" s="48" t="n">
        <v>0.0895893408838351</v>
      </c>
      <c r="AA40" s="48" t="n">
        <v>0.0223973352209588</v>
      </c>
      <c r="AB40" s="27" t="n">
        <v>0.2871825325</v>
      </c>
      <c r="AC40" s="27" t="n">
        <v>0.215592090438319</v>
      </c>
      <c r="AD40" s="27" t="n">
        <v>0.204009772719081</v>
      </c>
      <c r="AE40" s="55" t="n">
        <v>0.592</v>
      </c>
      <c r="AF40" s="55" t="n">
        <v>0.005</v>
      </c>
      <c r="AG40" s="61" t="n">
        <f aca="false">AF40*SQRT(U40)</f>
        <v>0.02</v>
      </c>
      <c r="AH40" s="29" t="n">
        <v>26.9071</v>
      </c>
      <c r="AI40" s="27" t="n">
        <v>2.018456</v>
      </c>
      <c r="AJ40" s="27" t="n">
        <f aca="false">VLOOKUP(B40,proft,2,0)</f>
        <v>26.1557590940924</v>
      </c>
      <c r="AK40" s="27" t="n">
        <f aca="false">VLOOKUP(B40,proft,3,0)</f>
        <v>0.438103512537209</v>
      </c>
      <c r="AL40" s="27" t="s">
        <v>63</v>
      </c>
      <c r="BB40" s="30" t="n">
        <v>25.2971</v>
      </c>
      <c r="BC40" s="30" t="n">
        <v>2.261</v>
      </c>
      <c r="BD40" s="30" t="n">
        <v>0.02261</v>
      </c>
      <c r="BE40" s="31" t="n">
        <v>25.2971</v>
      </c>
      <c r="BF40" s="31" t="n">
        <v>2.261</v>
      </c>
      <c r="BG40" s="31" t="n">
        <v>0.02261</v>
      </c>
      <c r="BH40" s="14" t="n">
        <f aca="false">10^6/((BB40+273.15)^2)</f>
        <v>11.2270400927409</v>
      </c>
      <c r="BI40" s="14" t="n">
        <f aca="false">BH40*(2*($BF40/($BE40+273.15)))</f>
        <v>0.170109460937547</v>
      </c>
      <c r="BJ40" s="14" t="n">
        <f aca="false">BH40*(2*($BG40/($BE40+273.15)))</f>
        <v>0.00170109460937547</v>
      </c>
      <c r="BL40" s="14" t="n">
        <f aca="false">10^6/((AH40+273.15)^2)</f>
        <v>11.1068826887344</v>
      </c>
      <c r="BM40" s="14" t="n">
        <f aca="false">BL40*(2*($AI40/($AH40+273.15)))</f>
        <v>0.149429918534652</v>
      </c>
      <c r="BN40" s="14" t="n">
        <f aca="false">10^6/((AJ40+273.15)^2)</f>
        <v>11.1627154233547</v>
      </c>
      <c r="BO40" s="14" t="n">
        <f aca="false">BN40*(2*($AK40/($AJ40+273.15)))</f>
        <v>0.0326784546426826</v>
      </c>
    </row>
    <row r="41" s="14" customFormat="true" ht="16" hidden="false" customHeight="false" outlineLevel="0" collapsed="false">
      <c r="A41" s="22" t="s">
        <v>609</v>
      </c>
      <c r="B41" s="36" t="s">
        <v>615</v>
      </c>
      <c r="C41" s="14" t="s">
        <v>597</v>
      </c>
      <c r="D41" s="36" t="s">
        <v>615</v>
      </c>
      <c r="E41" s="34" t="s">
        <v>616</v>
      </c>
      <c r="F41" s="22" t="n">
        <v>-13.5</v>
      </c>
      <c r="G41" s="22" t="n">
        <v>-162.1</v>
      </c>
      <c r="H41" s="22" t="s">
        <v>56</v>
      </c>
      <c r="I41" s="22" t="s">
        <v>617</v>
      </c>
      <c r="J41" s="22" t="n">
        <v>3154</v>
      </c>
      <c r="K41" s="35" t="s">
        <v>609</v>
      </c>
      <c r="L41" s="22" t="s">
        <v>160</v>
      </c>
      <c r="M41" s="22" t="s">
        <v>613</v>
      </c>
      <c r="N41" s="22" t="s">
        <v>618</v>
      </c>
      <c r="O41" s="22" t="s">
        <v>71</v>
      </c>
      <c r="P41" s="22" t="s">
        <v>71</v>
      </c>
      <c r="Q41" s="22" t="n">
        <v>5</v>
      </c>
      <c r="R41" s="35" t="s">
        <v>62</v>
      </c>
      <c r="S41" s="25" t="n">
        <v>36.1932</v>
      </c>
      <c r="T41" s="22" t="n">
        <v>1.82885929648241</v>
      </c>
      <c r="U41" s="36" t="n">
        <v>21</v>
      </c>
      <c r="V41" s="48" t="n">
        <v>2.3552380952381</v>
      </c>
      <c r="W41" s="48" t="n">
        <v>0.106330571691261</v>
      </c>
      <c r="X41" s="48" t="n">
        <v>0.023203233022054</v>
      </c>
      <c r="Y41" s="48" t="n">
        <v>-1.22571428571429</v>
      </c>
      <c r="Z41" s="48" t="n">
        <v>0.198810749924934</v>
      </c>
      <c r="AA41" s="48" t="n">
        <v>0.0433840624048546</v>
      </c>
      <c r="AB41" s="27" t="n">
        <v>0.6265999975</v>
      </c>
      <c r="AC41" s="27" t="n">
        <v>0.203559278094028</v>
      </c>
      <c r="AD41" s="27" t="n">
        <v>0.200895731474167</v>
      </c>
      <c r="AE41" s="55" t="n">
        <v>0.609</v>
      </c>
      <c r="AF41" s="55" t="n">
        <v>0.006</v>
      </c>
      <c r="AG41" s="61" t="n">
        <f aca="false">AF41*SQRT(U41)</f>
        <v>0.027495454169735</v>
      </c>
      <c r="AH41" s="29" t="n">
        <v>24.7713</v>
      </c>
      <c r="AI41" s="27" t="n">
        <v>1.941156</v>
      </c>
      <c r="AJ41" s="27" t="n">
        <f aca="false">VLOOKUP(B41,proft,2,0)</f>
        <v>23.6509976067659</v>
      </c>
      <c r="AK41" s="27" t="n">
        <f aca="false">VLOOKUP(B41,proft,3,0)</f>
        <v>2.33139244127252</v>
      </c>
      <c r="AL41" s="27" t="s">
        <v>63</v>
      </c>
      <c r="BB41" s="30" t="n">
        <v>23.4137</v>
      </c>
      <c r="BC41" s="30" t="n">
        <v>2.218</v>
      </c>
      <c r="BD41" s="30" t="n">
        <v>0.02265</v>
      </c>
      <c r="BE41" s="31" t="n">
        <v>23.4137</v>
      </c>
      <c r="BF41" s="31" t="n">
        <v>2.218</v>
      </c>
      <c r="BG41" s="31" t="n">
        <v>0.02265</v>
      </c>
      <c r="BH41" s="14" t="n">
        <f aca="false">10^6/((BB41+273.15)^2)</f>
        <v>11.3700930056219</v>
      </c>
      <c r="BI41" s="14" t="n">
        <f aca="false">BH41*(2*($BF41/($BE41+273.15)))</f>
        <v>0.170073857902834</v>
      </c>
      <c r="BJ41" s="14" t="n">
        <f aca="false">BH41*(2*($BG41/($BE41+273.15)))</f>
        <v>0.00173677767425572</v>
      </c>
      <c r="BL41" s="14" t="n">
        <f aca="false">10^6/((AH41+273.15)^2)</f>
        <v>11.2667041713214</v>
      </c>
      <c r="BM41" s="14" t="n">
        <f aca="false">BL41*(2*($AI41/($AH41+273.15)))</f>
        <v>0.146820186420948</v>
      </c>
      <c r="BN41" s="14" t="n">
        <f aca="false">10^6/((AJ41+273.15)^2)</f>
        <v>11.3519190958764</v>
      </c>
      <c r="BO41" s="14" t="n">
        <f aca="false">BN41*(2*($AK41/($AJ41+273.15)))</f>
        <v>0.178340225184338</v>
      </c>
    </row>
    <row r="42" s="14" customFormat="true" ht="16" hidden="false" customHeight="false" outlineLevel="0" collapsed="false">
      <c r="A42" s="22" t="s">
        <v>154</v>
      </c>
      <c r="B42" s="36" t="s">
        <v>625</v>
      </c>
      <c r="C42" s="14" t="s">
        <v>597</v>
      </c>
      <c r="D42" s="36" t="s">
        <v>625</v>
      </c>
      <c r="E42" s="34" t="s">
        <v>616</v>
      </c>
      <c r="F42" s="22" t="n">
        <v>-13.5</v>
      </c>
      <c r="G42" s="22" t="n">
        <v>-162.1</v>
      </c>
      <c r="H42" s="22" t="s">
        <v>56</v>
      </c>
      <c r="I42" s="22" t="s">
        <v>617</v>
      </c>
      <c r="J42" s="22" t="n">
        <v>3154</v>
      </c>
      <c r="K42" s="35" t="s">
        <v>154</v>
      </c>
      <c r="L42" s="22" t="s">
        <v>160</v>
      </c>
      <c r="M42" s="22" t="s">
        <v>161</v>
      </c>
      <c r="N42" s="22" t="s">
        <v>626</v>
      </c>
      <c r="O42" s="22" t="s">
        <v>71</v>
      </c>
      <c r="P42" s="22" t="s">
        <v>71</v>
      </c>
      <c r="Q42" s="22" t="n">
        <v>5</v>
      </c>
      <c r="R42" s="35" t="s">
        <v>62</v>
      </c>
      <c r="S42" s="25" t="n">
        <v>35.9784615384615</v>
      </c>
      <c r="T42" s="22" t="n">
        <v>1.82885929648241</v>
      </c>
      <c r="U42" s="36" t="n">
        <v>17</v>
      </c>
      <c r="V42" s="48" t="n">
        <v>1.75176470588235</v>
      </c>
      <c r="W42" s="48" t="n">
        <v>0.189051424687754</v>
      </c>
      <c r="X42" s="48" t="n">
        <v>0.0458517054506538</v>
      </c>
      <c r="Y42" s="48" t="n">
        <v>-1.58470588235294</v>
      </c>
      <c r="Z42" s="48" t="n">
        <v>0.0854486429865056</v>
      </c>
      <c r="AA42" s="48" t="n">
        <v>0.0207243400352386</v>
      </c>
      <c r="AB42" s="27" t="n">
        <v>0.612956274</v>
      </c>
      <c r="AC42" s="27" t="n">
        <v>0.205116461313573</v>
      </c>
      <c r="AD42" s="27" t="n">
        <v>0.201033709960197</v>
      </c>
      <c r="AE42" s="55" t="n">
        <v>0.608</v>
      </c>
      <c r="AF42" s="55" t="n">
        <v>0.007</v>
      </c>
      <c r="AG42" s="61" t="n">
        <f aca="false">AF42*SQRT(U42)</f>
        <v>0.0288617393793236</v>
      </c>
      <c r="AH42" s="29" t="n">
        <v>27.532</v>
      </c>
      <c r="AI42" s="27" t="n">
        <v>1.04582</v>
      </c>
      <c r="AJ42" s="27" t="n">
        <f aca="false">VLOOKUP(B42,proft,2,0)</f>
        <v>25.6431806646404</v>
      </c>
      <c r="AK42" s="27" t="n">
        <f aca="false">VLOOKUP(B42,proft,3,0)</f>
        <v>0.325958103003252</v>
      </c>
      <c r="AL42" s="27" t="s">
        <v>163</v>
      </c>
      <c r="BB42" s="30" t="n">
        <v>25.331</v>
      </c>
      <c r="BC42" s="30" t="n">
        <v>1.878</v>
      </c>
      <c r="BD42" s="30" t="n">
        <v>0.01878</v>
      </c>
      <c r="BE42" s="31" t="n">
        <v>25.331</v>
      </c>
      <c r="BF42" s="31" t="n">
        <v>1.878</v>
      </c>
      <c r="BG42" s="31" t="n">
        <v>0.01878</v>
      </c>
      <c r="BH42" s="14" t="n">
        <f aca="false">10^6/((BB42+273.15)^2)</f>
        <v>11.2244900138682</v>
      </c>
      <c r="BI42" s="14" t="n">
        <f aca="false">BH42*(2*($BF42/($BE42+273.15)))</f>
        <v>0.141245789487736</v>
      </c>
      <c r="BJ42" s="14" t="n">
        <f aca="false">BH42*(2*($BG42/($BE42+273.15)))</f>
        <v>0.00141245789487736</v>
      </c>
      <c r="BL42" s="14" t="n">
        <f aca="false">10^6/((AH42+273.15)^2)</f>
        <v>11.0607643400566</v>
      </c>
      <c r="BM42" s="14" t="n">
        <f aca="false">BL42*(2*($AI42/($AH42+273.15)))</f>
        <v>0.0769422084602206</v>
      </c>
      <c r="BN42" s="14" t="n">
        <f aca="false">10^6/((AJ42+273.15)^2)</f>
        <v>11.2010474559732</v>
      </c>
      <c r="BO42" s="14" t="n">
        <f aca="false">BN42*(2*($AK42/($AJ42+273.15)))</f>
        <v>0.0244387918912803</v>
      </c>
    </row>
    <row r="43" s="14" customFormat="true" ht="16" hidden="false" customHeight="false" outlineLevel="0" collapsed="false">
      <c r="A43" s="22" t="s">
        <v>139</v>
      </c>
      <c r="B43" s="36" t="s">
        <v>639</v>
      </c>
      <c r="C43" s="14" t="s">
        <v>597</v>
      </c>
      <c r="D43" s="36" t="s">
        <v>639</v>
      </c>
      <c r="E43" s="34" t="s">
        <v>616</v>
      </c>
      <c r="F43" s="22" t="n">
        <v>-13.5</v>
      </c>
      <c r="G43" s="22" t="n">
        <v>-162.1</v>
      </c>
      <c r="H43" s="22" t="s">
        <v>56</v>
      </c>
      <c r="I43" s="22" t="s">
        <v>617</v>
      </c>
      <c r="J43" s="22" t="n">
        <v>3154</v>
      </c>
      <c r="K43" s="35" t="s">
        <v>139</v>
      </c>
      <c r="L43" s="22" t="s">
        <v>144</v>
      </c>
      <c r="M43" s="22" t="s">
        <v>145</v>
      </c>
      <c r="N43" s="22" t="s">
        <v>640</v>
      </c>
      <c r="O43" s="22" t="s">
        <v>71</v>
      </c>
      <c r="P43" s="22" t="s">
        <v>71</v>
      </c>
      <c r="Q43" s="22" t="n">
        <v>5</v>
      </c>
      <c r="R43" s="35" t="s">
        <v>62</v>
      </c>
      <c r="S43" s="25" t="n">
        <v>36.1966666666667</v>
      </c>
      <c r="T43" s="22" t="n">
        <v>1.82885929648241</v>
      </c>
      <c r="U43" s="36" t="n">
        <v>21</v>
      </c>
      <c r="V43" s="48" t="n">
        <v>1.49904761904762</v>
      </c>
      <c r="W43" s="48" t="n">
        <v>0.141134856144921</v>
      </c>
      <c r="X43" s="48" t="n">
        <v>0.030798150546705</v>
      </c>
      <c r="Y43" s="48" t="n">
        <v>-0.235714285714286</v>
      </c>
      <c r="Z43" s="48" t="n">
        <v>0.254550023150096</v>
      </c>
      <c r="AA43" s="48" t="n">
        <v>0.0555473690113369</v>
      </c>
      <c r="AB43" s="27" t="n">
        <v>0.625122725</v>
      </c>
      <c r="AC43" s="27" t="n">
        <v>0.207514959900994</v>
      </c>
      <c r="AD43" s="27" t="n">
        <v>0.203792122741179</v>
      </c>
      <c r="AE43" s="55" t="n">
        <v>0.601</v>
      </c>
      <c r="AF43" s="55" t="n">
        <v>0.005</v>
      </c>
      <c r="AG43" s="61" t="n">
        <f aca="false">AF43*SQRT(U43)</f>
        <v>0.0229128784747792</v>
      </c>
      <c r="AH43" s="29" t="n">
        <v>23.539</v>
      </c>
      <c r="AI43" s="27" t="n">
        <v>1.232275</v>
      </c>
      <c r="AJ43" s="27" t="n">
        <f aca="false">VLOOKUP(B43,proft,2,0)</f>
        <v>17.6633575556842</v>
      </c>
      <c r="AK43" s="27" t="n">
        <f aca="false">VLOOKUP(B43,proft,3,0)</f>
        <v>0.0874722806473873</v>
      </c>
      <c r="AL43" s="27" t="s">
        <v>63</v>
      </c>
      <c r="BB43" s="30" t="n">
        <v>19.5759</v>
      </c>
      <c r="BC43" s="30" t="n">
        <v>2.234</v>
      </c>
      <c r="BD43" s="30" t="n">
        <v>0.02234</v>
      </c>
      <c r="BE43" s="31" t="n">
        <v>19.5759</v>
      </c>
      <c r="BF43" s="31" t="n">
        <v>2.234</v>
      </c>
      <c r="BG43" s="31" t="n">
        <v>0.02234</v>
      </c>
      <c r="BH43" s="14" t="n">
        <f aca="false">10^6/((BB43+273.15)^2)</f>
        <v>11.670183910025</v>
      </c>
      <c r="BI43" s="14" t="n">
        <f aca="false">BH43*(2*($BF43/($BE43+273.15)))</f>
        <v>0.17812698401471</v>
      </c>
      <c r="BJ43" s="14" t="n">
        <f aca="false">BH43*(2*($BG43/($BE43+273.15)))</f>
        <v>0.0017812698401471</v>
      </c>
      <c r="BL43" s="14" t="n">
        <f aca="false">10^6/((AH43+273.15)^2)</f>
        <v>11.3604912218402</v>
      </c>
      <c r="BM43" s="14" t="n">
        <f aca="false">BL43*(2*($AI43/($AH43+273.15)))</f>
        <v>0.0943698574628191</v>
      </c>
      <c r="BN43" s="14" t="n">
        <f aca="false">10^6/((AJ43+273.15)^2)</f>
        <v>11.824187257034</v>
      </c>
      <c r="BO43" s="14" t="n">
        <f aca="false">BN43*(2*($AK43/($AJ43+273.15)))</f>
        <v>0.00711307509990487</v>
      </c>
    </row>
    <row r="44" s="14" customFormat="true" ht="16" hidden="false" customHeight="false" outlineLevel="0" collapsed="false">
      <c r="A44" s="22" t="s">
        <v>67</v>
      </c>
      <c r="B44" s="36" t="s">
        <v>642</v>
      </c>
      <c r="C44" s="14" t="s">
        <v>597</v>
      </c>
      <c r="D44" s="36" t="s">
        <v>642</v>
      </c>
      <c r="E44" s="34" t="s">
        <v>616</v>
      </c>
      <c r="F44" s="22" t="n">
        <v>-13.5</v>
      </c>
      <c r="G44" s="22" t="n">
        <v>-162.1</v>
      </c>
      <c r="H44" s="22" t="s">
        <v>56</v>
      </c>
      <c r="I44" s="22" t="s">
        <v>617</v>
      </c>
      <c r="J44" s="22" t="n">
        <v>3154</v>
      </c>
      <c r="K44" s="35" t="s">
        <v>67</v>
      </c>
      <c r="L44" s="22" t="s">
        <v>68</v>
      </c>
      <c r="M44" s="22" t="s">
        <v>69</v>
      </c>
      <c r="N44" s="22" t="s">
        <v>643</v>
      </c>
      <c r="O44" s="22" t="s">
        <v>71</v>
      </c>
      <c r="P44" s="22" t="s">
        <v>71</v>
      </c>
      <c r="Q44" s="22" t="n">
        <v>5</v>
      </c>
      <c r="R44" s="35" t="s">
        <v>62</v>
      </c>
      <c r="S44" s="25" t="n">
        <v>36.104125</v>
      </c>
      <c r="T44" s="22" t="n">
        <v>1.82885929648241</v>
      </c>
      <c r="U44" s="36" t="n">
        <v>15</v>
      </c>
      <c r="V44" s="48" t="n">
        <v>2.47733333333333</v>
      </c>
      <c r="W44" s="48" t="n">
        <v>0.226036238139775</v>
      </c>
      <c r="X44" s="48" t="n">
        <v>0.0583623057303148</v>
      </c>
      <c r="Y44" s="48" t="n">
        <v>-1.37066666666667</v>
      </c>
      <c r="Z44" s="48" t="n">
        <v>0.154848620394551</v>
      </c>
      <c r="AA44" s="48" t="n">
        <v>0.0399817418647526</v>
      </c>
      <c r="AB44" s="27" t="n">
        <v>0.618676365</v>
      </c>
      <c r="AC44" s="27" t="n">
        <v>0.20626573635826</v>
      </c>
      <c r="AD44" s="27" t="n">
        <v>0.201584693116451</v>
      </c>
      <c r="AE44" s="55" t="n">
        <v>0.601</v>
      </c>
      <c r="AF44" s="55" t="n">
        <v>0.005</v>
      </c>
      <c r="AG44" s="61" t="n">
        <f aca="false">AF44*SQRT(U44)</f>
        <v>0.0193649167310371</v>
      </c>
      <c r="AH44" s="29" t="n">
        <v>27.0732</v>
      </c>
      <c r="AI44" s="27" t="n">
        <v>1.115197</v>
      </c>
      <c r="AJ44" s="27" t="n">
        <f aca="false">VLOOKUP(B44,proft,2,0)</f>
        <v>24.4314417906526</v>
      </c>
      <c r="AK44" s="27" t="n">
        <f aca="false">VLOOKUP(B44,proft,3,0)</f>
        <v>0.0878806115768825</v>
      </c>
      <c r="AL44" s="27" t="s">
        <v>72</v>
      </c>
      <c r="BB44" s="30" t="n">
        <v>25.1857</v>
      </c>
      <c r="BC44" s="30" t="n">
        <v>2.098</v>
      </c>
      <c r="BD44" s="30" t="n">
        <v>0.02098</v>
      </c>
      <c r="BE44" s="31" t="n">
        <v>25.1857</v>
      </c>
      <c r="BF44" s="31" t="n">
        <v>2.098</v>
      </c>
      <c r="BG44" s="31" t="n">
        <v>0.02098</v>
      </c>
      <c r="BH44" s="14" t="n">
        <f aca="false">10^6/((BB44+273.15)^2)</f>
        <v>11.2354261207866</v>
      </c>
      <c r="BI44" s="14" t="n">
        <f aca="false">BH44*(2*($BF44/($BE44+273.15)))</f>
        <v>0.158022817928999</v>
      </c>
      <c r="BJ44" s="14" t="n">
        <f aca="false">BH44*(2*($BG44/($BE44+273.15)))</f>
        <v>0.00158022817928999</v>
      </c>
      <c r="BL44" s="14" t="n">
        <f aca="false">10^6/((AH44+273.15)^2)</f>
        <v>11.0945962106912</v>
      </c>
      <c r="BM44" s="14" t="n">
        <f aca="false">BL44*(2*($AI44/($AH44+273.15)))</f>
        <v>0.0824230799643345</v>
      </c>
      <c r="BN44" s="14" t="n">
        <f aca="false">10^6/((AJ44+273.15)^2)</f>
        <v>11.2924535488202</v>
      </c>
      <c r="BO44" s="14" t="n">
        <f aca="false">BN44*(2*($AK44/($AJ44+273.15)))</f>
        <v>0.00666968825812733</v>
      </c>
    </row>
    <row r="45" s="14" customFormat="true" ht="16" hidden="false" customHeight="false" outlineLevel="0" collapsed="false">
      <c r="A45" s="22" t="s">
        <v>645</v>
      </c>
      <c r="B45" s="36" t="s">
        <v>649</v>
      </c>
      <c r="C45" s="14" t="s">
        <v>597</v>
      </c>
      <c r="D45" s="36" t="s">
        <v>649</v>
      </c>
      <c r="E45" s="34" t="s">
        <v>616</v>
      </c>
      <c r="F45" s="22" t="n">
        <v>-13.5</v>
      </c>
      <c r="G45" s="22" t="n">
        <v>-162.1</v>
      </c>
      <c r="H45" s="22" t="s">
        <v>56</v>
      </c>
      <c r="I45" s="22" t="s">
        <v>617</v>
      </c>
      <c r="J45" s="22" t="n">
        <v>3154</v>
      </c>
      <c r="K45" s="35" t="s">
        <v>645</v>
      </c>
      <c r="L45" s="22" t="s">
        <v>68</v>
      </c>
      <c r="M45" s="22" t="s">
        <v>647</v>
      </c>
      <c r="N45" s="22" t="s">
        <v>643</v>
      </c>
      <c r="O45" s="22" t="s">
        <v>71</v>
      </c>
      <c r="P45" s="22" t="s">
        <v>71</v>
      </c>
      <c r="Q45" s="22" t="n">
        <v>5</v>
      </c>
      <c r="R45" s="35" t="s">
        <v>62</v>
      </c>
      <c r="S45" s="25" t="n">
        <v>36.104125</v>
      </c>
      <c r="T45" s="22" t="n">
        <v>1.82885929648241</v>
      </c>
      <c r="U45" s="36" t="n">
        <v>22</v>
      </c>
      <c r="V45" s="48" t="n">
        <v>1.85318181818182</v>
      </c>
      <c r="W45" s="48" t="n">
        <v>0.203712831576506</v>
      </c>
      <c r="X45" s="48" t="n">
        <v>0.0434317216229409</v>
      </c>
      <c r="Y45" s="48" t="n">
        <v>-1.40136363636364</v>
      </c>
      <c r="Z45" s="48" t="n">
        <v>0.156700972572589</v>
      </c>
      <c r="AA45" s="48" t="n">
        <v>0.0334087596060969</v>
      </c>
      <c r="AB45" s="27" t="n">
        <v>0.618676365</v>
      </c>
      <c r="AC45" s="27" t="n">
        <v>0.20626573635826</v>
      </c>
      <c r="AD45" s="27" t="n">
        <v>0.201584693116451</v>
      </c>
      <c r="AE45" s="55" t="n">
        <v>0.603</v>
      </c>
      <c r="AF45" s="55" t="n">
        <v>0.006</v>
      </c>
      <c r="AG45" s="61" t="n">
        <f aca="false">AF45*SQRT(U45)</f>
        <v>0.0281424945589406</v>
      </c>
      <c r="AH45" s="29" t="n">
        <v>27.0732</v>
      </c>
      <c r="AI45" s="27" t="n">
        <v>1.115197</v>
      </c>
      <c r="AJ45" s="27" t="n">
        <f aca="false">VLOOKUP(B45,proft,2,0)</f>
        <v>24.7169691539829</v>
      </c>
      <c r="AK45" s="27" t="n">
        <f aca="false">VLOOKUP(B45,proft,3,0)</f>
        <v>0.171305862703316</v>
      </c>
      <c r="AL45" s="27" t="s">
        <v>63</v>
      </c>
      <c r="BB45" s="30" t="n">
        <v>24.0901</v>
      </c>
      <c r="BC45" s="30" t="n">
        <v>2.234</v>
      </c>
      <c r="BD45" s="30" t="n">
        <v>0.02234</v>
      </c>
      <c r="BE45" s="31" t="n">
        <v>24.0901</v>
      </c>
      <c r="BF45" s="31" t="n">
        <v>2.234</v>
      </c>
      <c r="BG45" s="31" t="n">
        <v>0.02234</v>
      </c>
      <c r="BH45" s="14" t="n">
        <f aca="false">10^6/((BB45+273.15)^2)</f>
        <v>11.3184042840138</v>
      </c>
      <c r="BI45" s="14" t="n">
        <f aca="false">BH45*(2*($BF45/($BE45+273.15)))</f>
        <v>0.170133943370944</v>
      </c>
      <c r="BJ45" s="14" t="n">
        <f aca="false">BH45*(2*($BG45/($BE45+273.15)))</f>
        <v>0.00170133943370944</v>
      </c>
      <c r="BL45" s="14" t="n">
        <f aca="false">10^6/((AH45+273.15)^2)</f>
        <v>11.0945962106912</v>
      </c>
      <c r="BM45" s="14" t="n">
        <f aca="false">BL45*(2*($AI45/($AH45+273.15)))</f>
        <v>0.0824230799643345</v>
      </c>
      <c r="BN45" s="14" t="n">
        <f aca="false">10^6/((AJ45+273.15)^2)</f>
        <v>11.2708146330978</v>
      </c>
      <c r="BO45" s="14" t="n">
        <f aca="false">BN45*(2*($AK45/($AJ45+273.15)))</f>
        <v>0.0129638853853168</v>
      </c>
    </row>
    <row r="46" s="14" customFormat="true" ht="16" hidden="false" customHeight="false" outlineLevel="0" collapsed="false">
      <c r="A46" s="22" t="s">
        <v>629</v>
      </c>
      <c r="B46" s="36" t="s">
        <v>634</v>
      </c>
      <c r="C46" s="14" t="s">
        <v>597</v>
      </c>
      <c r="D46" s="36" t="s">
        <v>634</v>
      </c>
      <c r="E46" s="34" t="s">
        <v>635</v>
      </c>
      <c r="F46" s="22" t="n">
        <v>23.3</v>
      </c>
      <c r="G46" s="22" t="n">
        <v>66.7</v>
      </c>
      <c r="H46" s="22" t="s">
        <v>571</v>
      </c>
      <c r="I46" s="22" t="s">
        <v>632</v>
      </c>
      <c r="J46" s="22" t="n">
        <v>151</v>
      </c>
      <c r="K46" s="35" t="s">
        <v>633</v>
      </c>
      <c r="L46" s="22" t="s">
        <v>80</v>
      </c>
      <c r="M46" s="22" t="s">
        <v>81</v>
      </c>
      <c r="N46" s="22" t="s">
        <v>82</v>
      </c>
      <c r="O46" s="22" t="s">
        <v>92</v>
      </c>
      <c r="P46" s="22" t="s">
        <v>92</v>
      </c>
      <c r="Q46" s="22" t="n">
        <v>4</v>
      </c>
      <c r="R46" s="35" t="s">
        <v>486</v>
      </c>
      <c r="S46" s="25" t="n">
        <v>36.494375</v>
      </c>
      <c r="T46" s="22" t="n">
        <v>54.183</v>
      </c>
      <c r="U46" s="36" t="n">
        <v>23</v>
      </c>
      <c r="V46" s="48" t="n">
        <v>0.545652173913044</v>
      </c>
      <c r="W46" s="48" t="n">
        <v>0.0549235904736192</v>
      </c>
      <c r="X46" s="48" t="n">
        <v>0.0114523602855174</v>
      </c>
      <c r="Y46" s="48" t="n">
        <v>3.60652173913043</v>
      </c>
      <c r="Z46" s="48" t="n">
        <v>0.0601217473625714</v>
      </c>
      <c r="AA46" s="48" t="n">
        <v>0.0125362509233941</v>
      </c>
      <c r="AB46" s="27" t="n">
        <v>-0.0253498623</v>
      </c>
      <c r="AC46" s="27" t="n">
        <v>0.270995563213217</v>
      </c>
      <c r="AD46" s="27" t="n">
        <v>0.208191881513485</v>
      </c>
      <c r="AE46" s="55" t="n">
        <v>0.671</v>
      </c>
      <c r="AF46" s="55" t="n">
        <v>0.008</v>
      </c>
      <c r="AG46" s="61" t="n">
        <f aca="false">AF46*SQRT(U46)</f>
        <v>0.0383666521865018</v>
      </c>
      <c r="AH46" s="29" t="n">
        <v>-0.2621</v>
      </c>
      <c r="AI46" s="27" t="n">
        <v>0.56735</v>
      </c>
      <c r="AJ46" s="27" t="n">
        <f aca="false">VLOOKUP(B46,proft,2,0)</f>
        <v>-0.96181000182233</v>
      </c>
      <c r="AK46" s="27" t="n">
        <f aca="false">VLOOKUP(B46,proft,3,0)</f>
        <v>1.88631297624063</v>
      </c>
      <c r="AL46" s="27" t="s">
        <v>84</v>
      </c>
      <c r="BB46" s="30" t="n">
        <v>2.3212</v>
      </c>
      <c r="BC46" s="30" t="n">
        <v>2.128</v>
      </c>
      <c r="BD46" s="30" t="n">
        <v>0.02128</v>
      </c>
      <c r="BE46" s="31" t="n">
        <v>2.3212</v>
      </c>
      <c r="BF46" s="31" t="n">
        <v>2.128</v>
      </c>
      <c r="BG46" s="31" t="n">
        <v>0.02128</v>
      </c>
      <c r="BH46" s="14" t="n">
        <f aca="false">10^6/((BB46+273.15)^2)</f>
        <v>13.1779421964857</v>
      </c>
      <c r="BI46" s="14" t="n">
        <f aca="false">BH46*(2*($BF46/($BE46+273.15)))</f>
        <v>0.203597769887535</v>
      </c>
      <c r="BJ46" s="14" t="n">
        <f aca="false">BH46*(2*($BG46/($BE46+273.15)))</f>
        <v>0.00203597769887535</v>
      </c>
      <c r="BL46" s="14" t="n">
        <f aca="false">10^6/((AH46+273.15)^2)</f>
        <v>13.428621765103</v>
      </c>
      <c r="BM46" s="14" t="n">
        <f aca="false">BL46*(2*($AI46/($AH46+273.15)))</f>
        <v>0.0558377894984071</v>
      </c>
      <c r="BN46" s="14" t="n">
        <f aca="false">10^6/((AJ46+273.15)^2)</f>
        <v>13.4977520107427</v>
      </c>
      <c r="BO46" s="14" t="n">
        <f aca="false">BN46*(2*($AK46/($AJ46+273.15)))</f>
        <v>0.187083684770543</v>
      </c>
    </row>
    <row r="47" s="14" customFormat="true" ht="16" hidden="false" customHeight="false" outlineLevel="0" collapsed="false">
      <c r="A47" s="22" t="s">
        <v>629</v>
      </c>
      <c r="B47" s="36" t="s">
        <v>636</v>
      </c>
      <c r="C47" s="14" t="s">
        <v>597</v>
      </c>
      <c r="D47" s="36" t="s">
        <v>636</v>
      </c>
      <c r="E47" s="34" t="s">
        <v>637</v>
      </c>
      <c r="F47" s="22" t="n">
        <v>-11.2</v>
      </c>
      <c r="G47" s="22" t="n">
        <v>58.8</v>
      </c>
      <c r="H47" s="22" t="s">
        <v>571</v>
      </c>
      <c r="I47" s="22" t="s">
        <v>632</v>
      </c>
      <c r="J47" s="22" t="n">
        <v>2871</v>
      </c>
      <c r="K47" s="35" t="s">
        <v>633</v>
      </c>
      <c r="L47" s="22" t="s">
        <v>80</v>
      </c>
      <c r="M47" s="22" t="s">
        <v>81</v>
      </c>
      <c r="N47" s="22" t="s">
        <v>82</v>
      </c>
      <c r="O47" s="22" t="s">
        <v>92</v>
      </c>
      <c r="P47" s="22" t="s">
        <v>92</v>
      </c>
      <c r="Q47" s="22" t="n">
        <v>4</v>
      </c>
      <c r="R47" s="35" t="s">
        <v>486</v>
      </c>
      <c r="S47" s="25" t="n">
        <v>35.12916</v>
      </c>
      <c r="T47" s="22" t="n">
        <v>8.04057142857143</v>
      </c>
      <c r="U47" s="36" t="n">
        <v>28</v>
      </c>
      <c r="V47" s="48" t="n">
        <v>0.772857142857143</v>
      </c>
      <c r="W47" s="48" t="n">
        <v>0.0349451573349444</v>
      </c>
      <c r="X47" s="48" t="n">
        <v>0.0066040139881634</v>
      </c>
      <c r="Y47" s="48" t="n">
        <v>3.65964285714286</v>
      </c>
      <c r="Z47" s="48" t="n">
        <v>0.0511701694680235</v>
      </c>
      <c r="AA47" s="48" t="n">
        <v>0.00967025306838718</v>
      </c>
      <c r="AB47" s="27" t="n">
        <v>0.0813640354</v>
      </c>
      <c r="AC47" s="27" t="n">
        <v>0.22663629383335</v>
      </c>
      <c r="AD47" s="27" t="n">
        <v>0.202821105825433</v>
      </c>
      <c r="AE47" s="55" t="n">
        <v>0.676</v>
      </c>
      <c r="AF47" s="55" t="n">
        <v>0.005</v>
      </c>
      <c r="AG47" s="61" t="n">
        <f aca="false">AF47*SQRT(U47)</f>
        <v>0.0264575131106459</v>
      </c>
      <c r="AH47" s="29" t="n">
        <v>0.6231</v>
      </c>
      <c r="AI47" s="27" t="n">
        <v>0.775154</v>
      </c>
      <c r="AJ47" s="27" t="n">
        <f aca="false">VLOOKUP(B47,proft,2,0)</f>
        <v>-0.410875271574782</v>
      </c>
      <c r="AK47" s="27" t="n">
        <f aca="false">VLOOKUP(B47,proft,3,0)</f>
        <v>1.66121550108701</v>
      </c>
      <c r="AL47" s="27" t="s">
        <v>84</v>
      </c>
      <c r="BB47" s="30" t="n">
        <v>2.5666</v>
      </c>
      <c r="BC47" s="30" t="n">
        <v>2.158</v>
      </c>
      <c r="BD47" s="30" t="n">
        <v>0.02181</v>
      </c>
      <c r="BE47" s="31" t="n">
        <v>2.5666</v>
      </c>
      <c r="BF47" s="31" t="n">
        <v>2.158</v>
      </c>
      <c r="BG47" s="31" t="n">
        <v>0.02181</v>
      </c>
      <c r="BH47" s="14" t="n">
        <f aca="false">10^6/((BB47+273.15)^2)</f>
        <v>13.1544947299748</v>
      </c>
      <c r="BI47" s="14" t="n">
        <f aca="false">BH47*(2*($BF47/($BE47+273.15)))</f>
        <v>0.205917232602504</v>
      </c>
      <c r="BJ47" s="14" t="n">
        <f aca="false">BH47*(2*($BG47/($BE47+273.15)))</f>
        <v>0.00208111901902716</v>
      </c>
      <c r="BL47" s="14" t="n">
        <f aca="false">10^6/((AH47+273.15)^2)</f>
        <v>13.3419237028228</v>
      </c>
      <c r="BM47" s="14" t="n">
        <f aca="false">BL47*(2*($AI47/($AH47+273.15)))</f>
        <v>0.0755519481346989</v>
      </c>
      <c r="BN47" s="14" t="n">
        <f aca="false">10^6/((AJ47+273.15)^2)</f>
        <v>13.4432760010901</v>
      </c>
      <c r="BO47" s="14" t="n">
        <f aca="false">BN47*(2*($AK47/($AJ47+273.15)))</f>
        <v>0.163762192172749</v>
      </c>
    </row>
    <row r="48" s="14" customFormat="true" ht="16" hidden="false" customHeight="false" outlineLevel="0" collapsed="false">
      <c r="A48" s="22" t="s">
        <v>93</v>
      </c>
      <c r="B48" s="36" t="s">
        <v>651</v>
      </c>
      <c r="C48" s="14" t="s">
        <v>597</v>
      </c>
      <c r="D48" s="36" t="s">
        <v>651</v>
      </c>
      <c r="E48" s="34" t="s">
        <v>600</v>
      </c>
      <c r="F48" s="22" t="n">
        <v>48.9</v>
      </c>
      <c r="G48" s="22" t="n">
        <v>-11.8</v>
      </c>
      <c r="H48" s="22" t="s">
        <v>78</v>
      </c>
      <c r="I48" s="22" t="s">
        <v>79</v>
      </c>
      <c r="J48" s="22" t="n">
        <v>1484</v>
      </c>
      <c r="K48" s="35" t="s">
        <v>93</v>
      </c>
      <c r="L48" s="22" t="s">
        <v>96</v>
      </c>
      <c r="M48" s="22" t="s">
        <v>97</v>
      </c>
      <c r="N48" s="22" t="s">
        <v>98</v>
      </c>
      <c r="O48" s="22" t="s">
        <v>92</v>
      </c>
      <c r="P48" s="22" t="s">
        <v>92</v>
      </c>
      <c r="Q48" s="22" t="n">
        <v>4</v>
      </c>
      <c r="R48" s="35" t="s">
        <v>62</v>
      </c>
      <c r="S48" s="25" t="n">
        <v>35.5779459459459</v>
      </c>
      <c r="T48" s="22" t="n">
        <v>51.05021</v>
      </c>
      <c r="U48" s="36" t="n">
        <v>16</v>
      </c>
      <c r="V48" s="48" t="n">
        <v>0.96</v>
      </c>
      <c r="W48" s="48" t="n">
        <v>0.0488535225614967</v>
      </c>
      <c r="X48" s="48" t="n">
        <v>0.0122133806403742</v>
      </c>
      <c r="Y48" s="48" t="n">
        <v>1.34625</v>
      </c>
      <c r="Z48" s="48" t="n">
        <v>0.108374351209131</v>
      </c>
      <c r="AA48" s="48" t="n">
        <v>0.0270935878022827</v>
      </c>
      <c r="AB48" s="27" t="n">
        <v>0.557161420714286</v>
      </c>
      <c r="AC48" s="27" t="n">
        <v>0.201582568351876</v>
      </c>
      <c r="AD48" s="27" t="n">
        <v>0.200113455652277</v>
      </c>
      <c r="AE48" s="55" t="n">
        <v>0.631</v>
      </c>
      <c r="AF48" s="55" t="n">
        <v>0.008</v>
      </c>
      <c r="AG48" s="61" t="n">
        <f aca="false">AF48*SQRT(U48)</f>
        <v>0.032</v>
      </c>
      <c r="AH48" s="29" t="n">
        <v>12.1201</v>
      </c>
      <c r="AI48" s="27" t="n">
        <v>0.737977</v>
      </c>
      <c r="AJ48" s="27" t="n">
        <f aca="false">VLOOKUP(B48,proft,2,0)</f>
        <v>10.4750035872288</v>
      </c>
      <c r="AK48" s="27" t="n">
        <f aca="false">VLOOKUP(B48,proft,3,0)</f>
        <v>1.32566957395503</v>
      </c>
      <c r="AL48" s="27" t="s">
        <v>63</v>
      </c>
      <c r="BB48" s="30" t="n">
        <v>13.1806</v>
      </c>
      <c r="BC48" s="30" t="n">
        <v>2.225</v>
      </c>
      <c r="BD48" s="30" t="n">
        <v>0.02225</v>
      </c>
      <c r="BE48" s="31" t="n">
        <v>13.1806</v>
      </c>
      <c r="BF48" s="31" t="n">
        <v>2.225</v>
      </c>
      <c r="BG48" s="31" t="n">
        <v>0.02225</v>
      </c>
      <c r="BH48" s="14" t="n">
        <f aca="false">10^6/((BB48+273.15)^2)</f>
        <v>12.1973215602069</v>
      </c>
      <c r="BI48" s="14" t="n">
        <f aca="false">BH48*(2*($BF48/($BE48+273.15)))</f>
        <v>0.189564373989091</v>
      </c>
      <c r="BJ48" s="14" t="n">
        <f aca="false">BH48*(2*($BG48/($BE48+273.15)))</f>
        <v>0.00189564373989091</v>
      </c>
      <c r="BL48" s="14" t="n">
        <f aca="false">10^6/((AH48+273.15)^2)</f>
        <v>12.2881779318964</v>
      </c>
      <c r="BM48" s="14" t="n">
        <f aca="false">BL48*(2*($AI48/($AH48+273.15)))</f>
        <v>0.0635775896993558</v>
      </c>
      <c r="BN48" s="14" t="n">
        <f aca="false">10^6/((AJ48+273.15)^2)</f>
        <v>12.4311403922691</v>
      </c>
      <c r="BO48" s="14" t="n">
        <f aca="false">BN48*(2*($AK48/($AJ48+273.15)))</f>
        <v>0.116206853268677</v>
      </c>
    </row>
    <row r="49" s="14" customFormat="true" ht="16" hidden="false" customHeight="false" outlineLevel="0" collapsed="false">
      <c r="A49" s="22" t="s">
        <v>93</v>
      </c>
      <c r="B49" s="36" t="s">
        <v>652</v>
      </c>
      <c r="C49" s="14" t="s">
        <v>597</v>
      </c>
      <c r="D49" s="36" t="s">
        <v>652</v>
      </c>
      <c r="E49" s="34" t="s">
        <v>602</v>
      </c>
      <c r="F49" s="22" t="n">
        <v>63.8</v>
      </c>
      <c r="G49" s="22" t="n">
        <v>5.2</v>
      </c>
      <c r="H49" s="22" t="s">
        <v>78</v>
      </c>
      <c r="I49" s="22" t="s">
        <v>79</v>
      </c>
      <c r="J49" s="22" t="n">
        <v>922</v>
      </c>
      <c r="K49" s="35" t="s">
        <v>93</v>
      </c>
      <c r="L49" s="22" t="s">
        <v>96</v>
      </c>
      <c r="M49" s="22" t="s">
        <v>97</v>
      </c>
      <c r="N49" s="22" t="s">
        <v>98</v>
      </c>
      <c r="O49" s="22" t="s">
        <v>92</v>
      </c>
      <c r="P49" s="22" t="s">
        <v>92</v>
      </c>
      <c r="Q49" s="22" t="n">
        <v>4</v>
      </c>
      <c r="R49" s="35" t="s">
        <v>62</v>
      </c>
      <c r="S49" s="25" t="n">
        <v>34.9859189189189</v>
      </c>
      <c r="T49" s="22" t="n">
        <v>20</v>
      </c>
      <c r="U49" s="36" t="n">
        <v>18</v>
      </c>
      <c r="V49" s="48" t="n">
        <v>0.918333333333334</v>
      </c>
      <c r="W49" s="48" t="n">
        <v>0.0500881575765347</v>
      </c>
      <c r="X49" s="48" t="n">
        <v>0.011805891959836</v>
      </c>
      <c r="Y49" s="48" t="n">
        <v>1.95388888888889</v>
      </c>
      <c r="Z49" s="48" t="n">
        <v>0.0512363484129462</v>
      </c>
      <c r="AA49" s="48" t="n">
        <v>0.0120765231353436</v>
      </c>
      <c r="AB49" s="27" t="n">
        <v>0.365352982857143</v>
      </c>
      <c r="AC49" s="27" t="n">
        <v>0.225103096553153</v>
      </c>
      <c r="AD49" s="27" t="n">
        <v>0.201896614999894</v>
      </c>
      <c r="AE49" s="55" t="n">
        <v>0.642</v>
      </c>
      <c r="AF49" s="55" t="n">
        <v>0.006</v>
      </c>
      <c r="AG49" s="61" t="n">
        <f aca="false">AF49*SQRT(U49)</f>
        <v>0.0254558441227157</v>
      </c>
      <c r="AH49" s="29" t="n">
        <v>7.3791</v>
      </c>
      <c r="AI49" s="27" t="n">
        <v>1.709729</v>
      </c>
      <c r="AJ49" s="27" t="n">
        <f aca="false">VLOOKUP(B49,proft,2,0)</f>
        <v>8.06945496393276</v>
      </c>
      <c r="AK49" s="27" t="n">
        <f aca="false">VLOOKUP(B49,proft,3,0)</f>
        <v>0.95578142655597</v>
      </c>
      <c r="AL49" s="27" t="s">
        <v>63</v>
      </c>
      <c r="BB49" s="30" t="n">
        <v>10.0447</v>
      </c>
      <c r="BC49" s="30" t="n">
        <v>2.207</v>
      </c>
      <c r="BD49" s="30" t="n">
        <v>0.02207</v>
      </c>
      <c r="BE49" s="31" t="n">
        <v>10.0447</v>
      </c>
      <c r="BF49" s="31" t="n">
        <v>2.207</v>
      </c>
      <c r="BG49" s="31" t="n">
        <v>0.02207</v>
      </c>
      <c r="BH49" s="14" t="n">
        <f aca="false">10^6/((BB49+273.15)^2)</f>
        <v>12.4689463839074</v>
      </c>
      <c r="BI49" s="14" t="n">
        <f aca="false">BH49*(2*($BF49/($BE49+273.15)))</f>
        <v>0.194346607964653</v>
      </c>
      <c r="BJ49" s="14" t="n">
        <f aca="false">BH49*(2*($BG49/($BE49+273.15)))</f>
        <v>0.00194346607964653</v>
      </c>
      <c r="BL49" s="14" t="n">
        <f aca="false">10^6/((AH49+273.15)^2)</f>
        <v>12.70703315829</v>
      </c>
      <c r="BM49" s="14" t="n">
        <f aca="false">BL49*(2*($AI49/($AH49+273.15)))</f>
        <v>0.154890049514934</v>
      </c>
      <c r="BN49" s="14" t="n">
        <f aca="false">10^6/((AJ49+273.15)^2)</f>
        <v>12.6447217086938</v>
      </c>
      <c r="BO49" s="14" t="n">
        <f aca="false">BN49*(2*($AK49/($AJ49+273.15)))</f>
        <v>0.0859513091275185</v>
      </c>
    </row>
    <row r="50" s="14" customFormat="true" ht="16" hidden="false" customHeight="false" outlineLevel="0" collapsed="false">
      <c r="A50" s="22" t="s">
        <v>85</v>
      </c>
      <c r="B50" s="36" t="s">
        <v>657</v>
      </c>
      <c r="C50" s="14" t="s">
        <v>597</v>
      </c>
      <c r="D50" s="36" t="s">
        <v>87</v>
      </c>
      <c r="E50" s="34" t="s">
        <v>88</v>
      </c>
      <c r="F50" s="22" t="n">
        <v>52.9</v>
      </c>
      <c r="G50" s="22" t="n">
        <v>-16.9</v>
      </c>
      <c r="H50" s="22" t="s">
        <v>78</v>
      </c>
      <c r="I50" s="22" t="s">
        <v>79</v>
      </c>
      <c r="J50" s="22" t="n">
        <v>3569</v>
      </c>
      <c r="K50" s="35" t="s">
        <v>85</v>
      </c>
      <c r="L50" s="22" t="s">
        <v>89</v>
      </c>
      <c r="M50" s="22" t="s">
        <v>90</v>
      </c>
      <c r="N50" s="22" t="s">
        <v>91</v>
      </c>
      <c r="O50" s="22" t="s">
        <v>92</v>
      </c>
      <c r="P50" s="22" t="s">
        <v>92</v>
      </c>
      <c r="Q50" s="22" t="n">
        <v>4</v>
      </c>
      <c r="R50" s="35" t="s">
        <v>62</v>
      </c>
      <c r="S50" s="25" t="n">
        <v>35.4877894736842</v>
      </c>
      <c r="T50" s="22" t="n">
        <v>23.1977172131148</v>
      </c>
      <c r="U50" s="36" t="n">
        <v>16</v>
      </c>
      <c r="V50" s="48" t="n">
        <v>2.034375</v>
      </c>
      <c r="W50" s="48" t="n">
        <v>0.0754514192488562</v>
      </c>
      <c r="X50" s="48" t="n">
        <v>0.0188628548122141</v>
      </c>
      <c r="Y50" s="48" t="n">
        <v>1.053125</v>
      </c>
      <c r="Z50" s="48" t="n">
        <v>0.0974144924194205</v>
      </c>
      <c r="AA50" s="48" t="n">
        <v>0.0243536231048551</v>
      </c>
      <c r="AB50" s="27" t="n">
        <v>0.510507192857143</v>
      </c>
      <c r="AC50" s="27" t="n">
        <v>0.200099119392179</v>
      </c>
      <c r="AD50" s="27" t="n">
        <v>0.200014162920503</v>
      </c>
      <c r="AE50" s="55" t="n">
        <v>0.626</v>
      </c>
      <c r="AF50" s="55" t="n">
        <v>0.005</v>
      </c>
      <c r="AG50" s="61" t="n">
        <f aca="false">AF50*SQRT(U50)</f>
        <v>0.02</v>
      </c>
      <c r="AH50" s="29" t="n">
        <v>11.7682</v>
      </c>
      <c r="AI50" s="27" t="n">
        <v>0.478945</v>
      </c>
      <c r="AJ50" s="27" t="n">
        <f aca="false">VLOOKUP(B50,proft,2,0)</f>
        <v>12.3726761940295</v>
      </c>
      <c r="AK50" s="27" t="n">
        <f aca="false">VLOOKUP(B50,proft,3,0)</f>
        <v>1.84519444957041</v>
      </c>
      <c r="AL50" s="27" t="s">
        <v>63</v>
      </c>
      <c r="BB50" s="30" t="n">
        <v>14.0966</v>
      </c>
      <c r="BC50" s="30" t="n">
        <v>2.234</v>
      </c>
      <c r="BD50" s="30" t="n">
        <v>0.02277</v>
      </c>
      <c r="BE50" s="31" t="n">
        <v>14.0966</v>
      </c>
      <c r="BF50" s="31" t="n">
        <v>2.234</v>
      </c>
      <c r="BG50" s="31" t="n">
        <v>0.02277</v>
      </c>
      <c r="BH50" s="14" t="n">
        <f aca="false">10^6/((BB50+273.15)^2)</f>
        <v>12.1196535761355</v>
      </c>
      <c r="BI50" s="14" t="n">
        <f aca="false">BH50*(2*($BF50/($BE50+273.15)))</f>
        <v>0.188516111864068</v>
      </c>
      <c r="BJ50" s="14" t="n">
        <f aca="false">BH50*(2*($BG50/($BE50+273.15)))</f>
        <v>0.00192144667284908</v>
      </c>
      <c r="BL50" s="14" t="n">
        <f aca="false">10^6/((AH50+273.15)^2)</f>
        <v>12.3185507210778</v>
      </c>
      <c r="BM50" s="14" t="n">
        <f aca="false">BL50*(2*($AI50/($AH50+273.15)))</f>
        <v>0.0414147518488225</v>
      </c>
      <c r="BN50" s="14" t="n">
        <f aca="false">10^6/((AJ50+273.15)^2)</f>
        <v>12.2664470594312</v>
      </c>
      <c r="BO50" s="14" t="n">
        <f aca="false">BN50*(2*($AK50/($AJ50+273.15)))</f>
        <v>0.158544185223528</v>
      </c>
    </row>
    <row r="51" s="14" customFormat="true" ht="16" hidden="false" customHeight="false" outlineLevel="0" collapsed="false">
      <c r="A51" s="22" t="s">
        <v>85</v>
      </c>
      <c r="B51" s="36" t="s">
        <v>658</v>
      </c>
      <c r="C51" s="14" t="s">
        <v>597</v>
      </c>
      <c r="D51" s="36" t="s">
        <v>658</v>
      </c>
      <c r="E51" s="34" t="s">
        <v>600</v>
      </c>
      <c r="F51" s="22" t="n">
        <v>48.9</v>
      </c>
      <c r="G51" s="22" t="n">
        <v>-11.8</v>
      </c>
      <c r="H51" s="22" t="s">
        <v>78</v>
      </c>
      <c r="I51" s="22" t="s">
        <v>79</v>
      </c>
      <c r="J51" s="22" t="n">
        <v>1484</v>
      </c>
      <c r="K51" s="35" t="s">
        <v>85</v>
      </c>
      <c r="L51" s="22" t="s">
        <v>89</v>
      </c>
      <c r="M51" s="22" t="s">
        <v>90</v>
      </c>
      <c r="N51" s="22" t="s">
        <v>91</v>
      </c>
      <c r="O51" s="22" t="s">
        <v>92</v>
      </c>
      <c r="P51" s="22" t="s">
        <v>92</v>
      </c>
      <c r="Q51" s="22" t="n">
        <v>4</v>
      </c>
      <c r="R51" s="35" t="s">
        <v>62</v>
      </c>
      <c r="S51" s="25" t="n">
        <v>35.5883684210526</v>
      </c>
      <c r="T51" s="22" t="n">
        <v>51.05021</v>
      </c>
      <c r="U51" s="36" t="n">
        <v>16</v>
      </c>
      <c r="V51" s="48" t="n">
        <v>2.07625</v>
      </c>
      <c r="W51" s="48" t="n">
        <v>0.175228422352083</v>
      </c>
      <c r="X51" s="48" t="n">
        <v>0.0438071055880208</v>
      </c>
      <c r="Y51" s="48" t="n">
        <v>1.178125</v>
      </c>
      <c r="Z51" s="48" t="n">
        <v>0.120897684014211</v>
      </c>
      <c r="AA51" s="48" t="n">
        <v>0.0302244210035527</v>
      </c>
      <c r="AB51" s="27" t="n">
        <v>0.573686845714286</v>
      </c>
      <c r="AC51" s="27" t="n">
        <v>0.200027108087206</v>
      </c>
      <c r="AD51" s="27" t="n">
        <v>0.200003872808836</v>
      </c>
      <c r="AE51" s="55" t="n">
        <v>0.627</v>
      </c>
      <c r="AF51" s="55" t="n">
        <v>0.007</v>
      </c>
      <c r="AG51" s="61" t="n">
        <f aca="false">AF51*SQRT(U51)</f>
        <v>0.028</v>
      </c>
      <c r="AH51" s="29" t="n">
        <v>12.5415</v>
      </c>
      <c r="AI51" s="27" t="n">
        <v>1.082262</v>
      </c>
      <c r="AJ51" s="27" t="n">
        <f aca="false">VLOOKUP(B51,proft,2,0)</f>
        <v>12.1141701458533</v>
      </c>
      <c r="AK51" s="27" t="n">
        <f aca="false">VLOOKUP(B51,proft,3,0)</f>
        <v>2.32952144843824</v>
      </c>
      <c r="AL51" s="27" t="s">
        <v>63</v>
      </c>
      <c r="BB51" s="30" t="n">
        <v>13.8907</v>
      </c>
      <c r="BC51" s="30" t="n">
        <v>2.228</v>
      </c>
      <c r="BD51" s="30" t="n">
        <v>0.02228</v>
      </c>
      <c r="BE51" s="31" t="n">
        <v>13.8907</v>
      </c>
      <c r="BF51" s="31" t="n">
        <v>2.228</v>
      </c>
      <c r="BG51" s="31" t="n">
        <v>0.02228</v>
      </c>
      <c r="BH51" s="14" t="n">
        <f aca="false">10^6/((BB51+273.15)^2)</f>
        <v>12.137047149134</v>
      </c>
      <c r="BI51" s="14" t="n">
        <f aca="false">BH51*(2*($BF51/($BE51+273.15)))</f>
        <v>0.188414681599302</v>
      </c>
      <c r="BJ51" s="14" t="n">
        <f aca="false">BH51*(2*($BG51/($BE51+273.15)))</f>
        <v>0.00188414681599302</v>
      </c>
      <c r="BL51" s="14" t="n">
        <f aca="false">10^6/((AH51+273.15)^2)</f>
        <v>12.2519541087572</v>
      </c>
      <c r="BM51" s="14" t="n">
        <f aca="false">BL51*(2*($AI51/($AH51+273.15)))</f>
        <v>0.0928261733908901</v>
      </c>
      <c r="BN51" s="14" t="n">
        <f aca="false">10^6/((AJ51+273.15)^2)</f>
        <v>12.2886888117603</v>
      </c>
      <c r="BO51" s="14" t="n">
        <f aca="false">BN51*(2*($AK51/($AJ51+273.15)))</f>
        <v>0.200703538376671</v>
      </c>
    </row>
    <row r="52" s="14" customFormat="true" ht="16" hidden="false" customHeight="false" outlineLevel="0" collapsed="false">
      <c r="A52" s="22" t="s">
        <v>93</v>
      </c>
      <c r="B52" s="36" t="s">
        <v>653</v>
      </c>
      <c r="C52" s="14" t="s">
        <v>597</v>
      </c>
      <c r="D52" s="36" t="s">
        <v>653</v>
      </c>
      <c r="E52" s="34" t="s">
        <v>604</v>
      </c>
      <c r="F52" s="22" t="n">
        <v>34.8</v>
      </c>
      <c r="G52" s="22" t="n">
        <v>-27.7</v>
      </c>
      <c r="H52" s="22" t="s">
        <v>78</v>
      </c>
      <c r="I52" s="22" t="s">
        <v>605</v>
      </c>
      <c r="J52" s="22" t="n">
        <v>2060</v>
      </c>
      <c r="K52" s="35" t="s">
        <v>93</v>
      </c>
      <c r="L52" s="22" t="s">
        <v>96</v>
      </c>
      <c r="M52" s="22" t="s">
        <v>97</v>
      </c>
      <c r="N52" s="22" t="s">
        <v>98</v>
      </c>
      <c r="O52" s="22" t="s">
        <v>92</v>
      </c>
      <c r="P52" s="22" t="s">
        <v>92</v>
      </c>
      <c r="Q52" s="22" t="n">
        <v>4</v>
      </c>
      <c r="R52" s="35" t="s">
        <v>62</v>
      </c>
      <c r="S52" s="25" t="n">
        <v>36.2449189189189</v>
      </c>
      <c r="T52" s="22" t="n">
        <v>45.4435183946488</v>
      </c>
      <c r="U52" s="36" t="n">
        <v>17</v>
      </c>
      <c r="V52" s="48" t="n">
        <v>0.804117647058823</v>
      </c>
      <c r="W52" s="48" t="n">
        <v>0.131056229512823</v>
      </c>
      <c r="X52" s="48" t="n">
        <v>0.0317858045397976</v>
      </c>
      <c r="Y52" s="48" t="n">
        <v>1.74352941176471</v>
      </c>
      <c r="Z52" s="48" t="n">
        <v>0.142299911123944</v>
      </c>
      <c r="AA52" s="48" t="n">
        <v>0.0345127978870604</v>
      </c>
      <c r="AB52" s="27" t="n">
        <v>0.892584843571429</v>
      </c>
      <c r="AC52" s="27" t="n">
        <v>0.253380674913162</v>
      </c>
      <c r="AD52" s="27" t="n">
        <v>0.204276032860904</v>
      </c>
      <c r="AE52" s="55" t="n">
        <v>0.645</v>
      </c>
      <c r="AF52" s="55" t="n">
        <v>0.006</v>
      </c>
      <c r="AG52" s="61" t="n">
        <f aca="false">AF52*SQRT(U52)</f>
        <v>0.024738633753706</v>
      </c>
      <c r="AH52" s="29" t="n">
        <v>17.0456</v>
      </c>
      <c r="AI52" s="27" t="n">
        <v>2.75897</v>
      </c>
      <c r="AJ52" s="27" t="n">
        <f aca="false">VLOOKUP(B52,proft,2,0)</f>
        <v>9.28960932670199</v>
      </c>
      <c r="AK52" s="27" t="n">
        <f aca="false">VLOOKUP(B52,proft,3,0)</f>
        <v>0.565655902775573</v>
      </c>
      <c r="AL52" s="27" t="s">
        <v>63</v>
      </c>
      <c r="BB52" s="30" t="n">
        <v>12.9665</v>
      </c>
      <c r="BC52" s="30" t="n">
        <v>2.232</v>
      </c>
      <c r="BD52" s="30" t="n">
        <v>0.02232</v>
      </c>
      <c r="BE52" s="31" t="n">
        <v>12.9665</v>
      </c>
      <c r="BF52" s="31" t="n">
        <v>2.232</v>
      </c>
      <c r="BG52" s="31" t="n">
        <v>0.02232</v>
      </c>
      <c r="BH52" s="14" t="n">
        <f aca="false">10^6/((BB52+273.15)^2)</f>
        <v>12.2155828182211</v>
      </c>
      <c r="BI52" s="14" t="n">
        <f aca="false">BH52*(2*($BF52/($BE52+273.15)))</f>
        <v>0.190587965743112</v>
      </c>
      <c r="BJ52" s="14" t="n">
        <f aca="false">BH52*(2*($BG52/($BE52+273.15)))</f>
        <v>0.00190587965743112</v>
      </c>
      <c r="BL52" s="14" t="n">
        <f aca="false">10^6/((AH52+273.15)^2)</f>
        <v>11.8745826163782</v>
      </c>
      <c r="BM52" s="14" t="n">
        <f aca="false">BL52*(2*($AI52/($AH52+273.15)))</f>
        <v>0.225789896201796</v>
      </c>
      <c r="BN52" s="14" t="n">
        <f aca="false">10^6/((AJ52+273.15)^2)</f>
        <v>12.5357059343672</v>
      </c>
      <c r="BO52" s="14" t="n">
        <f aca="false">BN52*(2*($AK52/($AJ52+273.15)))</f>
        <v>0.0502117679183689</v>
      </c>
    </row>
    <row r="53" s="14" customFormat="true" ht="16" hidden="false" customHeight="false" outlineLevel="0" collapsed="false">
      <c r="A53" s="22" t="s">
        <v>85</v>
      </c>
      <c r="B53" s="36" t="s">
        <v>661</v>
      </c>
      <c r="C53" s="14" t="s">
        <v>597</v>
      </c>
      <c r="D53" s="36" t="s">
        <v>661</v>
      </c>
      <c r="E53" s="34" t="s">
        <v>345</v>
      </c>
      <c r="F53" s="22" t="n">
        <v>-11.2</v>
      </c>
      <c r="G53" s="22" t="n">
        <v>58.8</v>
      </c>
      <c r="H53" s="22" t="s">
        <v>125</v>
      </c>
      <c r="I53" s="22" t="s">
        <v>346</v>
      </c>
      <c r="J53" s="22" t="n">
        <v>2871</v>
      </c>
      <c r="K53" s="35" t="s">
        <v>85</v>
      </c>
      <c r="L53" s="22" t="s">
        <v>89</v>
      </c>
      <c r="M53" s="22" t="s">
        <v>90</v>
      </c>
      <c r="N53" s="22" t="s">
        <v>91</v>
      </c>
      <c r="O53" s="22" t="s">
        <v>92</v>
      </c>
      <c r="P53" s="22" t="s">
        <v>92</v>
      </c>
      <c r="Q53" s="22" t="n">
        <v>4</v>
      </c>
      <c r="R53" s="35" t="s">
        <v>62</v>
      </c>
      <c r="S53" s="25" t="n">
        <v>35.1511052631579</v>
      </c>
      <c r="T53" s="22" t="n">
        <v>7.05296756756757</v>
      </c>
      <c r="U53" s="36" t="n">
        <v>19</v>
      </c>
      <c r="V53" s="48" t="n">
        <v>2.37157894736842</v>
      </c>
      <c r="W53" s="48" t="n">
        <v>0.133718741223457</v>
      </c>
      <c r="X53" s="48" t="n">
        <v>0.0306771831500272</v>
      </c>
      <c r="Y53" s="48" t="n">
        <v>-1.36578947368421</v>
      </c>
      <c r="Z53" s="48" t="n">
        <v>0.137933792067615</v>
      </c>
      <c r="AA53" s="48" t="n">
        <v>0.0316441821327414</v>
      </c>
      <c r="AB53" s="27" t="n">
        <v>0.3011885</v>
      </c>
      <c r="AC53" s="27" t="n">
        <v>0.22268299037975</v>
      </c>
      <c r="AD53" s="27" t="n">
        <v>0.203395362429386</v>
      </c>
      <c r="AE53" s="55" t="n">
        <v>0.604</v>
      </c>
      <c r="AF53" s="55" t="n">
        <v>0.005</v>
      </c>
      <c r="AG53" s="61" t="n">
        <f aca="false">AF53*SQRT(U53)</f>
        <v>0.0217944947177034</v>
      </c>
      <c r="AH53" s="29" t="n">
        <v>23.3534</v>
      </c>
      <c r="AI53" s="27" t="n">
        <v>3.125287</v>
      </c>
      <c r="AJ53" s="27" t="n">
        <f aca="false">VLOOKUP(B53,proft,2,0)</f>
        <v>22.3074633241939</v>
      </c>
      <c r="AK53" s="27" t="n">
        <f aca="false">VLOOKUP(B53,proft,3,0)</f>
        <v>2.51010025178249</v>
      </c>
      <c r="AL53" s="27" t="s">
        <v>63</v>
      </c>
      <c r="BB53" s="30" t="n">
        <v>22.6978</v>
      </c>
      <c r="BC53" s="30" t="n">
        <v>2.243</v>
      </c>
      <c r="BD53" s="30" t="n">
        <v>0.02267</v>
      </c>
      <c r="BE53" s="31" t="n">
        <v>22.6978</v>
      </c>
      <c r="BF53" s="31" t="n">
        <v>2.243</v>
      </c>
      <c r="BG53" s="31" t="n">
        <v>0.02267</v>
      </c>
      <c r="BH53" s="14" t="n">
        <f aca="false">10^6/((BB53+273.15)^2)</f>
        <v>11.4251868619211</v>
      </c>
      <c r="BI53" s="14" t="n">
        <f aca="false">BH53*(2*($BF53/($BE53+273.15)))</f>
        <v>0.173242418103424</v>
      </c>
      <c r="BJ53" s="14" t="n">
        <f aca="false">BH53*(2*($BG53/($BE53+273.15)))</f>
        <v>0.00175096104253438</v>
      </c>
      <c r="BL53" s="14" t="n">
        <f aca="false">10^6/((AH53+273.15)^2)</f>
        <v>11.3747181554535</v>
      </c>
      <c r="BM53" s="14" t="n">
        <f aca="false">BL53*(2*($AI53/($AH53+273.15)))</f>
        <v>0.239789889626242</v>
      </c>
      <c r="BN53" s="14" t="n">
        <f aca="false">10^6/((AJ53+273.15)^2)</f>
        <v>11.4553950367536</v>
      </c>
      <c r="BO53" s="14" t="n">
        <f aca="false">BN53*(2*($AK53/($AJ53+273.15)))</f>
        <v>0.194641825205629</v>
      </c>
    </row>
    <row r="54" s="14" customFormat="true" ht="16" hidden="false" customHeight="false" outlineLevel="0" collapsed="false">
      <c r="A54" s="22" t="s">
        <v>93</v>
      </c>
      <c r="B54" s="36" t="s">
        <v>654</v>
      </c>
      <c r="C54" s="14" t="s">
        <v>597</v>
      </c>
      <c r="D54" s="36" t="s">
        <v>654</v>
      </c>
      <c r="E54" s="34" t="s">
        <v>607</v>
      </c>
      <c r="F54" s="22" t="n">
        <v>-45.1</v>
      </c>
      <c r="G54" s="22" t="n">
        <v>174.6</v>
      </c>
      <c r="H54" s="22" t="s">
        <v>56</v>
      </c>
      <c r="I54" s="22" t="s">
        <v>608</v>
      </c>
      <c r="J54" s="22" t="n">
        <v>992</v>
      </c>
      <c r="K54" s="35" t="s">
        <v>93</v>
      </c>
      <c r="L54" s="22" t="s">
        <v>96</v>
      </c>
      <c r="M54" s="22" t="s">
        <v>97</v>
      </c>
      <c r="N54" s="22" t="s">
        <v>98</v>
      </c>
      <c r="O54" s="22" t="s">
        <v>92</v>
      </c>
      <c r="P54" s="22" t="s">
        <v>92</v>
      </c>
      <c r="Q54" s="22" t="n">
        <v>4</v>
      </c>
      <c r="R54" s="35" t="s">
        <v>62</v>
      </c>
      <c r="S54" s="25" t="n">
        <v>34.3336756756757</v>
      </c>
      <c r="T54" s="22" t="n">
        <v>33.51871</v>
      </c>
      <c r="U54" s="36" t="n">
        <v>19</v>
      </c>
      <c r="V54" s="48" t="n">
        <v>1.24210526315789</v>
      </c>
      <c r="W54" s="48" t="n">
        <v>0.0582693885108374</v>
      </c>
      <c r="X54" s="48" t="n">
        <v>0.0133679145274026</v>
      </c>
      <c r="Y54" s="48" t="n">
        <v>1.89578947368421</v>
      </c>
      <c r="Z54" s="48" t="n">
        <v>0.0970289641449445</v>
      </c>
      <c r="AA54" s="48" t="n">
        <v>0.0222599710160129</v>
      </c>
      <c r="AB54" s="27" t="n">
        <v>0.0330344775357143</v>
      </c>
      <c r="AC54" s="27" t="n">
        <v>0.218011017012226</v>
      </c>
      <c r="AD54" s="27" t="n">
        <v>0.201339940601303</v>
      </c>
      <c r="AE54" s="55" t="n">
        <v>0.652</v>
      </c>
      <c r="AF54" s="55" t="n">
        <v>0.007</v>
      </c>
      <c r="AG54" s="61" t="n">
        <f aca="false">AF54*SQRT(U54)</f>
        <v>0.0305122926047847</v>
      </c>
      <c r="AH54" s="29" t="n">
        <v>8.5087</v>
      </c>
      <c r="AI54" s="27" t="n">
        <v>1.408134</v>
      </c>
      <c r="AJ54" s="27" t="n">
        <f aca="false">VLOOKUP(B54,proft,2,0)</f>
        <v>6.13284074273525</v>
      </c>
      <c r="AK54" s="27" t="n">
        <f aca="false">VLOOKUP(B54,proft,3,0)</f>
        <v>0.341492282808371</v>
      </c>
      <c r="AL54" s="27" t="s">
        <v>63</v>
      </c>
      <c r="BB54" s="30" t="n">
        <v>8.9867</v>
      </c>
      <c r="BC54" s="30" t="n">
        <v>2.201</v>
      </c>
      <c r="BD54" s="30" t="n">
        <v>0.02201</v>
      </c>
      <c r="BE54" s="31" t="n">
        <v>8.9867</v>
      </c>
      <c r="BF54" s="31" t="n">
        <v>2.201</v>
      </c>
      <c r="BG54" s="31" t="n">
        <v>0.02201</v>
      </c>
      <c r="BH54" s="14" t="n">
        <f aca="false">10^6/((BB54+273.15)^2)</f>
        <v>12.5626377062445</v>
      </c>
      <c r="BI54" s="14" t="n">
        <f aca="false">BH54*(2*($BF54/($BE54+273.15)))</f>
        <v>0.19600686895001</v>
      </c>
      <c r="BJ54" s="14" t="n">
        <f aca="false">BH54*(2*($BG54/($BE54+273.15)))</f>
        <v>0.0019600686895001</v>
      </c>
      <c r="BL54" s="14" t="n">
        <f aca="false">10^6/((AH54+273.15)^2)</f>
        <v>12.6053137271475</v>
      </c>
      <c r="BM54" s="14" t="n">
        <f aca="false">BL54*(2*($AI54/($AH54+273.15)))</f>
        <v>0.126038860790475</v>
      </c>
      <c r="BN54" s="14" t="n">
        <f aca="false">10^6/((AJ54+273.15)^2)</f>
        <v>12.8206927813998</v>
      </c>
      <c r="BO54" s="14" t="n">
        <f aca="false">BN54*(2*($AK54/($AJ54+273.15)))</f>
        <v>0.0313529297644035</v>
      </c>
    </row>
    <row r="55" s="14" customFormat="true" ht="16" hidden="false" customHeight="false" outlineLevel="0" collapsed="false">
      <c r="A55" s="22" t="s">
        <v>85</v>
      </c>
      <c r="B55" s="36" t="s">
        <v>659</v>
      </c>
      <c r="C55" s="14" t="s">
        <v>597</v>
      </c>
      <c r="D55" s="36" t="s">
        <v>659</v>
      </c>
      <c r="E55" s="34" t="s">
        <v>616</v>
      </c>
      <c r="F55" s="22" t="n">
        <v>-13.5</v>
      </c>
      <c r="G55" s="22" t="n">
        <v>-162.1</v>
      </c>
      <c r="H55" s="22" t="s">
        <v>56</v>
      </c>
      <c r="I55" s="22" t="s">
        <v>617</v>
      </c>
      <c r="J55" s="22" t="n">
        <v>3154</v>
      </c>
      <c r="K55" s="35" t="s">
        <v>85</v>
      </c>
      <c r="L55" s="22" t="s">
        <v>89</v>
      </c>
      <c r="M55" s="22" t="s">
        <v>90</v>
      </c>
      <c r="N55" s="22" t="s">
        <v>660</v>
      </c>
      <c r="O55" s="22" t="s">
        <v>92</v>
      </c>
      <c r="P55" s="22" t="s">
        <v>92</v>
      </c>
      <c r="Q55" s="22" t="n">
        <v>4</v>
      </c>
      <c r="R55" s="35" t="s">
        <v>62</v>
      </c>
      <c r="S55" s="25" t="n">
        <v>36.0018666666667</v>
      </c>
      <c r="T55" s="22" t="n">
        <v>1.82885929648241</v>
      </c>
      <c r="U55" s="36" t="n">
        <v>16</v>
      </c>
      <c r="V55" s="48" t="n">
        <v>3.168125</v>
      </c>
      <c r="W55" s="48" t="n">
        <v>0.20285360074037</v>
      </c>
      <c r="X55" s="48" t="n">
        <v>0.0507134001850925</v>
      </c>
      <c r="Y55" s="48" t="n">
        <v>-1.26</v>
      </c>
      <c r="Z55" s="48" t="n">
        <v>0.237542978567387</v>
      </c>
      <c r="AA55" s="48" t="n">
        <v>0.0593857446418468</v>
      </c>
      <c r="AB55" s="27" t="n">
        <v>0.608462195</v>
      </c>
      <c r="AC55" s="27" t="n">
        <v>0.20440007494566</v>
      </c>
      <c r="AD55" s="27" t="n">
        <v>0.200740043604405</v>
      </c>
      <c r="AE55" s="55" t="n">
        <v>0.597</v>
      </c>
      <c r="AF55" s="55" t="n">
        <v>0.007</v>
      </c>
      <c r="AG55" s="61" t="n">
        <f aca="false">AF55*SQRT(U55)</f>
        <v>0.028</v>
      </c>
      <c r="AH55" s="29" t="n">
        <v>26.9178</v>
      </c>
      <c r="AI55" s="27" t="n">
        <v>1.902705</v>
      </c>
      <c r="AJ55" s="27" t="n">
        <f aca="false">VLOOKUP(B55,proft,2,0)</f>
        <v>23.8828836615502</v>
      </c>
      <c r="AK55" s="27" t="n">
        <f aca="false">VLOOKUP(B55,proft,3,0)</f>
        <v>0.257426042700144</v>
      </c>
      <c r="AL55" s="27" t="s">
        <v>63</v>
      </c>
      <c r="BB55" s="30" t="n">
        <v>23.4832</v>
      </c>
      <c r="BC55" s="30" t="n">
        <v>2.239</v>
      </c>
      <c r="BD55" s="30" t="n">
        <v>0.0232</v>
      </c>
      <c r="BE55" s="31" t="n">
        <v>23.4832</v>
      </c>
      <c r="BF55" s="31" t="n">
        <v>2.239</v>
      </c>
      <c r="BG55" s="31" t="n">
        <v>0.0232</v>
      </c>
      <c r="BH55" s="14" t="n">
        <f aca="false">10^6/((BB55+273.15)^2)</f>
        <v>11.3647656930285</v>
      </c>
      <c r="BI55" s="14" t="n">
        <f aca="false">BH55*(2*($BF55/($BE55+273.15)))</f>
        <v>0.171563468867887</v>
      </c>
      <c r="BJ55" s="14" t="n">
        <f aca="false">BH55*(2*($BG55/($BE55+273.15)))</f>
        <v>0.00177770097263733</v>
      </c>
      <c r="BL55" s="14" t="n">
        <f aca="false">10^6/((AH55+273.15)^2)</f>
        <v>11.1060905909093</v>
      </c>
      <c r="BM55" s="14" t="n">
        <f aca="false">BL55*(2*($AI55/($AH55+273.15)))</f>
        <v>0.140845596213763</v>
      </c>
      <c r="BN55" s="14" t="n">
        <f aca="false">10^6/((AJ55+273.15)^2)</f>
        <v>11.3342017024636</v>
      </c>
      <c r="BO55" s="14" t="n">
        <f aca="false">BN55*(2*($AK55/($AJ55+273.15)))</f>
        <v>0.0196457621490487</v>
      </c>
    </row>
    <row r="56" s="14" customFormat="true" ht="16" hidden="false" customHeight="false" outlineLevel="0" collapsed="false">
      <c r="A56" s="22" t="s">
        <v>593</v>
      </c>
      <c r="B56" s="36" t="s">
        <v>662</v>
      </c>
      <c r="C56" s="14" t="s">
        <v>597</v>
      </c>
      <c r="D56" s="36" t="s">
        <v>662</v>
      </c>
      <c r="E56" s="34" t="s">
        <v>88</v>
      </c>
      <c r="F56" s="22" t="n">
        <v>52.9</v>
      </c>
      <c r="G56" s="22" t="n">
        <v>-16.9</v>
      </c>
      <c r="H56" s="22" t="s">
        <v>78</v>
      </c>
      <c r="I56" s="22" t="s">
        <v>79</v>
      </c>
      <c r="J56" s="22" t="n">
        <v>3569</v>
      </c>
      <c r="K56" s="35" t="s">
        <v>593</v>
      </c>
      <c r="L56" s="22" t="s">
        <v>58</v>
      </c>
      <c r="M56" s="22" t="s">
        <v>483</v>
      </c>
      <c r="N56" s="22" t="s">
        <v>484</v>
      </c>
      <c r="O56" s="22" t="s">
        <v>485</v>
      </c>
      <c r="P56" s="22" t="s">
        <v>61</v>
      </c>
      <c r="Q56" s="22" t="n">
        <v>3</v>
      </c>
      <c r="R56" s="35" t="s">
        <v>83</v>
      </c>
      <c r="S56" s="25" t="n">
        <v>35.3716</v>
      </c>
      <c r="T56" s="22" t="n">
        <v>23.1977172131148</v>
      </c>
      <c r="U56" s="36" t="n">
        <v>19</v>
      </c>
      <c r="V56" s="48" t="n">
        <v>1.17473684210526</v>
      </c>
      <c r="W56" s="48" t="n">
        <v>0.0838893729895795</v>
      </c>
      <c r="X56" s="48" t="n">
        <v>0.0192455420683457</v>
      </c>
      <c r="Y56" s="48" t="n">
        <v>2.07473684210526</v>
      </c>
      <c r="Z56" s="48" t="n">
        <v>0.0894655999099736</v>
      </c>
      <c r="AA56" s="48" t="n">
        <v>0.0205248162595166</v>
      </c>
      <c r="AB56" s="27" t="n">
        <v>0.398020626666667</v>
      </c>
      <c r="AC56" s="27" t="n">
        <v>0.20015064741338</v>
      </c>
      <c r="AD56" s="27" t="n">
        <v>0.20005022840943</v>
      </c>
      <c r="AE56" s="55" t="n">
        <v>0.643</v>
      </c>
      <c r="AF56" s="55" t="n">
        <v>0.006</v>
      </c>
      <c r="AG56" s="61" t="n">
        <f aca="false">AF56*SQRT(U56)</f>
        <v>0.026153393661244</v>
      </c>
      <c r="AH56" s="29" t="n">
        <v>9.6999</v>
      </c>
      <c r="AI56" s="27" t="n">
        <v>0.395162</v>
      </c>
      <c r="AJ56" s="27" t="n">
        <f aca="false">VLOOKUP(B56,proft,2,0)</f>
        <v>7.24777839202585</v>
      </c>
      <c r="AK56" s="27" t="n">
        <f aca="false">VLOOKUP(B56,proft,3,0)</f>
        <v>0.429369266465753</v>
      </c>
      <c r="AL56" s="27" t="s">
        <v>63</v>
      </c>
      <c r="BB56" s="30" t="n">
        <v>9.7147</v>
      </c>
      <c r="BC56" s="30" t="n">
        <v>2.241</v>
      </c>
      <c r="BD56" s="30" t="n">
        <v>0.02241</v>
      </c>
      <c r="BE56" s="31" t="n">
        <v>9.7147</v>
      </c>
      <c r="BF56" s="31" t="n">
        <v>2.241</v>
      </c>
      <c r="BG56" s="31" t="n">
        <v>0.02241</v>
      </c>
      <c r="BH56" s="14" t="n">
        <f aca="false">10^6/((BB56+273.15)^2)</f>
        <v>12.498056785557</v>
      </c>
      <c r="BI56" s="14" t="n">
        <f aca="false">BH56*(2*($BF56/($BE56+273.15)))</f>
        <v>0.198032099844436</v>
      </c>
      <c r="BJ56" s="14" t="n">
        <f aca="false">BH56*(2*($BG56/($BE56+273.15)))</f>
        <v>0.00198032099844436</v>
      </c>
      <c r="BL56" s="14" t="n">
        <f aca="false">10^6/((AH56+273.15)^2)</f>
        <v>12.4993647307229</v>
      </c>
      <c r="BM56" s="14" t="n">
        <f aca="false">BL56*(2*($AI56/($AH56+273.15)))</f>
        <v>0.0349250536466298</v>
      </c>
      <c r="BN56" s="14" t="n">
        <f aca="false">10^6/((AJ56+273.15)^2)</f>
        <v>12.7189383794953</v>
      </c>
      <c r="BO56" s="14" t="n">
        <f aca="false">BN56*(2*($AK56/($AJ56+273.15)))</f>
        <v>0.0389526712625504</v>
      </c>
    </row>
    <row r="57" s="14" customFormat="true" ht="16" hidden="false" customHeight="false" outlineLevel="0" collapsed="false">
      <c r="A57" s="22" t="s">
        <v>542</v>
      </c>
      <c r="B57" s="36" t="s">
        <v>664</v>
      </c>
      <c r="C57" s="14" t="s">
        <v>597</v>
      </c>
      <c r="D57" s="36" t="s">
        <v>664</v>
      </c>
      <c r="E57" s="34" t="s">
        <v>88</v>
      </c>
      <c r="F57" s="22" t="n">
        <v>52.9</v>
      </c>
      <c r="G57" s="22" t="n">
        <v>-16.9</v>
      </c>
      <c r="H57" s="22" t="s">
        <v>78</v>
      </c>
      <c r="I57" s="22" t="s">
        <v>79</v>
      </c>
      <c r="J57" s="22" t="n">
        <v>3569</v>
      </c>
      <c r="K57" s="35" t="s">
        <v>542</v>
      </c>
      <c r="L57" s="22" t="s">
        <v>58</v>
      </c>
      <c r="M57" s="22" t="s">
        <v>546</v>
      </c>
      <c r="N57" s="22" t="s">
        <v>547</v>
      </c>
      <c r="O57" s="22" t="s">
        <v>485</v>
      </c>
      <c r="P57" s="22" t="s">
        <v>61</v>
      </c>
      <c r="Q57" s="22" t="n">
        <v>3</v>
      </c>
      <c r="R57" s="35" t="s">
        <v>83</v>
      </c>
      <c r="S57" s="25" t="n">
        <v>35.4509230769231</v>
      </c>
      <c r="T57" s="22" t="n">
        <v>23.1977172131148</v>
      </c>
      <c r="U57" s="36" t="n">
        <v>16</v>
      </c>
      <c r="V57" s="48" t="n">
        <v>1.183125</v>
      </c>
      <c r="W57" s="48" t="n">
        <v>0.0937883254994992</v>
      </c>
      <c r="X57" s="48" t="n">
        <v>0.0234470813748748</v>
      </c>
      <c r="Y57" s="48" t="n">
        <v>1.578125</v>
      </c>
      <c r="Z57" s="48" t="n">
        <v>0.0682367203197809</v>
      </c>
      <c r="AA57" s="48" t="n">
        <v>0.0170591800799452</v>
      </c>
      <c r="AB57" s="27" t="n">
        <v>0.438371974</v>
      </c>
      <c r="AC57" s="27" t="n">
        <v>0.202982686502973</v>
      </c>
      <c r="AD57" s="27" t="n">
        <v>0.200600085254201</v>
      </c>
      <c r="AE57" s="55" t="n">
        <v>0.635</v>
      </c>
      <c r="AF57" s="55" t="n">
        <v>0.008</v>
      </c>
      <c r="AG57" s="61" t="n">
        <f aca="false">AF57*SQRT(U57)</f>
        <v>0.032</v>
      </c>
      <c r="AH57" s="29" t="n">
        <v>10.5258</v>
      </c>
      <c r="AI57" s="27" t="n">
        <v>0.241888</v>
      </c>
      <c r="AJ57" s="27" t="n">
        <f aca="false">VLOOKUP(B57,proft,2,0)</f>
        <v>9.60145171957216</v>
      </c>
      <c r="AK57" s="27" t="n">
        <f aca="false">VLOOKUP(B57,proft,3,0)</f>
        <v>1.71453346707504</v>
      </c>
      <c r="AL57" s="27" t="s">
        <v>63</v>
      </c>
      <c r="BB57" s="30" t="n">
        <v>11.7953</v>
      </c>
      <c r="BC57" s="30" t="n">
        <v>2.231</v>
      </c>
      <c r="BD57" s="30" t="n">
        <v>0.02159</v>
      </c>
      <c r="BE57" s="31" t="n">
        <v>11.7953</v>
      </c>
      <c r="BF57" s="31" t="n">
        <v>2.231</v>
      </c>
      <c r="BG57" s="31" t="n">
        <v>0.02159</v>
      </c>
      <c r="BH57" s="14" t="n">
        <f aca="false">10^6/((BB57+273.15)^2)</f>
        <v>12.316207696997</v>
      </c>
      <c r="BI57" s="14" t="n">
        <f aca="false">BH57*(2*($BF57/($BE57+273.15)))</f>
        <v>0.192861292128702</v>
      </c>
      <c r="BJ57" s="14" t="n">
        <f aca="false">BH57*(2*($BG57/($BE57+273.15)))</f>
        <v>0.00186637171540057</v>
      </c>
      <c r="BL57" s="14" t="n">
        <f aca="false">10^6/((AH57+273.15)^2)</f>
        <v>12.4266888260614</v>
      </c>
      <c r="BM57" s="14" t="n">
        <f aca="false">BL57*(2*($AI57/($AH57+273.15)))</f>
        <v>0.0211922688277134</v>
      </c>
      <c r="BN57" s="14" t="n">
        <f aca="false">10^6/((AJ57+273.15)^2)</f>
        <v>12.5080702930202</v>
      </c>
      <c r="BO57" s="14" t="n">
        <f aca="false">BN57*(2*($AK57/($AJ57+273.15)))</f>
        <v>0.151691565121862</v>
      </c>
    </row>
    <row r="58" s="14" customFormat="true" ht="16" hidden="false" customHeight="false" outlineLevel="0" collapsed="false">
      <c r="A58" s="22" t="s">
        <v>542</v>
      </c>
      <c r="B58" s="36" t="s">
        <v>665</v>
      </c>
      <c r="C58" s="14" t="s">
        <v>597</v>
      </c>
      <c r="D58" s="36" t="s">
        <v>665</v>
      </c>
      <c r="E58" s="34" t="s">
        <v>600</v>
      </c>
      <c r="F58" s="22" t="n">
        <v>48.9</v>
      </c>
      <c r="G58" s="22" t="n">
        <v>-11.8</v>
      </c>
      <c r="H58" s="22" t="s">
        <v>78</v>
      </c>
      <c r="I58" s="22" t="s">
        <v>79</v>
      </c>
      <c r="J58" s="22" t="n">
        <v>1484</v>
      </c>
      <c r="K58" s="35" t="s">
        <v>542</v>
      </c>
      <c r="L58" s="22" t="s">
        <v>58</v>
      </c>
      <c r="M58" s="22" t="s">
        <v>546</v>
      </c>
      <c r="N58" s="22" t="s">
        <v>547</v>
      </c>
      <c r="O58" s="22" t="s">
        <v>485</v>
      </c>
      <c r="P58" s="22" t="s">
        <v>61</v>
      </c>
      <c r="Q58" s="22" t="n">
        <v>3</v>
      </c>
      <c r="R58" s="35" t="s">
        <v>83</v>
      </c>
      <c r="S58" s="25" t="n">
        <v>35.5572307692308</v>
      </c>
      <c r="T58" s="22" t="n">
        <v>51.05021</v>
      </c>
      <c r="U58" s="36" t="n">
        <v>16</v>
      </c>
      <c r="V58" s="48" t="n">
        <v>1.051875</v>
      </c>
      <c r="W58" s="48" t="n">
        <v>0.146706907358403</v>
      </c>
      <c r="X58" s="48" t="n">
        <v>0.0366767268396007</v>
      </c>
      <c r="Y58" s="48" t="n">
        <v>1.48375</v>
      </c>
      <c r="Z58" s="48" t="n">
        <v>0.112716458425556</v>
      </c>
      <c r="AA58" s="48" t="n">
        <v>0.0281791146063889</v>
      </c>
      <c r="AB58" s="27" t="n">
        <v>0.525939848</v>
      </c>
      <c r="AC58" s="27" t="n">
        <v>0.200352224310124</v>
      </c>
      <c r="AD58" s="27" t="n">
        <v>0.200070494469332</v>
      </c>
      <c r="AE58" s="55" t="n">
        <v>0.634</v>
      </c>
      <c r="AF58" s="55" t="n">
        <v>0.006</v>
      </c>
      <c r="AG58" s="61" t="n">
        <f aca="false">AF58*SQRT(U58)</f>
        <v>0.024</v>
      </c>
      <c r="AH58" s="29" t="n">
        <v>11.0158</v>
      </c>
      <c r="AI58" s="27" t="n">
        <v>0.224276</v>
      </c>
      <c r="AJ58" s="27" t="n">
        <f aca="false">VLOOKUP(B58,proft,2,0)</f>
        <v>10.9317728832511</v>
      </c>
      <c r="AK58" s="27" t="n">
        <f aca="false">VLOOKUP(B58,proft,3,0)</f>
        <v>1.15593508854166</v>
      </c>
      <c r="AL58" s="27" t="s">
        <v>63</v>
      </c>
      <c r="BB58" s="30" t="n">
        <v>12.4929</v>
      </c>
      <c r="BC58" s="30" t="n">
        <v>2.242</v>
      </c>
      <c r="BD58" s="30" t="n">
        <v>0.02288</v>
      </c>
      <c r="BE58" s="31" t="n">
        <v>12.4929</v>
      </c>
      <c r="BF58" s="31" t="n">
        <v>2.242</v>
      </c>
      <c r="BG58" s="31" t="n">
        <v>0.02288</v>
      </c>
      <c r="BH58" s="14" t="n">
        <f aca="false">10^6/((BB58+273.15)^2)</f>
        <v>12.2561236198841</v>
      </c>
      <c r="BI58" s="14" t="n">
        <f aca="false">BH58*(2*($BF58/($BE58+273.15)))</f>
        <v>0.192395674149647</v>
      </c>
      <c r="BJ58" s="14" t="n">
        <f aca="false">BH58*(2*($BG58/($BE58+273.15)))</f>
        <v>0.0019634313222765</v>
      </c>
      <c r="BL58" s="14" t="n">
        <f aca="false">10^6/((AH58+273.15)^2)</f>
        <v>12.3838699668725</v>
      </c>
      <c r="BM58" s="14" t="n">
        <f aca="false">BL58*(2*($AI58/($AH58+273.15)))</f>
        <v>0.0195477768309226</v>
      </c>
      <c r="BN58" s="14" t="n">
        <f aca="false">10^6/((AJ58+273.15)^2)</f>
        <v>12.3911969753675</v>
      </c>
      <c r="BO58" s="14" t="n">
        <f aca="false">BN58*(2*($AK58/($AJ58+273.15)))</f>
        <v>0.100840115347669</v>
      </c>
    </row>
    <row r="59" s="14" customFormat="true" ht="16" hidden="false" customHeight="false" outlineLevel="0" collapsed="false">
      <c r="A59" s="22" t="s">
        <v>542</v>
      </c>
      <c r="B59" s="36" t="s">
        <v>666</v>
      </c>
      <c r="C59" s="14" t="s">
        <v>597</v>
      </c>
      <c r="D59" s="36" t="s">
        <v>666</v>
      </c>
      <c r="E59" s="34" t="s">
        <v>604</v>
      </c>
      <c r="F59" s="22" t="n">
        <v>34.8</v>
      </c>
      <c r="G59" s="22" t="n">
        <v>-27.7</v>
      </c>
      <c r="H59" s="22" t="s">
        <v>78</v>
      </c>
      <c r="I59" s="22" t="s">
        <v>605</v>
      </c>
      <c r="J59" s="22" t="n">
        <v>2060</v>
      </c>
      <c r="K59" s="35" t="s">
        <v>542</v>
      </c>
      <c r="L59" s="22" t="s">
        <v>58</v>
      </c>
      <c r="M59" s="22" t="s">
        <v>546</v>
      </c>
      <c r="N59" s="22" t="s">
        <v>547</v>
      </c>
      <c r="O59" s="22" t="s">
        <v>485</v>
      </c>
      <c r="P59" s="22" t="s">
        <v>61</v>
      </c>
      <c r="Q59" s="22" t="n">
        <v>3</v>
      </c>
      <c r="R59" s="35" t="s">
        <v>83</v>
      </c>
      <c r="S59" s="25" t="n">
        <v>35.8755384615385</v>
      </c>
      <c r="T59" s="22" t="n">
        <v>45.4435183946488</v>
      </c>
      <c r="U59" s="36" t="n">
        <v>17</v>
      </c>
      <c r="V59" s="48" t="n">
        <v>0.927647058823529</v>
      </c>
      <c r="W59" s="48" t="n">
        <v>0.143550052758816</v>
      </c>
      <c r="X59" s="48" t="n">
        <v>0.0348160017698579</v>
      </c>
      <c r="Y59" s="48" t="n">
        <v>1.64352941176471</v>
      </c>
      <c r="Z59" s="48" t="n">
        <v>0.157715771899586</v>
      </c>
      <c r="AA59" s="48" t="n">
        <v>0.0382516933157539</v>
      </c>
      <c r="AB59" s="27" t="n">
        <v>0.720574724</v>
      </c>
      <c r="AC59" s="27" t="n">
        <v>0.225305754531582</v>
      </c>
      <c r="AD59" s="27" t="n">
        <v>0.205310829244366</v>
      </c>
      <c r="AE59" s="55" t="n">
        <v>0.647</v>
      </c>
      <c r="AF59" s="55" t="n">
        <v>0.007</v>
      </c>
      <c r="AG59" s="61" t="n">
        <f aca="false">AF59*SQRT(U59)</f>
        <v>0.0288617393793236</v>
      </c>
      <c r="AH59" s="29" t="n">
        <v>13.8158</v>
      </c>
      <c r="AI59" s="27" t="n">
        <v>1.118595</v>
      </c>
      <c r="AJ59" s="27" t="n">
        <f aca="false">VLOOKUP(B59,proft,2,0)</f>
        <v>9.7455572129003</v>
      </c>
      <c r="AK59" s="27" t="n">
        <f aca="false">VLOOKUP(B59,proft,3,0)</f>
        <v>0.36949924926022</v>
      </c>
      <c r="AL59" s="27" t="s">
        <v>63</v>
      </c>
      <c r="BB59" s="30" t="n">
        <v>12.6724</v>
      </c>
      <c r="BC59" s="30" t="n">
        <v>2.222</v>
      </c>
      <c r="BD59" s="30" t="n">
        <v>0.02222</v>
      </c>
      <c r="BE59" s="31" t="n">
        <v>12.6724</v>
      </c>
      <c r="BF59" s="31" t="n">
        <v>2.222</v>
      </c>
      <c r="BG59" s="31" t="n">
        <v>0.02222</v>
      </c>
      <c r="BH59" s="14" t="n">
        <f aca="false">10^6/((BB59+273.15)^2)</f>
        <v>12.2407344594524</v>
      </c>
      <c r="BI59" s="14" t="n">
        <f aca="false">BH59*(2*($BF59/($BE59+273.15)))</f>
        <v>0.190320366555618</v>
      </c>
      <c r="BJ59" s="14" t="n">
        <f aca="false">BH59*(2*($BG59/($BE59+273.15)))</f>
        <v>0.00190320366555618</v>
      </c>
      <c r="BL59" s="14" t="n">
        <f aca="false">10^6/((AH59+273.15)^2)</f>
        <v>12.1433836775111</v>
      </c>
      <c r="BM59" s="14" t="n">
        <f aca="false">BL59*(2*($AI59/($AH59+273.15)))</f>
        <v>0.094670014787445</v>
      </c>
      <c r="BN59" s="14" t="n">
        <f aca="false">10^6/((AJ59+273.15)^2)</f>
        <v>12.4953304495909</v>
      </c>
      <c r="BO59" s="14" t="n">
        <f aca="false">BN59*(2*($AK59/($AJ59+273.15)))</f>
        <v>0.03264112922712</v>
      </c>
    </row>
    <row r="60" s="14" customFormat="true" ht="16" hidden="false" customHeight="false" outlineLevel="0" collapsed="false">
      <c r="A60" s="22" t="s">
        <v>51</v>
      </c>
      <c r="B60" s="36" t="s">
        <v>663</v>
      </c>
      <c r="C60" s="14" t="s">
        <v>597</v>
      </c>
      <c r="D60" s="36" t="s">
        <v>663</v>
      </c>
      <c r="E60" s="34" t="s">
        <v>345</v>
      </c>
      <c r="F60" s="22" t="n">
        <v>-11.2</v>
      </c>
      <c r="G60" s="22" t="n">
        <v>58.8</v>
      </c>
      <c r="H60" s="22" t="s">
        <v>125</v>
      </c>
      <c r="I60" s="22" t="s">
        <v>346</v>
      </c>
      <c r="J60" s="22" t="n">
        <v>2871</v>
      </c>
      <c r="K60" s="35" t="s">
        <v>51</v>
      </c>
      <c r="L60" s="22" t="s">
        <v>58</v>
      </c>
      <c r="M60" s="22" t="s">
        <v>59</v>
      </c>
      <c r="N60" s="22" t="s">
        <v>60</v>
      </c>
      <c r="O60" s="22" t="s">
        <v>61</v>
      </c>
      <c r="P60" s="22" t="s">
        <v>61</v>
      </c>
      <c r="Q60" s="22" t="n">
        <v>3</v>
      </c>
      <c r="R60" s="35" t="s">
        <v>62</v>
      </c>
      <c r="S60" s="25" t="n">
        <v>35.1445294117647</v>
      </c>
      <c r="T60" s="22" t="n">
        <v>7.05296756756757</v>
      </c>
      <c r="U60" s="36" t="n">
        <v>20</v>
      </c>
      <c r="V60" s="48" t="n">
        <v>1.5225</v>
      </c>
      <c r="W60" s="48" t="n">
        <v>0.0978653747703822</v>
      </c>
      <c r="X60" s="48" t="n">
        <v>0.0218833630630068</v>
      </c>
      <c r="Y60" s="48" t="n">
        <v>0.404</v>
      </c>
      <c r="Z60" s="48" t="n">
        <v>0.253842056156351</v>
      </c>
      <c r="AA60" s="48" t="n">
        <v>0.056760809311392</v>
      </c>
      <c r="AB60" s="27" t="n">
        <v>0.327142948</v>
      </c>
      <c r="AC60" s="27" t="n">
        <v>0.226750062255269</v>
      </c>
      <c r="AD60" s="27" t="n">
        <v>0.205628592726191</v>
      </c>
      <c r="AE60" s="55" t="n">
        <v>0.626</v>
      </c>
      <c r="AF60" s="55" t="n">
        <v>0.006</v>
      </c>
      <c r="AG60" s="61" t="n">
        <f aca="false">AF60*SQRT(U60)</f>
        <v>0.0268328157299975</v>
      </c>
      <c r="AH60" s="29" t="n">
        <v>24.077</v>
      </c>
      <c r="AI60" s="27" t="n">
        <v>2.374013</v>
      </c>
      <c r="AJ60" s="27" t="n">
        <f aca="false">VLOOKUP(B60,proft,2,0)</f>
        <v>14.1057849969751</v>
      </c>
      <c r="AK60" s="27" t="n">
        <f aca="false">VLOOKUP(B60,proft,3,0)</f>
        <v>0.246764593605986</v>
      </c>
      <c r="AL60" s="27" t="s">
        <v>63</v>
      </c>
      <c r="BB60" s="30" t="n">
        <v>15.9343</v>
      </c>
      <c r="BC60" s="30" t="n">
        <v>2.253</v>
      </c>
      <c r="BD60" s="30" t="n">
        <v>0.02357</v>
      </c>
      <c r="BE60" s="31" t="n">
        <v>15.9343</v>
      </c>
      <c r="BF60" s="31" t="n">
        <v>2.253</v>
      </c>
      <c r="BG60" s="31" t="n">
        <v>0.02357</v>
      </c>
      <c r="BH60" s="14" t="n">
        <f aca="false">10^6/((BB60+273.15)^2)</f>
        <v>11.9660548144311</v>
      </c>
      <c r="BI60" s="14" t="n">
        <f aca="false">BH60*(2*($BF60/($BE60+273.15)))</f>
        <v>0.186516676947957</v>
      </c>
      <c r="BJ60" s="14" t="n">
        <f aca="false">BH60*(2*($BG60/($BE60+273.15)))</f>
        <v>0.00195126412590473</v>
      </c>
      <c r="BL60" s="14" t="n">
        <f aca="false">10^6/((AH60+273.15)^2)</f>
        <v>11.319402002011</v>
      </c>
      <c r="BM60" s="14" t="n">
        <f aca="false">BL60*(2*($AI60/($AH60+273.15)))</f>
        <v>0.18082077001753</v>
      </c>
      <c r="BN60" s="14" t="n">
        <f aca="false">10^6/((AJ60+273.15)^2)</f>
        <v>12.11887853725</v>
      </c>
      <c r="BO60" s="14" t="n">
        <f aca="false">BN60*(2*($AK60/($AJ60+273.15)))</f>
        <v>0.020821235243261</v>
      </c>
    </row>
    <row r="61" s="14" customFormat="true" ht="16" hidden="false" customHeight="false" outlineLevel="0" collapsed="false">
      <c r="A61" s="22" t="s">
        <v>229</v>
      </c>
      <c r="B61" s="36" t="s">
        <v>669</v>
      </c>
      <c r="C61" s="14" t="s">
        <v>597</v>
      </c>
      <c r="D61" s="36" t="s">
        <v>669</v>
      </c>
      <c r="E61" s="34" t="s">
        <v>345</v>
      </c>
      <c r="F61" s="22" t="n">
        <v>-11.2</v>
      </c>
      <c r="G61" s="22" t="n">
        <v>58.8</v>
      </c>
      <c r="H61" s="22" t="s">
        <v>125</v>
      </c>
      <c r="I61" s="22" t="s">
        <v>346</v>
      </c>
      <c r="J61" s="22" t="n">
        <v>2871</v>
      </c>
      <c r="K61" s="35" t="s">
        <v>229</v>
      </c>
      <c r="L61" s="22" t="s">
        <v>58</v>
      </c>
      <c r="M61" s="22" t="s">
        <v>232</v>
      </c>
      <c r="N61" s="22" t="s">
        <v>233</v>
      </c>
      <c r="O61" s="22" t="s">
        <v>61</v>
      </c>
      <c r="P61" s="22" t="s">
        <v>61</v>
      </c>
      <c r="Q61" s="22" t="n">
        <v>3</v>
      </c>
      <c r="R61" s="35" t="s">
        <v>234</v>
      </c>
      <c r="S61" s="25" t="n">
        <v>35.12125</v>
      </c>
      <c r="T61" s="22" t="n">
        <v>7.05296756756757</v>
      </c>
      <c r="U61" s="36" t="n">
        <v>20</v>
      </c>
      <c r="V61" s="48" t="n">
        <v>1.6655</v>
      </c>
      <c r="W61" s="48" t="n">
        <v>0.0939470735658059</v>
      </c>
      <c r="X61" s="48" t="n">
        <v>0.0210072042780315</v>
      </c>
      <c r="Y61" s="48" t="n">
        <v>0.7085</v>
      </c>
      <c r="Z61" s="48" t="n">
        <v>0.21364690496237</v>
      </c>
      <c r="AA61" s="48" t="n">
        <v>0.0477729002678297</v>
      </c>
      <c r="AB61" s="27" t="n">
        <v>0.224151418</v>
      </c>
      <c r="AC61" s="27" t="n">
        <v>0.200855302866911</v>
      </c>
      <c r="AD61" s="27" t="n">
        <v>0.200171352940304</v>
      </c>
      <c r="AE61" s="55" t="n">
        <v>0.625</v>
      </c>
      <c r="AF61" s="55" t="n">
        <v>0.005</v>
      </c>
      <c r="AG61" s="61" t="n">
        <f aca="false">AF61*SQRT(U61)</f>
        <v>0.0223606797749979</v>
      </c>
      <c r="AH61" s="29" t="n">
        <v>14.097</v>
      </c>
      <c r="AI61" s="27" t="n">
        <v>2.260405</v>
      </c>
      <c r="AJ61" s="27" t="n">
        <f aca="false">VLOOKUP(B61,proft,2,0)</f>
        <v>12.6145122962017</v>
      </c>
      <c r="AK61" s="27" t="n">
        <f aca="false">VLOOKUP(B61,proft,3,0)</f>
        <v>0.548131083938871</v>
      </c>
      <c r="AL61" s="27" t="s">
        <v>63</v>
      </c>
      <c r="BB61" s="30" t="n">
        <v>14.3175</v>
      </c>
      <c r="BC61" s="30" t="n">
        <v>2.216</v>
      </c>
      <c r="BD61" s="30" t="n">
        <v>0.02216</v>
      </c>
      <c r="BE61" s="31" t="n">
        <v>14.3175</v>
      </c>
      <c r="BF61" s="31" t="n">
        <v>2.216</v>
      </c>
      <c r="BG61" s="31" t="n">
        <v>0.02216</v>
      </c>
      <c r="BH61" s="14" t="n">
        <f aca="false">10^6/((BB61+273.15)^2)</f>
        <v>12.1010344081517</v>
      </c>
      <c r="BI61" s="14" t="n">
        <f aca="false">BH61*(2*($BF61/($BE61+273.15)))</f>
        <v>0.186566427498511</v>
      </c>
      <c r="BJ61" s="14" t="n">
        <f aca="false">BH61*(2*($BG61/($BE61+273.15)))</f>
        <v>0.00186566427498511</v>
      </c>
      <c r="BL61" s="14" t="n">
        <f aca="false">10^6/((AH61+273.15)^2)</f>
        <v>12.1196198222021</v>
      </c>
      <c r="BM61" s="14" t="n">
        <f aca="false">BL61*(2*($AI61/($AH61+273.15)))</f>
        <v>0.19074350119726</v>
      </c>
      <c r="BN61" s="14" t="n">
        <f aca="false">10^6/((AJ61+273.15)^2)</f>
        <v>12.2456942060269</v>
      </c>
      <c r="BO61" s="14" t="n">
        <f aca="false">BN61*(2*($AK61/($AJ61+273.15)))</f>
        <v>0.0469774611605801</v>
      </c>
    </row>
    <row r="62" s="14" customFormat="true" ht="16" hidden="false" customHeight="false" outlineLevel="0" collapsed="false">
      <c r="A62" s="22" t="s">
        <v>542</v>
      </c>
      <c r="B62" s="36" t="s">
        <v>667</v>
      </c>
      <c r="C62" s="14" t="s">
        <v>597</v>
      </c>
      <c r="D62" s="36" t="s">
        <v>667</v>
      </c>
      <c r="E62" s="34" t="s">
        <v>607</v>
      </c>
      <c r="F62" s="22" t="n">
        <v>-45.1</v>
      </c>
      <c r="G62" s="22" t="n">
        <v>174.6</v>
      </c>
      <c r="H62" s="22" t="s">
        <v>56</v>
      </c>
      <c r="I62" s="22" t="s">
        <v>608</v>
      </c>
      <c r="J62" s="22" t="n">
        <v>992</v>
      </c>
      <c r="K62" s="35" t="s">
        <v>542</v>
      </c>
      <c r="L62" s="22" t="s">
        <v>58</v>
      </c>
      <c r="M62" s="22" t="s">
        <v>546</v>
      </c>
      <c r="N62" s="22" t="s">
        <v>547</v>
      </c>
      <c r="O62" s="22" t="s">
        <v>485</v>
      </c>
      <c r="P62" s="22" t="s">
        <v>61</v>
      </c>
      <c r="Q62" s="22" t="n">
        <v>3</v>
      </c>
      <c r="R62" s="35" t="s">
        <v>83</v>
      </c>
      <c r="S62" s="25" t="n">
        <v>34.3725384615385</v>
      </c>
      <c r="T62" s="22" t="n">
        <v>33.51871</v>
      </c>
      <c r="U62" s="36" t="n">
        <v>17</v>
      </c>
      <c r="V62" s="48" t="n">
        <v>1.01470588235294</v>
      </c>
      <c r="W62" s="48" t="n">
        <v>0.110742812806228</v>
      </c>
      <c r="X62" s="48" t="n">
        <v>0.0268590773222401</v>
      </c>
      <c r="Y62" s="48" t="n">
        <v>2.17352941176471</v>
      </c>
      <c r="Z62" s="48" t="n">
        <v>0.123082349286493</v>
      </c>
      <c r="AA62" s="48" t="n">
        <v>0.0298518545151399</v>
      </c>
      <c r="AB62" s="27" t="n">
        <v>-0.0455163548</v>
      </c>
      <c r="AC62" s="27" t="n">
        <v>0.200634257179202</v>
      </c>
      <c r="AD62" s="27" t="n">
        <v>0.200127012246648</v>
      </c>
      <c r="AE62" s="55" t="n">
        <v>0.655</v>
      </c>
      <c r="AF62" s="55" t="n">
        <v>0.007</v>
      </c>
      <c r="AG62" s="61" t="n">
        <f aca="false">AF62*SQRT(U62)</f>
        <v>0.0288617393793236</v>
      </c>
      <c r="AH62" s="29" t="n">
        <v>7.0839</v>
      </c>
      <c r="AI62" s="27" t="n">
        <v>0.364001</v>
      </c>
      <c r="AJ62" s="27" t="n">
        <f aca="false">VLOOKUP(B62,proft,2,0)</f>
        <v>4.92225340481786</v>
      </c>
      <c r="AK62" s="27" t="n">
        <f aca="false">VLOOKUP(B62,proft,3,0)</f>
        <v>1.1667512253892</v>
      </c>
      <c r="AL62" s="27" t="s">
        <v>63</v>
      </c>
      <c r="BB62" s="30" t="n">
        <v>7.6047</v>
      </c>
      <c r="BC62" s="30" t="n">
        <v>2.237</v>
      </c>
      <c r="BD62" s="30" t="n">
        <v>0.02237</v>
      </c>
      <c r="BE62" s="31" t="n">
        <v>7.6047</v>
      </c>
      <c r="BF62" s="31" t="n">
        <v>2.237</v>
      </c>
      <c r="BG62" s="31" t="n">
        <v>0.02237</v>
      </c>
      <c r="BH62" s="14" t="n">
        <f aca="false">10^6/((BB62+273.15)^2)</f>
        <v>12.6866199298619</v>
      </c>
      <c r="BI62" s="14" t="n">
        <f aca="false">BH62*(2*($BF62/($BE62+273.15)))</f>
        <v>0.202169144688236</v>
      </c>
      <c r="BJ62" s="14" t="n">
        <f aca="false">BH62*(2*($BG62/($BE62+273.15)))</f>
        <v>0.00202169144688236</v>
      </c>
      <c r="BL62" s="14" t="n">
        <f aca="false">10^6/((AH62+273.15)^2)</f>
        <v>12.7338185822661</v>
      </c>
      <c r="BM62" s="14" t="n">
        <f aca="false">BL62*(2*($AI62/($AH62+273.15)))</f>
        <v>0.0330803853335622</v>
      </c>
      <c r="BN62" s="14" t="n">
        <f aca="false">10^6/((AJ62+273.15)^2)</f>
        <v>12.9325655234309</v>
      </c>
      <c r="BO62" s="14" t="n">
        <f aca="false">BN62*(2*($AK62/($AJ62+273.15)))</f>
        <v>0.108526373898387</v>
      </c>
    </row>
    <row r="63" s="14" customFormat="true" ht="16" hidden="false" customHeight="false" outlineLevel="0" collapsed="false">
      <c r="A63" s="22" t="s">
        <v>229</v>
      </c>
      <c r="B63" s="36" t="s">
        <v>668</v>
      </c>
      <c r="C63" s="14" t="s">
        <v>597</v>
      </c>
      <c r="D63" s="36" t="s">
        <v>668</v>
      </c>
      <c r="E63" s="34" t="s">
        <v>616</v>
      </c>
      <c r="F63" s="22" t="n">
        <v>-13.5</v>
      </c>
      <c r="G63" s="22" t="n">
        <v>-162.1</v>
      </c>
      <c r="H63" s="22" t="s">
        <v>56</v>
      </c>
      <c r="I63" s="22" t="s">
        <v>617</v>
      </c>
      <c r="J63" s="22" t="n">
        <v>3154</v>
      </c>
      <c r="K63" s="35" t="s">
        <v>229</v>
      </c>
      <c r="L63" s="22" t="s">
        <v>58</v>
      </c>
      <c r="M63" s="22" t="s">
        <v>232</v>
      </c>
      <c r="N63" s="22" t="s">
        <v>233</v>
      </c>
      <c r="O63" s="22" t="s">
        <v>61</v>
      </c>
      <c r="P63" s="22" t="s">
        <v>61</v>
      </c>
      <c r="Q63" s="22" t="n">
        <v>3</v>
      </c>
      <c r="R63" s="35" t="s">
        <v>234</v>
      </c>
      <c r="S63" s="25" t="n">
        <v>35.87975</v>
      </c>
      <c r="T63" s="22" t="n">
        <v>1.82885929648241</v>
      </c>
      <c r="U63" s="36" t="n">
        <v>16</v>
      </c>
      <c r="V63" s="48" t="n">
        <v>2.275</v>
      </c>
      <c r="W63" s="48" t="n">
        <v>0.175004761839976</v>
      </c>
      <c r="X63" s="48" t="n">
        <v>0.043751190459994</v>
      </c>
      <c r="Y63" s="48" t="n">
        <v>0.103125</v>
      </c>
      <c r="Z63" s="48" t="n">
        <v>0.259402357994937</v>
      </c>
      <c r="AA63" s="48" t="n">
        <v>0.0648505894987342</v>
      </c>
      <c r="AB63" s="27" t="n">
        <v>0.524811952</v>
      </c>
      <c r="AC63" s="27" t="n">
        <v>0.257571975260139</v>
      </c>
      <c r="AD63" s="27" t="n">
        <v>0.212764340263781</v>
      </c>
      <c r="AE63" s="55" t="n">
        <v>0.611</v>
      </c>
      <c r="AF63" s="55" t="n">
        <v>0.005</v>
      </c>
      <c r="AG63" s="61" t="n">
        <f aca="false">AF63*SQRT(U63)</f>
        <v>0.02</v>
      </c>
      <c r="AH63" s="29" t="n">
        <v>21.4212</v>
      </c>
      <c r="AI63" s="27" t="n">
        <v>3.383406</v>
      </c>
      <c r="AJ63" s="27" t="n">
        <f aca="false">VLOOKUP(B63,proft,2,0)</f>
        <v>15.5983926946025</v>
      </c>
      <c r="AK63" s="27" t="n">
        <f aca="false">VLOOKUP(B63,proft,3,0)</f>
        <v>0.10680277940378</v>
      </c>
      <c r="AL63" s="27" t="s">
        <v>63</v>
      </c>
      <c r="BB63" s="30" t="n">
        <v>17.8301</v>
      </c>
      <c r="BC63" s="30" t="n">
        <v>2.205</v>
      </c>
      <c r="BD63" s="30" t="n">
        <v>0.02241</v>
      </c>
      <c r="BE63" s="31" t="n">
        <v>17.8301</v>
      </c>
      <c r="BF63" s="31" t="n">
        <v>2.205</v>
      </c>
      <c r="BG63" s="31" t="n">
        <v>0.02241</v>
      </c>
      <c r="BH63" s="14" t="n">
        <f aca="false">10^6/((BB63+273.15)^2)</f>
        <v>11.8106397396134</v>
      </c>
      <c r="BI63" s="14" t="n">
        <f aca="false">BH63*(2*($BF63/($BE63+273.15)))</f>
        <v>0.178998224454852</v>
      </c>
      <c r="BJ63" s="14" t="n">
        <f aca="false">BH63*(2*($BG63/($BE63+273.15)))</f>
        <v>0.00181920644445951</v>
      </c>
      <c r="BL63" s="14" t="n">
        <f aca="false">10^6/((AH63+273.15)^2)</f>
        <v>11.5244294105723</v>
      </c>
      <c r="BM63" s="14" t="n">
        <f aca="false">BL63*(2*($AI63/($AH63+273.15)))</f>
        <v>0.264736156245464</v>
      </c>
      <c r="BN63" s="14" t="n">
        <f aca="false">10^6/((AJ63+273.15)^2)</f>
        <v>11.9939117536081</v>
      </c>
      <c r="BO63" s="14" t="n">
        <f aca="false">BN63*(2*($AK63/($AJ63+273.15)))</f>
        <v>0.0088726596830886</v>
      </c>
    </row>
    <row r="64" s="14" customFormat="true" ht="16" hidden="false" customHeight="false" outlineLevel="0" collapsed="false">
      <c r="A64" s="22" t="s">
        <v>469</v>
      </c>
      <c r="B64" s="64" t="s">
        <v>670</v>
      </c>
      <c r="C64" s="14" t="s">
        <v>671</v>
      </c>
      <c r="D64" s="36" t="s">
        <v>670</v>
      </c>
      <c r="E64" s="34" t="s">
        <v>672</v>
      </c>
      <c r="F64" s="22" t="n">
        <v>73.04</v>
      </c>
      <c r="G64" s="22" t="n">
        <v>-11.93</v>
      </c>
      <c r="H64" s="22" t="s">
        <v>571</v>
      </c>
      <c r="I64" s="22" t="s">
        <v>632</v>
      </c>
      <c r="J64" s="22" t="n">
        <v>1839</v>
      </c>
      <c r="K64" s="35" t="s">
        <v>469</v>
      </c>
      <c r="L64" s="22" t="s">
        <v>166</v>
      </c>
      <c r="M64" s="22" t="s">
        <v>473</v>
      </c>
      <c r="N64" s="22" t="n">
        <v>1839</v>
      </c>
      <c r="O64" s="22" t="s">
        <v>172</v>
      </c>
      <c r="P64" s="22" t="s">
        <v>172</v>
      </c>
      <c r="Q64" s="22" t="n">
        <v>2</v>
      </c>
      <c r="R64" s="35" t="s">
        <v>62</v>
      </c>
      <c r="S64" s="25" t="n">
        <v>34.911</v>
      </c>
      <c r="T64" s="22" t="n">
        <v>88.8123861386139</v>
      </c>
      <c r="U64" s="36" t="n">
        <v>16</v>
      </c>
      <c r="V64" s="48" t="n">
        <v>1.2083125</v>
      </c>
      <c r="W64" s="48" t="n">
        <v>0.0505486152134754</v>
      </c>
      <c r="X64" s="48" t="n">
        <v>0.0126371538033689</v>
      </c>
      <c r="Y64" s="48" t="n">
        <v>4.0559375</v>
      </c>
      <c r="Z64" s="48" t="n">
        <v>0.20076934319429</v>
      </c>
      <c r="AA64" s="48" t="n">
        <v>0.0501923357985725</v>
      </c>
      <c r="AB64" s="27" t="n">
        <v>0.27975924656</v>
      </c>
      <c r="AC64" s="27" t="n">
        <v>0.2</v>
      </c>
      <c r="AD64" s="27" t="n">
        <v>0.2</v>
      </c>
      <c r="AE64" s="55" t="n">
        <v>0.6849</v>
      </c>
      <c r="AF64" s="55" t="n">
        <v>0.0043</v>
      </c>
      <c r="AG64" s="61" t="n">
        <f aca="false">AF64*SQRT(U64)</f>
        <v>0.0172</v>
      </c>
      <c r="AH64" s="29" t="n">
        <v>-0.821130096912384</v>
      </c>
      <c r="AI64" s="27" t="n">
        <v>0.0805840800262311</v>
      </c>
      <c r="AJ64" s="27" t="n">
        <f aca="false">VLOOKUP(B64,proft,2,0)</f>
        <v>-0.821130096912384</v>
      </c>
      <c r="AK64" s="27" t="n">
        <f aca="false">VLOOKUP(B64,proft,3,0)</f>
        <v>0.0144956428557634</v>
      </c>
      <c r="AL64" s="27" t="s">
        <v>63</v>
      </c>
      <c r="AM64" s="14" t="n">
        <f aca="false">IF(AND(O64="Benthic, infaunal",M64="elegans"),(0.243-SQRT(((Y64)-(AB64))*0.0012+0.053337))/0.0006,IF(O64="Benthic",(0.245-SQRT(((Y64)-(AB64))*0.0044+0.045461))/0.0022,IF(O64="Benthic, infaunal",(0.245-(SQRT(0.045461+0.0044*((Y64-0.47)-(AB64)))))/0.0022,IF(O64="Benthic, epifaunal",(0.245-SQRT(((Y64)-(AB64))*0.0044+0.045461))/0.0022))))</f>
        <v>-1.88678489982037</v>
      </c>
      <c r="AN64" s="45" t="n">
        <f aca="false">Y64-AB64</f>
        <v>3.77617825344</v>
      </c>
      <c r="AO64" s="45" t="n">
        <f aca="false">SQRT((Z64^2)+(AC64^2))</f>
        <v>0.28338724242045</v>
      </c>
      <c r="AP64" s="46" t="n">
        <f aca="false">IF(NOT($M64="elegans"),(0.045461+0.0044*((AN64))),IF($M64="elegans",(0.053337+0.0012*((AN64)))))</f>
        <v>0.062076184315136</v>
      </c>
      <c r="AQ64" s="46" t="n">
        <f aca="false">IF(NOT($M64="elegans"),(0.0044*((AO64))),IF($M64="elegans",(0.0012*((AO64)))))</f>
        <v>0.00124690386664998</v>
      </c>
      <c r="AR64" s="46" t="n">
        <f aca="false">SQRT(AP64)</f>
        <v>0.249150926779605</v>
      </c>
      <c r="AS64" s="46" t="n">
        <f aca="false">AR64*(0.5*(AQ64/AP64))</f>
        <v>0.00250230629836864</v>
      </c>
      <c r="AT64" s="46" t="n">
        <f aca="false">IF(NOT($M64="elegans"),AS64/0.0022,IF($M64="elegans",AS64/0.0006))</f>
        <v>1.13741195380393</v>
      </c>
      <c r="AU64" s="45" t="n">
        <f aca="false">Y64-AB64</f>
        <v>3.77617825344</v>
      </c>
      <c r="AV64" s="45" t="n">
        <f aca="false">SQRT((AA64^2)+(AD64^2))</f>
        <v>0.206202013988508</v>
      </c>
      <c r="AW64" s="46" t="n">
        <f aca="false">IF(NOT($M64="elegans"),(0.045461+0.0044*((AU64))),IF($M64="elegans",(0.053337+0.0012*((AU64)))))</f>
        <v>0.062076184315136</v>
      </c>
      <c r="AX64" s="46" t="n">
        <f aca="false">IF(NOT($M64="elegans"),(0.0044*((AV64))),IF($M64="elegans",(0.0012*((AV64)))))</f>
        <v>0.000907288861549433</v>
      </c>
      <c r="AY64" s="46" t="n">
        <f aca="false">SQRT(AW64)</f>
        <v>0.249150926779605</v>
      </c>
      <c r="AZ64" s="46" t="n">
        <f aca="false">AY64*(0.5*(AX64/AW64))</f>
        <v>0.00182076156263309</v>
      </c>
      <c r="BA64" s="46" t="n">
        <f aca="false">IF(NOT($M64="elegans"),AZ64/0.0022,IF($M64="elegans",AZ64/0.0006))</f>
        <v>0.827618892105951</v>
      </c>
      <c r="BE64" s="31" t="n">
        <f aca="false">AM64</f>
        <v>-1.88678489982037</v>
      </c>
      <c r="BF64" s="31" t="n">
        <f aca="false">AT64</f>
        <v>1.13741195380393</v>
      </c>
      <c r="BG64" s="31" t="n">
        <f aca="false">BA64</f>
        <v>0.827618892105951</v>
      </c>
      <c r="BH64" s="14" t="n">
        <f aca="false">10^6/((BE64+273.15)^2)</f>
        <v>13.5899603707848</v>
      </c>
      <c r="BI64" s="14" t="n">
        <f aca="false">BH64*(2*($BF64/($BE64+273.15)))</f>
        <v>0.113965938004117</v>
      </c>
      <c r="BJ64" s="14" t="n">
        <f aca="false">BH64*(2*($BG64/($BE64+273.15)))</f>
        <v>0.0829254194430966</v>
      </c>
      <c r="BL64" s="14" t="n">
        <f aca="false">10^6/((AH64+273.15)^2)</f>
        <v>13.4838102497244</v>
      </c>
      <c r="BM64" s="14" t="n">
        <f aca="false">BL64*(2*($AI64/($AH64+273.15)))</f>
        <v>0.00797991373157742</v>
      </c>
      <c r="BN64" s="14" t="n">
        <f aca="false">10^6/((AJ64+273.15)^2)</f>
        <v>13.4838102497244</v>
      </c>
      <c r="BO64" s="14" t="n">
        <f aca="false">BN64*(2*($AK64/($AJ64+273.15)))</f>
        <v>0.00143544456219014</v>
      </c>
    </row>
    <row r="65" s="14" customFormat="true" ht="16" hidden="false" customHeight="false" outlineLevel="0" collapsed="false">
      <c r="A65" s="22" t="s">
        <v>83</v>
      </c>
      <c r="B65" s="36" t="s">
        <v>673</v>
      </c>
      <c r="C65" s="14" t="s">
        <v>671</v>
      </c>
      <c r="D65" s="36" t="s">
        <v>673</v>
      </c>
      <c r="E65" s="34" t="s">
        <v>674</v>
      </c>
      <c r="F65" s="22" t="n">
        <v>43.67</v>
      </c>
      <c r="G65" s="22" t="n">
        <v>-2</v>
      </c>
      <c r="H65" s="22" t="s">
        <v>78</v>
      </c>
      <c r="I65" s="22" t="s">
        <v>605</v>
      </c>
      <c r="J65" s="22" t="n">
        <v>664</v>
      </c>
      <c r="K65" s="35" t="s">
        <v>675</v>
      </c>
      <c r="L65" s="22" t="s">
        <v>184</v>
      </c>
      <c r="M65" s="22" t="s">
        <v>676</v>
      </c>
      <c r="N65" s="22" t="n">
        <v>664</v>
      </c>
      <c r="O65" s="22" t="s">
        <v>178</v>
      </c>
      <c r="P65" s="22" t="s">
        <v>178</v>
      </c>
      <c r="Q65" s="22" t="n">
        <v>1</v>
      </c>
      <c r="R65" s="35" t="s">
        <v>83</v>
      </c>
      <c r="S65" s="25" t="n">
        <v>35.654</v>
      </c>
      <c r="T65" s="22" t="n">
        <v>44.7300066225166</v>
      </c>
      <c r="U65" s="36" t="n">
        <v>31</v>
      </c>
      <c r="V65" s="48" t="n">
        <v>0.254032258064516</v>
      </c>
      <c r="W65" s="48" t="n">
        <v>0.142914072988158</v>
      </c>
      <c r="X65" s="48" t="n">
        <v>0.0256681252429146</v>
      </c>
      <c r="Y65" s="48" t="n">
        <v>2.25606451612903</v>
      </c>
      <c r="Z65" s="48" t="n">
        <v>0.0950452297536532</v>
      </c>
      <c r="AA65" s="48" t="n">
        <v>0.0170706271961091</v>
      </c>
      <c r="AB65" s="27" t="n">
        <v>0.578226312</v>
      </c>
      <c r="AC65" s="27" t="n">
        <v>0.2</v>
      </c>
      <c r="AD65" s="27" t="n">
        <v>0.2</v>
      </c>
      <c r="AE65" s="55" t="n">
        <v>0.6486</v>
      </c>
      <c r="AF65" s="55" t="n">
        <v>0.0036</v>
      </c>
      <c r="AG65" s="61" t="n">
        <f aca="false">AF65*SQRT(U65)</f>
        <v>0.0200439517061881</v>
      </c>
      <c r="AH65" s="29" t="n">
        <v>10.6085151290894</v>
      </c>
      <c r="AI65" s="27" t="n">
        <v>0.0371078779654844</v>
      </c>
      <c r="AJ65" s="27" t="n">
        <f aca="false">VLOOKUP(B65,proft,2,0)</f>
        <v>6.89037468084481</v>
      </c>
      <c r="AK65" s="27" t="n">
        <f aca="false">VLOOKUP(B65,proft,3,0)</f>
        <v>0.391643369606826</v>
      </c>
      <c r="AL65" s="27" t="s">
        <v>63</v>
      </c>
      <c r="AM65" s="14" t="n">
        <f aca="false">IF(AND(O65="Benthic, infaunal",M65="elegans"),(0.243-SQRT(((Y65)-(AB65))*0.0012+0.053337))/0.0006,IF(O65="Benthic",(0.245-SQRT(((Y65)-(AB65))*0.0044+0.045461))/0.0022,IF(O65="Benthic, infaunal",(0.245-(SQRT(0.045461+0.0044*((Y65-0.47)-(AB65)))))/0.0022,IF(O65="Benthic, epifaunal",(0.245-SQRT(((Y65)-(AB65))*0.0044+0.045461))/0.0022))))</f>
        <v>8.93901370839923</v>
      </c>
      <c r="AN65" s="45" t="n">
        <f aca="false">Y65-AB65</f>
        <v>1.67783820412903</v>
      </c>
      <c r="AO65" s="45" t="n">
        <f aca="false">SQRT((Z65^2)+(AC65^2))</f>
        <v>0.221435308157766</v>
      </c>
      <c r="AP65" s="46" t="n">
        <f aca="false">IF(NOT($M65="elegans"),(0.045461+0.0044*((AN65))),IF($M65="elegans",(0.053337+0.0012*((AN65)))))</f>
        <v>0.0528434880981678</v>
      </c>
      <c r="AQ65" s="46" t="n">
        <f aca="false">IF(NOT($M65="elegans"),(0.0044*((AO65))),IF($M65="elegans",(0.0012*((AO65)))))</f>
        <v>0.00097431535589417</v>
      </c>
      <c r="AR65" s="46" t="n">
        <f aca="false">SQRT(AP65)</f>
        <v>0.229877115211949</v>
      </c>
      <c r="AS65" s="46" t="n">
        <f aca="false">AR65*(0.5*(AQ65/AP65))</f>
        <v>0.00211920911526108</v>
      </c>
      <c r="AT65" s="46" t="n">
        <f aca="false">IF(NOT($M65="elegans"),AS65/0.0022,IF($M65="elegans",AS65/0.0006))</f>
        <v>0.96327687057322</v>
      </c>
      <c r="AU65" s="45" t="n">
        <f aca="false">Y65-AB65</f>
        <v>1.67783820412903</v>
      </c>
      <c r="AV65" s="45" t="n">
        <f aca="false">SQRT((AA65^2)+(AD65^2))</f>
        <v>0.200727193755277</v>
      </c>
      <c r="AW65" s="46" t="n">
        <f aca="false">IF(NOT($M65="elegans"),(0.045461+0.0044*((AU65))),IF($M65="elegans",(0.053337+0.0012*((AU65)))))</f>
        <v>0.0528434880981678</v>
      </c>
      <c r="AX65" s="46" t="n">
        <f aca="false">IF(NOT($M65="elegans"),(0.0044*((AV65))),IF($M65="elegans",(0.0012*((AV65)))))</f>
        <v>0.000883199652523219</v>
      </c>
      <c r="AY65" s="46" t="n">
        <f aca="false">SQRT(AW65)</f>
        <v>0.229877115211949</v>
      </c>
      <c r="AZ65" s="46" t="n">
        <f aca="false">AY65*(0.5*(AX65/AW65))</f>
        <v>0.00192102561342154</v>
      </c>
      <c r="BA65" s="46" t="n">
        <f aca="false">IF(NOT($M65="elegans"),AZ65/0.0022,IF($M65="elegans",AZ65/0.0006))</f>
        <v>0.873193460646156</v>
      </c>
      <c r="BE65" s="31" t="n">
        <f aca="false">AM65</f>
        <v>8.93901370839923</v>
      </c>
      <c r="BF65" s="31" t="n">
        <f aca="false">AT65</f>
        <v>0.96327687057322</v>
      </c>
      <c r="BG65" s="31" t="n">
        <f aca="false">BA65</f>
        <v>0.873193460646156</v>
      </c>
      <c r="BH65" s="14" t="n">
        <f aca="false">10^6/((BE65+273.15)^2)</f>
        <v>12.5668854167963</v>
      </c>
      <c r="BI65" s="14" t="n">
        <f aca="false">BH65*(2*($BF65/($BE65+273.15)))</f>
        <v>0.0858267388580923</v>
      </c>
      <c r="BJ65" s="14" t="n">
        <f aca="false">BH65*(2*($BG65/($BE65+273.15)))</f>
        <v>0.0778004220893156</v>
      </c>
      <c r="BL65" s="14" t="n">
        <f aca="false">10^6/((AH65+273.15)^2)</f>
        <v>12.4194451642598</v>
      </c>
      <c r="BM65" s="14" t="n">
        <f aca="false">BL65*(2*($AI65/($AH65+273.15)))</f>
        <v>0.00324824969812602</v>
      </c>
      <c r="BN65" s="14" t="n">
        <f aca="false">10^6/((AJ65+273.15)^2)</f>
        <v>12.7514243850433</v>
      </c>
      <c r="BO65" s="14" t="n">
        <f aca="false">BN65*(2*($AK65/($AJ65+273.15)))</f>
        <v>0.0356663628888266</v>
      </c>
    </row>
    <row r="66" s="14" customFormat="true" ht="16" hidden="false" customHeight="false" outlineLevel="0" collapsed="false">
      <c r="A66" s="22" t="s">
        <v>74</v>
      </c>
      <c r="B66" s="36" t="s">
        <v>697</v>
      </c>
      <c r="C66" s="14" t="s">
        <v>671</v>
      </c>
      <c r="D66" s="36" t="s">
        <v>697</v>
      </c>
      <c r="E66" s="34" t="s">
        <v>672</v>
      </c>
      <c r="F66" s="22" t="n">
        <v>73.04</v>
      </c>
      <c r="G66" s="22" t="n">
        <v>-11.93</v>
      </c>
      <c r="H66" s="22" t="s">
        <v>571</v>
      </c>
      <c r="I66" s="22" t="s">
        <v>632</v>
      </c>
      <c r="J66" s="22" t="n">
        <v>1839</v>
      </c>
      <c r="K66" s="35" t="s">
        <v>74</v>
      </c>
      <c r="L66" s="22" t="s">
        <v>80</v>
      </c>
      <c r="M66" s="22" t="s">
        <v>81</v>
      </c>
      <c r="N66" s="22" t="s">
        <v>82</v>
      </c>
      <c r="O66" s="22" t="s">
        <v>71</v>
      </c>
      <c r="P66" s="22" t="s">
        <v>71</v>
      </c>
      <c r="Q66" s="22" t="n">
        <v>5</v>
      </c>
      <c r="R66" s="35" t="s">
        <v>83</v>
      </c>
      <c r="S66" s="25" t="n">
        <v>34.69268</v>
      </c>
      <c r="T66" s="22" t="n">
        <v>5</v>
      </c>
      <c r="U66" s="36" t="n">
        <v>8</v>
      </c>
      <c r="V66" s="48" t="n">
        <v>0.630625</v>
      </c>
      <c r="W66" s="48" t="n">
        <v>0.0413899142304016</v>
      </c>
      <c r="X66" s="48" t="n">
        <v>0.0146335445125233</v>
      </c>
      <c r="Y66" s="48" t="n">
        <v>2.799125</v>
      </c>
      <c r="Z66" s="48" t="n">
        <v>0.11271257693798</v>
      </c>
      <c r="AA66" s="48" t="n">
        <v>0.039849913738928</v>
      </c>
      <c r="AB66" s="27" t="n">
        <v>0.0303248386</v>
      </c>
      <c r="AC66" s="27" t="n">
        <v>0.257014536242701</v>
      </c>
      <c r="AD66" s="27" t="n">
        <v>0.206411354300109</v>
      </c>
      <c r="AE66" s="55" t="n">
        <v>0.6666</v>
      </c>
      <c r="AF66" s="55" t="n">
        <v>0.0055</v>
      </c>
      <c r="AG66" s="61" t="n">
        <f aca="false">AF66*SQRT(U66)</f>
        <v>0.015556349186104</v>
      </c>
      <c r="AH66" s="29" t="n">
        <v>0.123845034629121</v>
      </c>
      <c r="AI66" s="27" t="n">
        <v>0.365910387547531</v>
      </c>
      <c r="AJ66" s="27" t="n">
        <f aca="false">VLOOKUP(B66,proft,2,0)</f>
        <v>2.07884540535266</v>
      </c>
      <c r="AK66" s="27" t="n">
        <f aca="false">VLOOKUP(B66,proft,3,0)</f>
        <v>1.60426645848094</v>
      </c>
      <c r="AL66" s="27" t="s">
        <v>84</v>
      </c>
      <c r="BB66" s="30" t="n">
        <v>6.0538</v>
      </c>
      <c r="BC66" s="30" t="n">
        <v>2.116</v>
      </c>
      <c r="BD66" s="30" t="n">
        <v>0.02062</v>
      </c>
      <c r="BE66" s="31" t="n">
        <v>6.0538</v>
      </c>
      <c r="BF66" s="31" t="n">
        <v>2.116</v>
      </c>
      <c r="BG66" s="31" t="n">
        <v>0.02062</v>
      </c>
      <c r="BH66" s="14" t="n">
        <f aca="false">10^6/((BB66+273.15)^2)</f>
        <v>12.8279527149477</v>
      </c>
      <c r="BI66" s="14" t="n">
        <f aca="false">BH66*(2*($BF66/($BE66+273.15)))</f>
        <v>0.194438241491192</v>
      </c>
      <c r="BJ66" s="14" t="n">
        <f aca="false">BH66*(2*($BG66/($BE66+273.15)))</f>
        <v>0.00189476206972986</v>
      </c>
      <c r="BL66" s="14" t="n">
        <f aca="false">10^6/((AH66+273.15)^2)</f>
        <v>13.3907180270612</v>
      </c>
      <c r="BM66" s="14" t="n">
        <f aca="false">BL66*(2*($AI66/($AH66+273.15)))</f>
        <v>0.0358600203557774</v>
      </c>
      <c r="BN66" s="14" t="n">
        <f aca="false">10^6/((AJ66+273.15)^2)</f>
        <v>13.201160264104</v>
      </c>
      <c r="BO66" s="14" t="n">
        <f aca="false">BN66*(2*($AK66/($AJ66+273.15)))</f>
        <v>0.15389505117854</v>
      </c>
    </row>
    <row r="67" s="14" customFormat="true" ht="16" hidden="false" customHeight="false" outlineLevel="0" collapsed="false">
      <c r="A67" s="22" t="s">
        <v>100</v>
      </c>
      <c r="B67" s="36" t="s">
        <v>677</v>
      </c>
      <c r="C67" s="14" t="s">
        <v>671</v>
      </c>
      <c r="D67" s="36" t="s">
        <v>677</v>
      </c>
      <c r="E67" s="34" t="s">
        <v>678</v>
      </c>
      <c r="F67" s="22" t="n">
        <v>52.71</v>
      </c>
      <c r="G67" s="22" t="n">
        <v>-35.94</v>
      </c>
      <c r="H67" s="22" t="s">
        <v>78</v>
      </c>
      <c r="I67" s="22" t="s">
        <v>79</v>
      </c>
      <c r="J67" s="22" t="n">
        <v>1355</v>
      </c>
      <c r="K67" s="35" t="s">
        <v>100</v>
      </c>
      <c r="L67" s="22" t="s">
        <v>104</v>
      </c>
      <c r="M67" s="22" t="s">
        <v>105</v>
      </c>
      <c r="N67" s="22" t="s">
        <v>106</v>
      </c>
      <c r="O67" s="22" t="s">
        <v>71</v>
      </c>
      <c r="P67" s="22" t="s">
        <v>71</v>
      </c>
      <c r="Q67" s="22" t="n">
        <v>5</v>
      </c>
      <c r="R67" s="35" t="s">
        <v>83</v>
      </c>
      <c r="S67" s="25" t="n">
        <v>34.7103333333333</v>
      </c>
      <c r="T67" s="22" t="n">
        <v>22.3113535353535</v>
      </c>
      <c r="U67" s="36" t="n">
        <v>15</v>
      </c>
      <c r="V67" s="48" t="n">
        <v>-0.208133333333333</v>
      </c>
      <c r="W67" s="48" t="n">
        <v>0.0605202052053299</v>
      </c>
      <c r="X67" s="48" t="n">
        <v>0.0156262497912865</v>
      </c>
      <c r="Y67" s="48" t="n">
        <v>1.75986666666667</v>
      </c>
      <c r="Z67" s="48" t="n">
        <v>0.105752991627165</v>
      </c>
      <c r="AA67" s="48" t="n">
        <v>0.0273053050255748</v>
      </c>
      <c r="AB67" s="27" t="n">
        <v>0.197384332857143</v>
      </c>
      <c r="AC67" s="27" t="n">
        <v>0.201011705004528</v>
      </c>
      <c r="AD67" s="27" t="n">
        <v>0.200144842390572</v>
      </c>
      <c r="AE67" s="55" t="n">
        <v>0.6524</v>
      </c>
      <c r="AF67" s="55" t="n">
        <v>0.0042</v>
      </c>
      <c r="AG67" s="61" t="n">
        <f aca="false">AF67*SQRT(U67)</f>
        <v>0.0162665300540712</v>
      </c>
      <c r="AH67" s="29" t="n">
        <v>7.6076994850522</v>
      </c>
      <c r="AI67" s="27" t="n">
        <v>0.799041033527809</v>
      </c>
      <c r="AJ67" s="27" t="n">
        <f aca="false">VLOOKUP(B67,proft,2,0)</f>
        <v>7.9404835118551</v>
      </c>
      <c r="AK67" s="27" t="n">
        <f aca="false">VLOOKUP(B67,proft,3,0)</f>
        <v>1.91257585151911</v>
      </c>
      <c r="AL67" s="27" t="s">
        <v>107</v>
      </c>
      <c r="BB67" s="30" t="n">
        <v>10.4775</v>
      </c>
      <c r="BC67" s="30" t="n">
        <v>2.413</v>
      </c>
      <c r="BD67" s="30" t="n">
        <v>0.02413</v>
      </c>
      <c r="BE67" s="31" t="n">
        <v>10.4775</v>
      </c>
      <c r="BF67" s="31" t="n">
        <v>2.413</v>
      </c>
      <c r="BG67" s="31" t="n">
        <v>0.02413</v>
      </c>
      <c r="BH67" s="14" t="n">
        <f aca="false">10^6/((BB67+273.15)^2)</f>
        <v>12.4309215621412</v>
      </c>
      <c r="BI67" s="14" t="n">
        <f aca="false">BH67*(2*($BF67/($BE67+273.15)))</f>
        <v>0.211515552825072</v>
      </c>
      <c r="BJ67" s="14" t="n">
        <f aca="false">BH67*(2*($BG67/($BE67+273.15)))</f>
        <v>0.00211515552825073</v>
      </c>
      <c r="BL67" s="14" t="n">
        <f aca="false">10^6/((AH67+273.15)^2)</f>
        <v>12.6863488553828</v>
      </c>
      <c r="BM67" s="14" t="n">
        <f aca="false">BL67*(2*($AI67/($AH67+273.15)))</f>
        <v>0.0722111152762108</v>
      </c>
      <c r="BN67" s="14" t="n">
        <f aca="false">10^6/((AJ67+273.15)^2)</f>
        <v>12.6563278095308</v>
      </c>
      <c r="BO67" s="14" t="n">
        <f aca="false">BN67*(2*($AK67/($AJ67+273.15)))</f>
        <v>0.172230568854512</v>
      </c>
    </row>
    <row r="68" s="14" customFormat="true" ht="16" hidden="false" customHeight="false" outlineLevel="0" collapsed="false">
      <c r="A68" s="22" t="s">
        <v>100</v>
      </c>
      <c r="B68" s="36" t="s">
        <v>681</v>
      </c>
      <c r="C68" s="14" t="s">
        <v>671</v>
      </c>
      <c r="D68" s="36" t="s">
        <v>681</v>
      </c>
      <c r="E68" s="34" t="s">
        <v>682</v>
      </c>
      <c r="F68" s="22" t="n">
        <v>60.59</v>
      </c>
      <c r="G68" s="22" t="n">
        <v>-22.08</v>
      </c>
      <c r="H68" s="22" t="s">
        <v>78</v>
      </c>
      <c r="I68" s="22" t="s">
        <v>79</v>
      </c>
      <c r="J68" s="22" t="n">
        <v>2397</v>
      </c>
      <c r="K68" s="35" t="s">
        <v>100</v>
      </c>
      <c r="L68" s="22" t="s">
        <v>104</v>
      </c>
      <c r="M68" s="22" t="s">
        <v>105</v>
      </c>
      <c r="N68" s="22" t="s">
        <v>106</v>
      </c>
      <c r="O68" s="22" t="s">
        <v>71</v>
      </c>
      <c r="P68" s="22" t="s">
        <v>71</v>
      </c>
      <c r="Q68" s="22" t="n">
        <v>5</v>
      </c>
      <c r="R68" s="35" t="s">
        <v>83</v>
      </c>
      <c r="S68" s="25" t="n">
        <v>35.1135714285714</v>
      </c>
      <c r="T68" s="22" t="n">
        <v>9.13293069306931</v>
      </c>
      <c r="U68" s="36" t="n">
        <v>8</v>
      </c>
      <c r="V68" s="48" t="n">
        <v>0.062</v>
      </c>
      <c r="W68" s="48" t="n">
        <v>0.546317542408128</v>
      </c>
      <c r="X68" s="48" t="n">
        <v>0.193152419458978</v>
      </c>
      <c r="Y68" s="48" t="n">
        <v>1.863375</v>
      </c>
      <c r="Z68" s="48" t="n">
        <v>0.505476843471306</v>
      </c>
      <c r="AA68" s="48" t="n">
        <v>0.178713051875666</v>
      </c>
      <c r="AB68" s="27" t="n">
        <v>0.376450867142857</v>
      </c>
      <c r="AC68" s="27" t="n">
        <v>0.200076914908457</v>
      </c>
      <c r="AD68" s="27" t="n">
        <v>0.200010989654956</v>
      </c>
      <c r="AE68" s="55" t="n">
        <v>0.648</v>
      </c>
      <c r="AF68" s="55" t="n">
        <v>0.0055</v>
      </c>
      <c r="AG68" s="61" t="n">
        <f aca="false">AF68*SQRT(U68)</f>
        <v>0.015556349186104</v>
      </c>
      <c r="AH68" s="29" t="n">
        <v>9.11820443471273</v>
      </c>
      <c r="AI68" s="27" t="n">
        <v>0.356859314383153</v>
      </c>
      <c r="AJ68" s="27" t="n">
        <f aca="false">VLOOKUP(B68,proft,2,0)</f>
        <v>8.16259006717674</v>
      </c>
      <c r="AK68" s="27" t="n">
        <f aca="false">VLOOKUP(B68,proft,3,0)</f>
        <v>1.65157292423609</v>
      </c>
      <c r="AL68" s="27" t="s">
        <v>107</v>
      </c>
      <c r="BB68" s="30" t="n">
        <v>10.7687</v>
      </c>
      <c r="BC68" s="30" t="n">
        <v>2.383</v>
      </c>
      <c r="BD68" s="30" t="n">
        <v>0.02354</v>
      </c>
      <c r="BE68" s="31" t="n">
        <v>10.7687</v>
      </c>
      <c r="BF68" s="31" t="n">
        <v>2.383</v>
      </c>
      <c r="BG68" s="31" t="n">
        <v>0.02354</v>
      </c>
      <c r="BH68" s="14" t="n">
        <f aca="false">10^6/((BB68+273.15)^2)</f>
        <v>12.4054351958015</v>
      </c>
      <c r="BI68" s="14" t="n">
        <f aca="false">BH68*(2*($BF68/($BE68+273.15)))</f>
        <v>0.208243782967412</v>
      </c>
      <c r="BJ68" s="14" t="n">
        <f aca="false">BH68*(2*($BG68/($BE68+273.15)))</f>
        <v>0.00205709553128531</v>
      </c>
      <c r="BL68" s="14" t="n">
        <f aca="false">10^6/((AH68+273.15)^2)</f>
        <v>12.5509349518184</v>
      </c>
      <c r="BM68" s="14" t="n">
        <f aca="false">BL68*(2*($AI68/($AH68+273.15)))</f>
        <v>0.0317351934890663</v>
      </c>
      <c r="BN68" s="14" t="n">
        <f aca="false">10^6/((AJ68+273.15)^2)</f>
        <v>12.6363504337758</v>
      </c>
      <c r="BO68" s="14" t="n">
        <f aca="false">BN68*(2*($AK68/($AJ68+273.15)))</f>
        <v>0.148374832655726</v>
      </c>
    </row>
    <row r="69" s="14" customFormat="true" ht="16" hidden="false" customHeight="false" outlineLevel="0" collapsed="false">
      <c r="A69" s="22" t="s">
        <v>74</v>
      </c>
      <c r="B69" s="36" t="s">
        <v>692</v>
      </c>
      <c r="C69" s="14" t="s">
        <v>671</v>
      </c>
      <c r="D69" s="36" t="s">
        <v>692</v>
      </c>
      <c r="E69" s="34" t="s">
        <v>693</v>
      </c>
      <c r="F69" s="22" t="n">
        <v>61.06</v>
      </c>
      <c r="G69" s="22" t="n">
        <v>-24.55</v>
      </c>
      <c r="H69" s="22" t="s">
        <v>78</v>
      </c>
      <c r="I69" s="22" t="s">
        <v>79</v>
      </c>
      <c r="J69" s="22" t="n">
        <v>1812</v>
      </c>
      <c r="K69" s="35" t="s">
        <v>74</v>
      </c>
      <c r="L69" s="22" t="s">
        <v>80</v>
      </c>
      <c r="M69" s="22" t="s">
        <v>81</v>
      </c>
      <c r="N69" s="22" t="s">
        <v>82</v>
      </c>
      <c r="O69" s="22" t="s">
        <v>71</v>
      </c>
      <c r="P69" s="22" t="s">
        <v>71</v>
      </c>
      <c r="Q69" s="22" t="n">
        <v>5</v>
      </c>
      <c r="R69" s="35" t="s">
        <v>83</v>
      </c>
      <c r="S69" s="25" t="n">
        <v>35.15472</v>
      </c>
      <c r="T69" s="22" t="n">
        <v>-2.59324181963288</v>
      </c>
      <c r="U69" s="36" t="n">
        <v>4</v>
      </c>
      <c r="V69" s="48" t="n">
        <v>0.4785</v>
      </c>
      <c r="W69" s="48" t="n">
        <v>0.0228691932520585</v>
      </c>
      <c r="X69" s="48" t="n">
        <v>0.0114345966260293</v>
      </c>
      <c r="Y69" s="48" t="n">
        <v>1.66325</v>
      </c>
      <c r="Z69" s="48" t="n">
        <v>0.0742175855171805</v>
      </c>
      <c r="AA69" s="48" t="n">
        <v>0.0371087927585903</v>
      </c>
      <c r="AB69" s="27" t="n">
        <v>0.349599529</v>
      </c>
      <c r="AC69" s="27" t="n">
        <v>0.200071727413499</v>
      </c>
      <c r="AD69" s="27" t="n">
        <v>0.200007173898893</v>
      </c>
      <c r="AE69" s="55" t="n">
        <v>0.647</v>
      </c>
      <c r="AF69" s="55" t="n">
        <v>0.0074</v>
      </c>
      <c r="AG69" s="61" t="n">
        <f aca="false">AF69*SQRT(U69)</f>
        <v>0.0148</v>
      </c>
      <c r="AH69" s="29" t="n">
        <v>8.61396821975708</v>
      </c>
      <c r="AI69" s="27" t="n">
        <v>0.397827585232852</v>
      </c>
      <c r="AJ69" s="27" t="n">
        <f aca="false">VLOOKUP(B69,proft,2,0)</f>
        <v>9.01542170113891</v>
      </c>
      <c r="AK69" s="27" t="n">
        <f aca="false">VLOOKUP(B69,proft,3,0)</f>
        <v>1.58772731678765</v>
      </c>
      <c r="AL69" s="27" t="s">
        <v>84</v>
      </c>
      <c r="BB69" s="30" t="n">
        <v>12.377</v>
      </c>
      <c r="BC69" s="30" t="n">
        <v>2.129</v>
      </c>
      <c r="BD69" s="30" t="n">
        <v>0.02165</v>
      </c>
      <c r="BE69" s="31" t="n">
        <v>12.377</v>
      </c>
      <c r="BF69" s="31" t="n">
        <v>2.129</v>
      </c>
      <c r="BG69" s="31" t="n">
        <v>0.02165</v>
      </c>
      <c r="BH69" s="14" t="n">
        <f aca="false">10^6/((BB69+273.15)^2)</f>
        <v>12.2660755545616</v>
      </c>
      <c r="BI69" s="14" t="n">
        <f aca="false">BH69*(2*($BF69/($BE69+273.15)))</f>
        <v>0.182921228855146</v>
      </c>
      <c r="BJ69" s="14" t="n">
        <f aca="false">BH69*(2*($BG69/($BE69+273.15)))</f>
        <v>0.00186014307407887</v>
      </c>
      <c r="BL69" s="14" t="n">
        <f aca="false">10^6/((AH69+273.15)^2)</f>
        <v>12.5958966887029</v>
      </c>
      <c r="BM69" s="14" t="n">
        <f aca="false">BL69*(2*($AI69/($AH69+273.15)))</f>
        <v>0.035568743549217</v>
      </c>
      <c r="BN69" s="14" t="n">
        <f aca="false">10^6/((AJ69+273.15)^2)</f>
        <v>12.5600803272465</v>
      </c>
      <c r="BO69" s="14" t="n">
        <f aca="false">BN69*(2*($AK69/($AJ69+273.15)))</f>
        <v>0.141349585051129</v>
      </c>
    </row>
    <row r="70" s="14" customFormat="true" ht="16" hidden="false" customHeight="false" outlineLevel="0" collapsed="false">
      <c r="A70" s="22" t="s">
        <v>74</v>
      </c>
      <c r="B70" s="36" t="s">
        <v>696</v>
      </c>
      <c r="C70" s="14" t="s">
        <v>671</v>
      </c>
      <c r="D70" s="36" t="s">
        <v>696</v>
      </c>
      <c r="E70" s="34" t="s">
        <v>678</v>
      </c>
      <c r="F70" s="22" t="n">
        <v>52.71</v>
      </c>
      <c r="G70" s="22" t="n">
        <v>-35.94</v>
      </c>
      <c r="H70" s="22" t="s">
        <v>78</v>
      </c>
      <c r="I70" s="22" t="s">
        <v>79</v>
      </c>
      <c r="J70" s="22" t="n">
        <v>1355</v>
      </c>
      <c r="K70" s="35" t="s">
        <v>74</v>
      </c>
      <c r="L70" s="22" t="s">
        <v>80</v>
      </c>
      <c r="M70" s="22" t="s">
        <v>81</v>
      </c>
      <c r="N70" s="22" t="s">
        <v>82</v>
      </c>
      <c r="O70" s="22" t="s">
        <v>71</v>
      </c>
      <c r="P70" s="22" t="s">
        <v>71</v>
      </c>
      <c r="Q70" s="22" t="n">
        <v>5</v>
      </c>
      <c r="R70" s="35" t="s">
        <v>83</v>
      </c>
      <c r="S70" s="25" t="n">
        <v>34.72332</v>
      </c>
      <c r="T70" s="22" t="n">
        <v>-13.9405185185185</v>
      </c>
      <c r="U70" s="36" t="n">
        <v>4</v>
      </c>
      <c r="V70" s="48" t="n">
        <v>0.614</v>
      </c>
      <c r="W70" s="48" t="n">
        <v>0.0520192272145598</v>
      </c>
      <c r="X70" s="48" t="n">
        <v>0.0260096136072799</v>
      </c>
      <c r="Y70" s="48" t="n">
        <v>1.699</v>
      </c>
      <c r="Z70" s="48" t="n">
        <v>0.134029847422132</v>
      </c>
      <c r="AA70" s="48" t="n">
        <v>0.067014923711066</v>
      </c>
      <c r="AB70" s="27" t="n">
        <v>0.20207847</v>
      </c>
      <c r="AC70" s="27" t="n">
        <v>0.200838907296511</v>
      </c>
      <c r="AD70" s="27" t="n">
        <v>0.200084049010424</v>
      </c>
      <c r="AE70" s="55" t="n">
        <v>0.6504</v>
      </c>
      <c r="AF70" s="55" t="n">
        <v>0.0074</v>
      </c>
      <c r="AG70" s="61" t="n">
        <f aca="false">AF70*SQRT(U70)</f>
        <v>0.0148</v>
      </c>
      <c r="AH70" s="29" t="n">
        <v>7.31017951965332</v>
      </c>
      <c r="AI70" s="27" t="n">
        <v>1.01221487656688</v>
      </c>
      <c r="AJ70" s="27" t="n">
        <f aca="false">VLOOKUP(B70,proft,2,0)</f>
        <v>8.19202741954986</v>
      </c>
      <c r="AK70" s="27" t="n">
        <f aca="false">VLOOKUP(B70,proft,3,0)</f>
        <v>0.669836742188164</v>
      </c>
      <c r="AL70" s="27" t="s">
        <v>84</v>
      </c>
      <c r="BB70" s="30" t="n">
        <v>11.5556</v>
      </c>
      <c r="BC70" s="30" t="n">
        <v>2.148</v>
      </c>
      <c r="BD70" s="30" t="n">
        <v>0.02188</v>
      </c>
      <c r="BE70" s="31" t="n">
        <v>11.5556</v>
      </c>
      <c r="BF70" s="31" t="n">
        <v>2.148</v>
      </c>
      <c r="BG70" s="31" t="n">
        <v>0.02188</v>
      </c>
      <c r="BH70" s="14" t="n">
        <f aca="false">10^6/((BB70+273.15)^2)</f>
        <v>12.3369550075129</v>
      </c>
      <c r="BI70" s="14" t="n">
        <f aca="false">BH70*(2*($BF70/($BE70+273.15)))</f>
        <v>0.186155659433026</v>
      </c>
      <c r="BJ70" s="14" t="n">
        <f aca="false">BH70*(2*($BG70/($BE70+273.15)))</f>
        <v>0.00189622245269767</v>
      </c>
      <c r="BL70" s="14" t="n">
        <f aca="false">10^6/((AH70+273.15)^2)</f>
        <v>12.7132791960506</v>
      </c>
      <c r="BM70" s="14" t="n">
        <f aca="false">BL70*(2*($AI70/($AH70+273.15)))</f>
        <v>0.0917675397215442</v>
      </c>
      <c r="BN70" s="14" t="n">
        <f aca="false">10^6/((AJ70+273.15)^2)</f>
        <v>12.6337062412724</v>
      </c>
      <c r="BO70" s="14" t="n">
        <f aca="false">BN70*(2*($AK70/($AJ70+273.15)))</f>
        <v>0.0601582401892376</v>
      </c>
    </row>
    <row r="71" s="14" customFormat="true" ht="16" hidden="false" customHeight="false" outlineLevel="0" collapsed="false">
      <c r="A71" s="22" t="s">
        <v>100</v>
      </c>
      <c r="B71" s="36" t="s">
        <v>683</v>
      </c>
      <c r="C71" s="14" t="s">
        <v>671</v>
      </c>
      <c r="D71" s="36" t="s">
        <v>683</v>
      </c>
      <c r="E71" s="34" t="s">
        <v>684</v>
      </c>
      <c r="F71" s="22" t="n">
        <v>40.05</v>
      </c>
      <c r="G71" s="22" t="n">
        <v>-30</v>
      </c>
      <c r="H71" s="22" t="s">
        <v>78</v>
      </c>
      <c r="I71" s="22" t="s">
        <v>605</v>
      </c>
      <c r="J71" s="22" t="n">
        <v>2475</v>
      </c>
      <c r="K71" s="35" t="s">
        <v>100</v>
      </c>
      <c r="L71" s="22" t="s">
        <v>104</v>
      </c>
      <c r="M71" s="22" t="s">
        <v>105</v>
      </c>
      <c r="N71" s="22" t="s">
        <v>106</v>
      </c>
      <c r="O71" s="22" t="s">
        <v>71</v>
      </c>
      <c r="P71" s="22" t="s">
        <v>71</v>
      </c>
      <c r="Q71" s="22" t="n">
        <v>5</v>
      </c>
      <c r="R71" s="35" t="s">
        <v>83</v>
      </c>
      <c r="S71" s="25" t="n">
        <v>35.981619047619</v>
      </c>
      <c r="T71" s="22" t="n">
        <v>9.13293069306931</v>
      </c>
      <c r="U71" s="36" t="n">
        <v>6</v>
      </c>
      <c r="V71" s="48" t="n">
        <v>-0.361</v>
      </c>
      <c r="W71" s="48" t="n">
        <v>0.141235972754819</v>
      </c>
      <c r="X71" s="48" t="n">
        <v>0.0576593444291557</v>
      </c>
      <c r="Y71" s="48" t="n">
        <v>1.55616666666667</v>
      </c>
      <c r="Z71" s="48" t="n">
        <v>0.120049017766355</v>
      </c>
      <c r="AA71" s="48" t="n">
        <v>0.0490098062749804</v>
      </c>
      <c r="AB71" s="27" t="n">
        <v>0.836790792857143</v>
      </c>
      <c r="AC71" s="27" t="n">
        <v>0.202312407033715</v>
      </c>
      <c r="AD71" s="27" t="n">
        <v>0.20033197806205</v>
      </c>
      <c r="AE71" s="55" t="n">
        <v>0.6429</v>
      </c>
      <c r="AF71" s="55" t="n">
        <v>0.0063</v>
      </c>
      <c r="AG71" s="61" t="n">
        <f aca="false">AF71*SQRT(U71)</f>
        <v>0.015431785379534</v>
      </c>
      <c r="AH71" s="29" t="n">
        <v>16.7695804323469</v>
      </c>
      <c r="AI71" s="27" t="n">
        <v>1.09224134431821</v>
      </c>
      <c r="AJ71" s="27" t="n">
        <f aca="false">VLOOKUP(B71,proft,2,0)</f>
        <v>9.95628599961163</v>
      </c>
      <c r="AK71" s="27" t="n">
        <f aca="false">VLOOKUP(B71,proft,3,0)</f>
        <v>0.603551565479644</v>
      </c>
      <c r="AL71" s="27" t="s">
        <v>107</v>
      </c>
      <c r="BB71" s="30" t="n">
        <v>13.6712</v>
      </c>
      <c r="BC71" s="30" t="n">
        <v>2.398</v>
      </c>
      <c r="BD71" s="30" t="n">
        <v>0.02398</v>
      </c>
      <c r="BE71" s="31" t="n">
        <v>13.6712</v>
      </c>
      <c r="BF71" s="31" t="n">
        <v>2.398</v>
      </c>
      <c r="BG71" s="31" t="n">
        <v>0.02398</v>
      </c>
      <c r="BH71" s="14" t="n">
        <f aca="false">10^6/((BB71+273.15)^2)</f>
        <v>12.1556308608007</v>
      </c>
      <c r="BI71" s="14" t="n">
        <f aca="false">BH71*(2*($BF71/($BE71+273.15)))</f>
        <v>0.203256961509121</v>
      </c>
      <c r="BJ71" s="14" t="n">
        <f aca="false">BH71*(2*($BG71/($BE71+273.15)))</f>
        <v>0.00203256961509121</v>
      </c>
      <c r="BL71" s="14" t="n">
        <f aca="false">10^6/((AH71+273.15)^2)</f>
        <v>11.8972039059915</v>
      </c>
      <c r="BM71" s="14" t="n">
        <f aca="false">BL71*(2*($AI71/($AH71+273.15)))</f>
        <v>0.0896429138627312</v>
      </c>
      <c r="BN71" s="14" t="n">
        <f aca="false">10^6/((AJ71+273.15)^2)</f>
        <v>12.4767356957605</v>
      </c>
      <c r="BO71" s="14" t="n">
        <f aca="false">BN71*(2*($AK71/($AJ71+273.15)))</f>
        <v>0.0531980654167624</v>
      </c>
    </row>
    <row r="72" s="14" customFormat="true" ht="16" hidden="false" customHeight="false" outlineLevel="0" collapsed="false">
      <c r="A72" s="22" t="s">
        <v>154</v>
      </c>
      <c r="B72" s="36" t="s">
        <v>690</v>
      </c>
      <c r="C72" s="14" t="s">
        <v>671</v>
      </c>
      <c r="D72" s="36" t="s">
        <v>690</v>
      </c>
      <c r="E72" s="34" t="s">
        <v>691</v>
      </c>
      <c r="F72" s="22" t="n">
        <v>37.86</v>
      </c>
      <c r="G72" s="22" t="n">
        <v>-30.3</v>
      </c>
      <c r="H72" s="22" t="s">
        <v>78</v>
      </c>
      <c r="I72" s="22" t="s">
        <v>605</v>
      </c>
      <c r="J72" s="22" t="n">
        <v>2036</v>
      </c>
      <c r="K72" s="35" t="s">
        <v>154</v>
      </c>
      <c r="L72" s="22" t="s">
        <v>160</v>
      </c>
      <c r="M72" s="22" t="s">
        <v>161</v>
      </c>
      <c r="N72" s="22" t="s">
        <v>162</v>
      </c>
      <c r="O72" s="22" t="s">
        <v>71</v>
      </c>
      <c r="P72" s="22" t="s">
        <v>71</v>
      </c>
      <c r="Q72" s="22" t="n">
        <v>5</v>
      </c>
      <c r="R72" s="35" t="s">
        <v>62</v>
      </c>
      <c r="S72" s="25" t="n">
        <v>36.1174545454545</v>
      </c>
      <c r="T72" s="22" t="n">
        <v>41.2096188605108</v>
      </c>
      <c r="U72" s="36" t="n">
        <v>8</v>
      </c>
      <c r="V72" s="48" t="n">
        <v>0.716625</v>
      </c>
      <c r="W72" s="48" t="n">
        <v>0.265282026476406</v>
      </c>
      <c r="X72" s="48" t="n">
        <v>0.093791359924188</v>
      </c>
      <c r="Y72" s="48" t="n">
        <v>-0.114375</v>
      </c>
      <c r="Z72" s="48" t="n">
        <v>0.0579061741095024</v>
      </c>
      <c r="AA72" s="48" t="n">
        <v>0.020472924192699</v>
      </c>
      <c r="AB72" s="27" t="n">
        <v>0.97601979</v>
      </c>
      <c r="AC72" s="27" t="n">
        <v>0.200470125265331</v>
      </c>
      <c r="AD72" s="27" t="n">
        <v>0.20009411341861</v>
      </c>
      <c r="AE72" s="55" t="n">
        <v>0.6196</v>
      </c>
      <c r="AF72" s="55" t="n">
        <v>0.0053</v>
      </c>
      <c r="AG72" s="61" t="n">
        <f aca="false">AF72*SQRT(U72)</f>
        <v>0.0149906637611548</v>
      </c>
      <c r="AH72" s="29" t="n">
        <v>19.3521525643089</v>
      </c>
      <c r="AI72" s="27" t="n">
        <v>0.625649340360933</v>
      </c>
      <c r="AJ72" s="27" t="n">
        <f aca="false">VLOOKUP(B72,proft,2,0)</f>
        <v>19.4985039441383</v>
      </c>
      <c r="AK72" s="27" t="n">
        <f aca="false">VLOOKUP(B72,proft,3,0)</f>
        <v>0.733489746212406</v>
      </c>
      <c r="AL72" s="27" t="s">
        <v>163</v>
      </c>
      <c r="BB72" s="30" t="n">
        <v>21.11</v>
      </c>
      <c r="BC72" s="30" t="n">
        <v>1.913</v>
      </c>
      <c r="BD72" s="30" t="n">
        <v>0.01913</v>
      </c>
      <c r="BE72" s="31" t="n">
        <v>21.11</v>
      </c>
      <c r="BF72" s="31" t="n">
        <v>1.913</v>
      </c>
      <c r="BG72" s="31" t="n">
        <v>0.01913</v>
      </c>
      <c r="BH72" s="14" t="n">
        <f aca="false">10^6/((BB72+273.15)^2)</f>
        <v>11.5488180387586</v>
      </c>
      <c r="BI72" s="14" t="n">
        <f aca="false">BH72*(2*($BF72/($BE72+273.15)))</f>
        <v>0.150158967635052</v>
      </c>
      <c r="BJ72" s="14" t="n">
        <f aca="false">BH72*(2*($BG72/($BE72+273.15)))</f>
        <v>0.00150158967635052</v>
      </c>
      <c r="BL72" s="14" t="n">
        <f aca="false">10^6/((AH72+273.15)^2)</f>
        <v>11.6880447866057</v>
      </c>
      <c r="BM72" s="14" t="n">
        <f aca="false">BL72*(2*($AI72/($AH72+273.15)))</f>
        <v>0.0500004355300679</v>
      </c>
      <c r="BN72" s="14" t="n">
        <f aca="false">10^6/((AJ72+273.15)^2)</f>
        <v>11.676357498003</v>
      </c>
      <c r="BO72" s="14" t="n">
        <f aca="false">BN72*(2*($AK72/($AJ72+273.15)))</f>
        <v>0.0585308886426452</v>
      </c>
    </row>
    <row r="73" s="14" customFormat="true" ht="16" hidden="false" customHeight="false" outlineLevel="0" collapsed="false">
      <c r="A73" s="22" t="s">
        <v>154</v>
      </c>
      <c r="B73" s="36" t="s">
        <v>688</v>
      </c>
      <c r="C73" s="14" t="s">
        <v>671</v>
      </c>
      <c r="D73" s="36" t="s">
        <v>688</v>
      </c>
      <c r="E73" s="34" t="s">
        <v>689</v>
      </c>
      <c r="F73" s="22" t="n">
        <v>28.84</v>
      </c>
      <c r="G73" s="22" t="n">
        <v>-86.67</v>
      </c>
      <c r="H73" s="22" t="s">
        <v>158</v>
      </c>
      <c r="I73" s="22" t="s">
        <v>159</v>
      </c>
      <c r="J73" s="22" t="n">
        <v>4076</v>
      </c>
      <c r="K73" s="35" t="s">
        <v>154</v>
      </c>
      <c r="L73" s="22" t="s">
        <v>160</v>
      </c>
      <c r="M73" s="22" t="s">
        <v>161</v>
      </c>
      <c r="N73" s="22" t="s">
        <v>162</v>
      </c>
      <c r="O73" s="22" t="s">
        <v>71</v>
      </c>
      <c r="P73" s="22" t="s">
        <v>71</v>
      </c>
      <c r="Q73" s="22" t="n">
        <v>5</v>
      </c>
      <c r="R73" s="35" t="s">
        <v>62</v>
      </c>
      <c r="S73" s="25" t="n">
        <v>36.0779090909091</v>
      </c>
      <c r="T73" s="22" t="n">
        <v>41.2096188605108</v>
      </c>
      <c r="U73" s="36" t="n">
        <v>8</v>
      </c>
      <c r="V73" s="48" t="n">
        <v>1.3005</v>
      </c>
      <c r="W73" s="48" t="n">
        <v>0.215716745492125</v>
      </c>
      <c r="X73" s="48" t="n">
        <v>0.0762673867764871</v>
      </c>
      <c r="Y73" s="48" t="n">
        <v>-1.399125</v>
      </c>
      <c r="Z73" s="48" t="n">
        <v>0.0877601235511566</v>
      </c>
      <c r="AA73" s="48" t="n">
        <v>0.031027889240396</v>
      </c>
      <c r="AB73" s="27" t="n">
        <v>0.806529498</v>
      </c>
      <c r="AC73" s="27" t="n">
        <v>0.207892158731533</v>
      </c>
      <c r="AD73" s="27" t="n">
        <v>0.201603149609353</v>
      </c>
      <c r="AE73" s="55" t="n">
        <v>0.5968</v>
      </c>
      <c r="AF73" s="55" t="n">
        <v>0.0053</v>
      </c>
      <c r="AG73" s="61" t="n">
        <f aca="false">AF73*SQRT(U73)</f>
        <v>0.0149906637611548</v>
      </c>
      <c r="AH73" s="29" t="n">
        <v>25.0802152807062</v>
      </c>
      <c r="AI73" s="27" t="n">
        <v>0.361609354416863</v>
      </c>
      <c r="AJ73" s="27" t="n">
        <f aca="false">VLOOKUP(B73,proft,2,0)</f>
        <v>25.7003605611701</v>
      </c>
      <c r="AK73" s="27" t="n">
        <f aca="false">VLOOKUP(B73,proft,3,0)</f>
        <v>0.842872414014887</v>
      </c>
      <c r="AL73" s="27" t="s">
        <v>163</v>
      </c>
      <c r="BB73" s="30" t="n">
        <v>25.328</v>
      </c>
      <c r="BC73" s="30" t="n">
        <v>1.905</v>
      </c>
      <c r="BD73" s="30" t="n">
        <v>0.01905</v>
      </c>
      <c r="BE73" s="31" t="n">
        <v>25.328</v>
      </c>
      <c r="BF73" s="31" t="n">
        <v>1.905</v>
      </c>
      <c r="BG73" s="31" t="n">
        <v>0.01905</v>
      </c>
      <c r="BH73" s="14" t="n">
        <f aca="false">10^6/((BB73+273.15)^2)</f>
        <v>11.2247156495215</v>
      </c>
      <c r="BI73" s="14" t="n">
        <f aca="false">BH73*(2*($BF73/($BE73+273.15)))</f>
        <v>0.143280800007629</v>
      </c>
      <c r="BJ73" s="14" t="n">
        <f aca="false">BH73*(2*($BG73/($BE73+273.15)))</f>
        <v>0.00143280800007629</v>
      </c>
      <c r="BL73" s="14" t="n">
        <f aca="false">10^6/((AH73+273.15)^2)</f>
        <v>11.2433755189877</v>
      </c>
      <c r="BM73" s="14" t="n">
        <f aca="false">BL73*(2*($AI73/($AH73+273.15)))</f>
        <v>0.02726557910345</v>
      </c>
      <c r="BN73" s="14" t="n">
        <f aca="false">10^6/((AJ73+273.15)^2)</f>
        <v>11.1967616089599</v>
      </c>
      <c r="BO73" s="14" t="n">
        <f aca="false">BN73*(2*($AK73/($AJ73+273.15)))</f>
        <v>0.0631583075139809</v>
      </c>
    </row>
    <row r="74" s="14" customFormat="true" ht="16" hidden="false" customHeight="false" outlineLevel="0" collapsed="false">
      <c r="A74" s="22" t="s">
        <v>85</v>
      </c>
      <c r="B74" s="36" t="s">
        <v>705</v>
      </c>
      <c r="C74" s="14" t="s">
        <v>671</v>
      </c>
      <c r="D74" s="36" t="s">
        <v>705</v>
      </c>
      <c r="E74" s="34" t="s">
        <v>689</v>
      </c>
      <c r="F74" s="22" t="n">
        <v>28.84</v>
      </c>
      <c r="G74" s="22" t="n">
        <v>-86.67</v>
      </c>
      <c r="H74" s="22" t="s">
        <v>158</v>
      </c>
      <c r="I74" s="22" t="s">
        <v>159</v>
      </c>
      <c r="J74" s="22" t="n">
        <v>4076</v>
      </c>
      <c r="K74" s="35" t="s">
        <v>85</v>
      </c>
      <c r="L74" s="22" t="s">
        <v>89</v>
      </c>
      <c r="M74" s="22" t="s">
        <v>90</v>
      </c>
      <c r="N74" s="22" t="s">
        <v>91</v>
      </c>
      <c r="O74" s="22" t="s">
        <v>71</v>
      </c>
      <c r="P74" s="22" t="s">
        <v>71</v>
      </c>
      <c r="Q74" s="22" t="n">
        <v>5</v>
      </c>
      <c r="R74" s="35" t="s">
        <v>62</v>
      </c>
      <c r="S74" s="25" t="n">
        <v>36.3254210526316</v>
      </c>
      <c r="T74" s="22" t="n">
        <v>51</v>
      </c>
      <c r="U74" s="36" t="n">
        <v>4</v>
      </c>
      <c r="V74" s="48" t="n">
        <v>2.236</v>
      </c>
      <c r="W74" s="48" t="n">
        <v>0.0549848463972878</v>
      </c>
      <c r="X74" s="48" t="n">
        <v>0.0274924231986439</v>
      </c>
      <c r="Y74" s="48" t="n">
        <v>-0.527</v>
      </c>
      <c r="Z74" s="48" t="n">
        <v>0.128057278850781</v>
      </c>
      <c r="AA74" s="48" t="n">
        <v>0.0640286394253905</v>
      </c>
      <c r="AB74" s="27" t="n">
        <v>0.900953351428572</v>
      </c>
      <c r="AC74" s="27" t="n">
        <v>0.207986814595425</v>
      </c>
      <c r="AD74" s="27" t="n">
        <v>0.201160389116159</v>
      </c>
      <c r="AE74" s="55" t="n">
        <v>0.6153</v>
      </c>
      <c r="AF74" s="55" t="n">
        <v>0.0074</v>
      </c>
      <c r="AG74" s="61" t="n">
        <f aca="false">AF74*SQRT(U74)</f>
        <v>0.0148</v>
      </c>
      <c r="AH74" s="29" t="n">
        <v>23.7193059419331</v>
      </c>
      <c r="AI74" s="27" t="n">
        <v>1.17486061906775</v>
      </c>
      <c r="AJ74" s="27" t="n">
        <f aca="false">VLOOKUP(B74,proft,2,0)</f>
        <v>21.7060291970534</v>
      </c>
      <c r="AK74" s="27" t="n">
        <f aca="false">VLOOKUP(B74,proft,3,0)</f>
        <v>0.839430256798423</v>
      </c>
      <c r="AL74" s="27" t="s">
        <v>63</v>
      </c>
      <c r="BB74" s="30" t="n">
        <v>21.7519</v>
      </c>
      <c r="BC74" s="30" t="n">
        <v>2.237</v>
      </c>
      <c r="BD74" s="30" t="n">
        <v>0.02237</v>
      </c>
      <c r="BE74" s="31" t="n">
        <v>21.7519</v>
      </c>
      <c r="BF74" s="31" t="n">
        <v>2.237</v>
      </c>
      <c r="BG74" s="31" t="n">
        <v>0.02237</v>
      </c>
      <c r="BH74" s="14" t="n">
        <f aca="false">10^6/((BB74+273.15)^2)</f>
        <v>11.4985971461788</v>
      </c>
      <c r="BI74" s="14" t="n">
        <f aca="false">BH74*(2*($BF74/($BE74+273.15)))</f>
        <v>0.174446904655426</v>
      </c>
      <c r="BJ74" s="14" t="n">
        <f aca="false">BH74*(2*($BG74/($BE74+273.15)))</f>
        <v>0.00174446904655426</v>
      </c>
      <c r="BL74" s="14" t="n">
        <f aca="false">10^6/((AH74+273.15)^2)</f>
        <v>11.3466956425435</v>
      </c>
      <c r="BM74" s="14" t="n">
        <f aca="false">BL74*(2*($AI74/($AH74+273.15)))</f>
        <v>0.0898091220624836</v>
      </c>
      <c r="BN74" s="14" t="n">
        <f aca="false">10^6/((AJ74+273.15)^2)</f>
        <v>11.5021751019223</v>
      </c>
      <c r="BO74" s="14" t="n">
        <f aca="false">BN74*(2*($AK74/($AJ74+273.15)))</f>
        <v>0.0654914456105249</v>
      </c>
    </row>
    <row r="75" s="14" customFormat="true" ht="16" hidden="false" customHeight="false" outlineLevel="0" collapsed="false">
      <c r="A75" s="22" t="s">
        <v>154</v>
      </c>
      <c r="B75" s="36" t="s">
        <v>685</v>
      </c>
      <c r="C75" s="14" t="s">
        <v>671</v>
      </c>
      <c r="D75" s="36" t="s">
        <v>685</v>
      </c>
      <c r="E75" s="34" t="s">
        <v>686</v>
      </c>
      <c r="F75" s="22" t="n">
        <v>-20.08</v>
      </c>
      <c r="G75" s="22" t="n">
        <v>112.67</v>
      </c>
      <c r="H75" s="22" t="s">
        <v>120</v>
      </c>
      <c r="I75" s="22" t="s">
        <v>687</v>
      </c>
      <c r="J75" s="22" t="n">
        <v>980</v>
      </c>
      <c r="K75" s="35" t="s">
        <v>154</v>
      </c>
      <c r="L75" s="22" t="s">
        <v>160</v>
      </c>
      <c r="M75" s="22" t="s">
        <v>161</v>
      </c>
      <c r="N75" s="22" t="s">
        <v>162</v>
      </c>
      <c r="O75" s="22" t="s">
        <v>71</v>
      </c>
      <c r="P75" s="22" t="s">
        <v>71</v>
      </c>
      <c r="Q75" s="22" t="n">
        <v>5</v>
      </c>
      <c r="R75" s="35" t="s">
        <v>62</v>
      </c>
      <c r="S75" s="25" t="n">
        <v>35.5124545454546</v>
      </c>
      <c r="T75" s="22" t="n">
        <v>47.2254238410596</v>
      </c>
      <c r="U75" s="36" t="n">
        <v>7</v>
      </c>
      <c r="V75" s="48" t="n">
        <v>0.979</v>
      </c>
      <c r="W75" s="48" t="n">
        <v>0.0604924237680499</v>
      </c>
      <c r="X75" s="48" t="n">
        <v>0.0228639870705418</v>
      </c>
      <c r="Y75" s="48" t="n">
        <v>-1.73771428571429</v>
      </c>
      <c r="Z75" s="48" t="n">
        <v>0.120118988626159</v>
      </c>
      <c r="AA75" s="48" t="n">
        <v>0.0454007102344877</v>
      </c>
      <c r="AB75" s="27" t="n">
        <v>0.413807482</v>
      </c>
      <c r="AC75" s="27" t="n">
        <v>0.200003023971105</v>
      </c>
      <c r="AD75" s="27" t="n">
        <v>0.200000604797879</v>
      </c>
      <c r="AE75" s="55" t="n">
        <v>0.5917</v>
      </c>
      <c r="AF75" s="55" t="n">
        <v>0.0058</v>
      </c>
      <c r="AG75" s="61" t="n">
        <f aca="false">AF75*SQRT(U75)</f>
        <v>0.0153453576041746</v>
      </c>
      <c r="AH75" s="29" t="n">
        <v>24.252854607322</v>
      </c>
      <c r="AI75" s="27" t="n">
        <v>0.793527778774114</v>
      </c>
      <c r="AJ75" s="27" t="n">
        <f aca="false">VLOOKUP(B75,proft,2,0)</f>
        <v>24.586862875051</v>
      </c>
      <c r="AK75" s="27" t="n">
        <f aca="false">VLOOKUP(B75,proft,3,0)</f>
        <v>2.00866356776775</v>
      </c>
      <c r="AL75" s="27" t="s">
        <v>163</v>
      </c>
      <c r="BB75" s="30" t="n">
        <v>25.158</v>
      </c>
      <c r="BC75" s="30" t="n">
        <v>1.884</v>
      </c>
      <c r="BD75" s="30" t="n">
        <v>0.01884</v>
      </c>
      <c r="BE75" s="31" t="n">
        <v>25.158</v>
      </c>
      <c r="BF75" s="31" t="n">
        <v>1.884</v>
      </c>
      <c r="BG75" s="31" t="n">
        <v>0.01884</v>
      </c>
      <c r="BH75" s="14" t="n">
        <f aca="false">10^6/((BB75+273.15)^2)</f>
        <v>11.2375127946477</v>
      </c>
      <c r="BI75" s="14" t="n">
        <f aca="false">BH75*(2*($BF75/($BE75+273.15)))</f>
        <v>0.141943723300189</v>
      </c>
      <c r="BJ75" s="14" t="n">
        <f aca="false">BH75*(2*($BG75/($BE75+273.15)))</f>
        <v>0.00141943723300189</v>
      </c>
      <c r="BL75" s="14" t="n">
        <f aca="false">10^6/((AH75+273.15)^2)</f>
        <v>11.3060196120935</v>
      </c>
      <c r="BM75" s="14" t="n">
        <f aca="false">BL75*(2*($AI75/($AH75+273.15)))</f>
        <v>0.0603332516186298</v>
      </c>
      <c r="BN75" s="14" t="n">
        <f aca="false">10^6/((AJ75+273.15)^2)</f>
        <v>11.280667119188</v>
      </c>
      <c r="BO75" s="14" t="n">
        <f aca="false">BN75*(2*($AK75/($AJ75+273.15)))</f>
        <v>0.152208664010393</v>
      </c>
    </row>
    <row r="76" s="14" customFormat="true" ht="16" hidden="false" customHeight="false" outlineLevel="0" collapsed="false">
      <c r="A76" s="22" t="s">
        <v>85</v>
      </c>
      <c r="B76" s="36" t="s">
        <v>704</v>
      </c>
      <c r="C76" s="14" t="s">
        <v>671</v>
      </c>
      <c r="D76" s="36" t="s">
        <v>704</v>
      </c>
      <c r="E76" s="34" t="s">
        <v>686</v>
      </c>
      <c r="F76" s="22" t="n">
        <v>-20.08</v>
      </c>
      <c r="G76" s="22" t="n">
        <v>112.67</v>
      </c>
      <c r="H76" s="22" t="s">
        <v>120</v>
      </c>
      <c r="I76" s="22" t="s">
        <v>687</v>
      </c>
      <c r="J76" s="22" t="n">
        <v>980</v>
      </c>
      <c r="K76" s="35" t="s">
        <v>85</v>
      </c>
      <c r="L76" s="22" t="s">
        <v>89</v>
      </c>
      <c r="M76" s="22" t="s">
        <v>90</v>
      </c>
      <c r="N76" s="22" t="s">
        <v>91</v>
      </c>
      <c r="O76" s="22" t="s">
        <v>71</v>
      </c>
      <c r="P76" s="22" t="s">
        <v>71</v>
      </c>
      <c r="Q76" s="22" t="n">
        <v>5</v>
      </c>
      <c r="R76" s="35" t="s">
        <v>62</v>
      </c>
      <c r="S76" s="25" t="n">
        <v>35.588947368421</v>
      </c>
      <c r="T76" s="22" t="n">
        <v>34.2702419354839</v>
      </c>
      <c r="U76" s="36" t="n">
        <v>8</v>
      </c>
      <c r="V76" s="48" t="n">
        <v>2.12</v>
      </c>
      <c r="W76" s="48" t="n">
        <v>0.0917714552570678</v>
      </c>
      <c r="X76" s="48" t="n">
        <v>0.0324461091658153</v>
      </c>
      <c r="Y76" s="48" t="n">
        <v>-1.466125</v>
      </c>
      <c r="Z76" s="48" t="n">
        <v>0.083278255608189</v>
      </c>
      <c r="AA76" s="48" t="n">
        <v>0.0294433096329685</v>
      </c>
      <c r="AB76" s="27" t="n">
        <v>0.315347297142857</v>
      </c>
      <c r="AC76" s="27" t="n">
        <v>0.222123769602833</v>
      </c>
      <c r="AD76" s="27" t="n">
        <v>0.203307989099779</v>
      </c>
      <c r="AE76" s="55" t="n">
        <v>0.6081</v>
      </c>
      <c r="AF76" s="55" t="n">
        <v>0.0053</v>
      </c>
      <c r="AG76" s="61" t="n">
        <f aca="false">AF76*SQRT(U76)</f>
        <v>0.0149906637611548</v>
      </c>
      <c r="AH76" s="29" t="n">
        <v>21.7021486382735</v>
      </c>
      <c r="AI76" s="27" t="n">
        <v>2.07547674624043</v>
      </c>
      <c r="AJ76" s="27" t="n">
        <f aca="false">VLOOKUP(B76,proft,2,0)</f>
        <v>22.846364292579</v>
      </c>
      <c r="AK76" s="27" t="n">
        <f aca="false">VLOOKUP(B76,proft,3,0)</f>
        <v>1.60913333812419</v>
      </c>
      <c r="AL76" s="27" t="s">
        <v>63</v>
      </c>
      <c r="BB76" s="30" t="n">
        <v>23.1753</v>
      </c>
      <c r="BC76" s="30" t="n">
        <v>2.197</v>
      </c>
      <c r="BD76" s="30" t="n">
        <v>0.02197</v>
      </c>
      <c r="BE76" s="31" t="n">
        <v>23.1753</v>
      </c>
      <c r="BF76" s="31" t="n">
        <v>2.197</v>
      </c>
      <c r="BG76" s="31" t="n">
        <v>0.02197</v>
      </c>
      <c r="BH76" s="14" t="n">
        <f aca="false">10^6/((BB76+273.15)^2)</f>
        <v>11.3883953277815</v>
      </c>
      <c r="BI76" s="14" t="n">
        <f aca="false">BH76*(2*($BF76/($BE76+273.15)))</f>
        <v>0.168870525298623</v>
      </c>
      <c r="BJ76" s="14" t="n">
        <f aca="false">BH76*(2*($BG76/($BE76+273.15)))</f>
        <v>0.00168870525298623</v>
      </c>
      <c r="BL76" s="14" t="n">
        <f aca="false">10^6/((AH76+273.15)^2)</f>
        <v>11.5024778649207</v>
      </c>
      <c r="BM76" s="14" t="n">
        <f aca="false">BL76*(2*($AI76/($AH76+273.15)))</f>
        <v>0.161932856470895</v>
      </c>
      <c r="BN76" s="14" t="n">
        <f aca="false">10^6/((AJ76+273.15)^2)</f>
        <v>11.4137208505671</v>
      </c>
      <c r="BO76" s="14" t="n">
        <f aca="false">BN76*(2*($AK76/($AJ76+273.15)))</f>
        <v>0.12409746164677</v>
      </c>
    </row>
    <row r="77" s="14" customFormat="true" ht="16" hidden="false" customHeight="false" outlineLevel="0" collapsed="false">
      <c r="A77" s="22" t="s">
        <v>100</v>
      </c>
      <c r="B77" s="36" t="s">
        <v>679</v>
      </c>
      <c r="C77" s="14" t="s">
        <v>671</v>
      </c>
      <c r="D77" s="36" t="s">
        <v>679</v>
      </c>
      <c r="E77" s="34" t="s">
        <v>680</v>
      </c>
      <c r="F77" s="22" t="n">
        <v>-44.69</v>
      </c>
      <c r="G77" s="22" t="n">
        <v>80.4</v>
      </c>
      <c r="H77" s="22" t="s">
        <v>120</v>
      </c>
      <c r="I77" s="22" t="s">
        <v>150</v>
      </c>
      <c r="J77" s="22" t="n">
        <v>3445</v>
      </c>
      <c r="K77" s="35" t="s">
        <v>100</v>
      </c>
      <c r="L77" s="22" t="s">
        <v>104</v>
      </c>
      <c r="M77" s="22" t="s">
        <v>105</v>
      </c>
      <c r="N77" s="22" t="s">
        <v>151</v>
      </c>
      <c r="O77" s="22" t="s">
        <v>71</v>
      </c>
      <c r="P77" s="22" t="s">
        <v>71</v>
      </c>
      <c r="Q77" s="22" t="n">
        <v>5</v>
      </c>
      <c r="R77" s="35" t="s">
        <v>83</v>
      </c>
      <c r="S77" s="25" t="n">
        <v>34.763</v>
      </c>
      <c r="T77" s="22" t="n">
        <v>22.3113535353535</v>
      </c>
      <c r="U77" s="36" t="n">
        <v>8</v>
      </c>
      <c r="V77" s="48" t="n">
        <v>0.39125</v>
      </c>
      <c r="W77" s="48" t="n">
        <v>0.157296580654871</v>
      </c>
      <c r="X77" s="48" t="n">
        <v>0.055612739419258</v>
      </c>
      <c r="Y77" s="48" t="n">
        <v>1.913875</v>
      </c>
      <c r="Z77" s="48" t="n">
        <v>0.129747488277368</v>
      </c>
      <c r="AA77" s="48" t="n">
        <v>0.0458726644014244</v>
      </c>
      <c r="AB77" s="27" t="n">
        <v>-0.21267673</v>
      </c>
      <c r="AC77" s="27" t="n">
        <v>0.201020590939015</v>
      </c>
      <c r="AD77" s="27" t="n">
        <v>0.200340774666126</v>
      </c>
      <c r="AE77" s="55" t="n">
        <v>0.6599</v>
      </c>
      <c r="AF77" s="55" t="n">
        <v>0.0054</v>
      </c>
      <c r="AG77" s="61" t="n">
        <f aca="false">AF77*SQRT(U77)</f>
        <v>0.0152735064736294</v>
      </c>
      <c r="AH77" s="29" t="n">
        <v>8.01495838165283</v>
      </c>
      <c r="AI77" s="27" t="n">
        <v>0.0657678365179799</v>
      </c>
      <c r="AJ77" s="27" t="n">
        <f aca="false">VLOOKUP(B77,proft,2,0)</f>
        <v>5.83761488650836</v>
      </c>
      <c r="AK77" s="27" t="n">
        <f aca="false">VLOOKUP(B77,proft,3,0)</f>
        <v>2.2169787330039</v>
      </c>
      <c r="AL77" s="27" t="s">
        <v>107</v>
      </c>
      <c r="BB77" s="30" t="n">
        <v>8.2861</v>
      </c>
      <c r="BC77" s="30" t="n">
        <v>2.42</v>
      </c>
      <c r="BD77" s="30" t="n">
        <v>0.02502</v>
      </c>
      <c r="BE77" s="31" t="n">
        <v>8.2861</v>
      </c>
      <c r="BF77" s="31" t="n">
        <v>2.42</v>
      </c>
      <c r="BG77" s="31" t="n">
        <v>0.02502</v>
      </c>
      <c r="BH77" s="14" t="n">
        <f aca="false">10^6/((BB77+273.15)^2)</f>
        <v>12.6252617900045</v>
      </c>
      <c r="BI77" s="14" t="n">
        <f aca="false">BH77*(2*($BF77/($BE77+273.15)))</f>
        <v>0.217123059421381</v>
      </c>
      <c r="BJ77" s="14" t="n">
        <f aca="false">BH77*(2*($BG77/($BE77+273.15)))</f>
        <v>0.00224480121765411</v>
      </c>
      <c r="BL77" s="14" t="n">
        <f aca="false">10^6/((AH77+273.15)^2)</f>
        <v>12.6496238906908</v>
      </c>
      <c r="BM77" s="14" t="n">
        <f aca="false">BL77*(2*($AI77/($AH77+273.15)))</f>
        <v>0.00591779573703215</v>
      </c>
      <c r="BN77" s="14" t="n">
        <f aca="false">10^6/((AJ77+273.15)^2)</f>
        <v>12.8478409589757</v>
      </c>
      <c r="BO77" s="14" t="n">
        <f aca="false">BN77*(2*($AK77/($AJ77+273.15)))</f>
        <v>0.204191072658565</v>
      </c>
    </row>
    <row r="78" s="14" customFormat="true" ht="16" hidden="false" customHeight="false" outlineLevel="0" collapsed="false">
      <c r="A78" s="22" t="s">
        <v>74</v>
      </c>
      <c r="B78" s="36" t="s">
        <v>694</v>
      </c>
      <c r="C78" s="14" t="s">
        <v>671</v>
      </c>
      <c r="D78" s="36" t="s">
        <v>694</v>
      </c>
      <c r="E78" s="34" t="s">
        <v>695</v>
      </c>
      <c r="F78" s="22" t="n">
        <v>-49.13</v>
      </c>
      <c r="G78" s="22" t="n">
        <v>71.36</v>
      </c>
      <c r="H78" s="22" t="s">
        <v>120</v>
      </c>
      <c r="I78" s="22" t="s">
        <v>150</v>
      </c>
      <c r="J78" s="22" t="n">
        <v>750</v>
      </c>
      <c r="K78" s="35" t="s">
        <v>74</v>
      </c>
      <c r="L78" s="22" t="s">
        <v>80</v>
      </c>
      <c r="M78" s="22" t="s">
        <v>81</v>
      </c>
      <c r="N78" s="22" t="s">
        <v>82</v>
      </c>
      <c r="O78" s="22" t="s">
        <v>71</v>
      </c>
      <c r="P78" s="22" t="s">
        <v>71</v>
      </c>
      <c r="Q78" s="22" t="n">
        <v>5</v>
      </c>
      <c r="R78" s="35" t="s">
        <v>83</v>
      </c>
      <c r="S78" s="25" t="n">
        <v>33.88864</v>
      </c>
      <c r="T78" s="22" t="n">
        <v>-13.9405185185185</v>
      </c>
      <c r="U78" s="36" t="n">
        <v>4</v>
      </c>
      <c r="V78" s="48" t="n">
        <v>1.42625</v>
      </c>
      <c r="W78" s="48" t="n">
        <v>0.0135</v>
      </c>
      <c r="X78" s="48" t="n">
        <v>0.00675000000000001</v>
      </c>
      <c r="Y78" s="48" t="n">
        <v>3.15525</v>
      </c>
      <c r="Z78" s="48" t="n">
        <v>0.0443649636537662</v>
      </c>
      <c r="AA78" s="48" t="n">
        <v>0.0221824818268831</v>
      </c>
      <c r="AB78" s="27" t="n">
        <v>-0.362939015</v>
      </c>
      <c r="AC78" s="27" t="n">
        <v>0.20260349389912</v>
      </c>
      <c r="AD78" s="27" t="n">
        <v>0.200261872492027</v>
      </c>
      <c r="AE78" s="55" t="n">
        <v>0.676</v>
      </c>
      <c r="AF78" s="55" t="n">
        <v>0.0075</v>
      </c>
      <c r="AG78" s="61" t="n">
        <f aca="false">AF78*SQRT(U78)</f>
        <v>0.015</v>
      </c>
      <c r="AH78" s="29" t="n">
        <v>2.84822259426117</v>
      </c>
      <c r="AI78" s="27" t="n">
        <v>0.355581094731922</v>
      </c>
      <c r="AJ78" s="27" t="n">
        <f aca="false">VLOOKUP(B78,proft,2,0)</f>
        <v>3.40001797676086</v>
      </c>
      <c r="AK78" s="27" t="n">
        <f aca="false">VLOOKUP(B78,proft,3,0)</f>
        <v>0.0806265398859978</v>
      </c>
      <c r="AL78" s="27" t="s">
        <v>84</v>
      </c>
      <c r="BB78" s="30" t="n">
        <v>2.8127</v>
      </c>
      <c r="BC78" s="30" t="n">
        <v>2.136</v>
      </c>
      <c r="BD78" s="30" t="n">
        <v>0.02025</v>
      </c>
      <c r="BE78" s="31" t="n">
        <v>2.8127</v>
      </c>
      <c r="BF78" s="31" t="n">
        <v>2.136</v>
      </c>
      <c r="BG78" s="31" t="n">
        <v>0.02025</v>
      </c>
      <c r="BH78" s="14" t="n">
        <f aca="false">10^6/((BB78+273.15)^2)</f>
        <v>13.131043171831</v>
      </c>
      <c r="BI78" s="14" t="n">
        <f aca="false">BH78*(2*($BF78/($BE78+273.15)))</f>
        <v>0.203273183042716</v>
      </c>
      <c r="BJ78" s="14" t="n">
        <f aca="false">BH78*(2*($BG78/($BE78+273.15)))</f>
        <v>0.00192709829429542</v>
      </c>
      <c r="BL78" s="14" t="n">
        <f aca="false">10^6/((AH78+273.15)^2)</f>
        <v>13.1276633044023</v>
      </c>
      <c r="BM78" s="14" t="n">
        <f aca="false">BL78*(2*($AI78/($AH78+273.15)))</f>
        <v>0.033825934422148</v>
      </c>
      <c r="BN78" s="14" t="n">
        <f aca="false">10^6/((AJ78+273.15)^2)</f>
        <v>13.0753287766378</v>
      </c>
      <c r="BO78" s="14" t="n">
        <f aca="false">BN78*(2*($AK78/($AJ78+273.15)))</f>
        <v>0.00762407122476275</v>
      </c>
    </row>
    <row r="79" s="14" customFormat="true" ht="16" hidden="false" customHeight="false" outlineLevel="0" collapsed="false">
      <c r="A79" s="22" t="s">
        <v>85</v>
      </c>
      <c r="B79" s="36" t="s">
        <v>706</v>
      </c>
      <c r="C79" s="14" t="s">
        <v>671</v>
      </c>
      <c r="D79" s="36" t="s">
        <v>706</v>
      </c>
      <c r="E79" s="34" t="s">
        <v>707</v>
      </c>
      <c r="F79" s="22" t="n">
        <v>19.73</v>
      </c>
      <c r="G79" s="22" t="n">
        <v>114.61</v>
      </c>
      <c r="H79" s="22" t="s">
        <v>56</v>
      </c>
      <c r="I79" s="22" t="s">
        <v>617</v>
      </c>
      <c r="J79" s="22" t="n">
        <v>3630</v>
      </c>
      <c r="K79" s="35" t="s">
        <v>85</v>
      </c>
      <c r="L79" s="22" t="s">
        <v>89</v>
      </c>
      <c r="M79" s="22" t="s">
        <v>90</v>
      </c>
      <c r="N79" s="22" t="s">
        <v>91</v>
      </c>
      <c r="O79" s="22" t="s">
        <v>71</v>
      </c>
      <c r="P79" s="22" t="s">
        <v>71</v>
      </c>
      <c r="Q79" s="22" t="n">
        <v>5</v>
      </c>
      <c r="R79" s="35" t="s">
        <v>62</v>
      </c>
      <c r="S79" s="25" t="n">
        <v>34.2843157894737</v>
      </c>
      <c r="T79" s="22" t="n">
        <v>51</v>
      </c>
      <c r="U79" s="36" t="n">
        <v>4</v>
      </c>
      <c r="V79" s="48" t="n">
        <v>2.2865</v>
      </c>
      <c r="W79" s="48" t="n">
        <v>0.0385183938744421</v>
      </c>
      <c r="X79" s="48" t="n">
        <v>0.0192591969372211</v>
      </c>
      <c r="Y79" s="48" t="n">
        <v>-1.71375</v>
      </c>
      <c r="Z79" s="48" t="n">
        <v>0.0765130707787892</v>
      </c>
      <c r="AA79" s="48" t="n">
        <v>0.0382565353893946</v>
      </c>
      <c r="AB79" s="27" t="n">
        <v>0.105754969185714</v>
      </c>
      <c r="AC79" s="27" t="n">
        <v>0.251248855723748</v>
      </c>
      <c r="AD79" s="27" t="n">
        <v>0.208095440844715</v>
      </c>
      <c r="AE79" s="55" t="n">
        <v>0.6039</v>
      </c>
      <c r="AF79" s="55" t="n">
        <v>0.0073</v>
      </c>
      <c r="AG79" s="61" t="n">
        <f aca="false">AF79*SQRT(U79)</f>
        <v>0.0146</v>
      </c>
      <c r="AH79" s="29" t="n">
        <v>22.62483185216</v>
      </c>
      <c r="AI79" s="27" t="n">
        <v>2.51878239619022</v>
      </c>
      <c r="AJ79" s="27" t="n">
        <f aca="false">VLOOKUP(B79,proft,2,0)</f>
        <v>24.3546414388345</v>
      </c>
      <c r="AK79" s="27" t="n">
        <f aca="false">VLOOKUP(B79,proft,3,0)</f>
        <v>0.785807557330183</v>
      </c>
      <c r="AL79" s="27" t="s">
        <v>63</v>
      </c>
      <c r="BB79" s="30" t="n">
        <v>23.2891</v>
      </c>
      <c r="BC79" s="30" t="n">
        <v>2.25</v>
      </c>
      <c r="BD79" s="30" t="n">
        <v>0.0225</v>
      </c>
      <c r="BE79" s="31" t="n">
        <v>23.2891</v>
      </c>
      <c r="BF79" s="31" t="n">
        <v>2.25</v>
      </c>
      <c r="BG79" s="31" t="n">
        <v>0.0225</v>
      </c>
      <c r="BH79" s="14" t="n">
        <f aca="false">10^6/((BB79+273.15)^2)</f>
        <v>11.3796532244105</v>
      </c>
      <c r="BI79" s="14" t="n">
        <f aca="false">BH79*(2*($BF79/($BE79+273.15)))</f>
        <v>0.172745226624447</v>
      </c>
      <c r="BJ79" s="14" t="n">
        <f aca="false">BH79*(2*($BG79/($BE79+273.15)))</f>
        <v>0.00172745226624447</v>
      </c>
      <c r="BL79" s="14" t="n">
        <f aca="false">10^6/((AH79+273.15)^2)</f>
        <v>11.4308247828578</v>
      </c>
      <c r="BM79" s="14" t="n">
        <f aca="false">BL79*(2*($AI79/($AH79+273.15)))</f>
        <v>0.194687019559449</v>
      </c>
      <c r="BN79" s="14" t="n">
        <f aca="false">10^6/((AJ79+273.15)^2)</f>
        <v>11.2982845593397</v>
      </c>
      <c r="BO79" s="14" t="n">
        <f aca="false">BN79*(2*($AK79/($AJ79+273.15)))</f>
        <v>0.0596849672573686</v>
      </c>
    </row>
    <row r="80" s="14" customFormat="true" ht="16" hidden="false" customHeight="false" outlineLevel="0" collapsed="false">
      <c r="A80" s="22" t="s">
        <v>93</v>
      </c>
      <c r="B80" s="36" t="s">
        <v>698</v>
      </c>
      <c r="C80" s="14" t="s">
        <v>671</v>
      </c>
      <c r="D80" s="36" t="s">
        <v>698</v>
      </c>
      <c r="E80" s="34" t="s">
        <v>691</v>
      </c>
      <c r="F80" s="22" t="n">
        <v>37.86</v>
      </c>
      <c r="G80" s="22" t="n">
        <v>-30.3</v>
      </c>
      <c r="H80" s="22" t="s">
        <v>78</v>
      </c>
      <c r="I80" s="22" t="s">
        <v>605</v>
      </c>
      <c r="J80" s="22" t="n">
        <v>2036</v>
      </c>
      <c r="K80" s="35" t="s">
        <v>93</v>
      </c>
      <c r="L80" s="22" t="s">
        <v>96</v>
      </c>
      <c r="M80" s="22" t="s">
        <v>97</v>
      </c>
      <c r="N80" s="22" t="s">
        <v>98</v>
      </c>
      <c r="O80" s="22" t="s">
        <v>92</v>
      </c>
      <c r="P80" s="22" t="s">
        <v>92</v>
      </c>
      <c r="Q80" s="22" t="n">
        <v>4</v>
      </c>
      <c r="R80" s="35" t="s">
        <v>62</v>
      </c>
      <c r="S80" s="25" t="n">
        <v>35.9580540540541</v>
      </c>
      <c r="T80" s="22" t="n">
        <v>9.13293069306931</v>
      </c>
      <c r="U80" s="36" t="n">
        <v>4</v>
      </c>
      <c r="V80" s="48" t="n">
        <v>0.233</v>
      </c>
      <c r="W80" s="48" t="n">
        <v>0.0185831464863551</v>
      </c>
      <c r="X80" s="48" t="n">
        <v>0.00929157324317757</v>
      </c>
      <c r="Y80" s="48" t="n">
        <v>0.64675</v>
      </c>
      <c r="Z80" s="48" t="n">
        <v>0.043805441062346</v>
      </c>
      <c r="AA80" s="48" t="n">
        <v>0.021902720531173</v>
      </c>
      <c r="AB80" s="27" t="n">
        <v>0.824042408666667</v>
      </c>
      <c r="AC80" s="27" t="n">
        <v>0.240500819750301</v>
      </c>
      <c r="AD80" s="27" t="n">
        <v>0.203160851877902</v>
      </c>
      <c r="AE80" s="55" t="n">
        <v>0.6272</v>
      </c>
      <c r="AF80" s="55" t="n">
        <v>0.0075</v>
      </c>
      <c r="AG80" s="61" t="n">
        <f aca="false">AF80*SQRT(U80)</f>
        <v>0.015</v>
      </c>
      <c r="AH80" s="29" t="n">
        <v>16.2989029497714</v>
      </c>
      <c r="AI80" s="27" t="n">
        <v>2.65211113328482</v>
      </c>
      <c r="AJ80" s="27" t="n">
        <f aca="false">VLOOKUP(B80,proft,2,0)</f>
        <v>15.6557748408438</v>
      </c>
      <c r="AK80" s="27" t="n">
        <f aca="false">VLOOKUP(B80,proft,3,0)</f>
        <v>0.585855679504514</v>
      </c>
      <c r="AL80" s="27" t="s">
        <v>63</v>
      </c>
      <c r="BB80" s="30" t="n">
        <v>16.9031</v>
      </c>
      <c r="BC80" s="30" t="n">
        <v>2.217</v>
      </c>
      <c r="BD80" s="30" t="n">
        <v>0.02201</v>
      </c>
      <c r="BE80" s="31" t="n">
        <v>16.9031</v>
      </c>
      <c r="BF80" s="31" t="n">
        <v>2.217</v>
      </c>
      <c r="BG80" s="31" t="n">
        <v>0.02201</v>
      </c>
      <c r="BH80" s="14" t="n">
        <f aca="false">10^6/((BB80+273.15)^2)</f>
        <v>11.8862531945246</v>
      </c>
      <c r="BI80" s="14" t="n">
        <f aca="false">BH80*(2*($BF80/($BE80+273.15)))</f>
        <v>0.181703442109469</v>
      </c>
      <c r="BJ80" s="14" t="n">
        <f aca="false">BH80*(2*($BG80/($BE80+273.15)))</f>
        <v>0.00180392095662129</v>
      </c>
      <c r="BL80" s="14" t="n">
        <f aca="false">10^6/((AH80+273.15)^2)</f>
        <v>11.935927831667</v>
      </c>
      <c r="BM80" s="14" t="n">
        <f aca="false">BL80*(2*($AI80/($AH80+273.15)))</f>
        <v>0.218728810272542</v>
      </c>
      <c r="BN80" s="14" t="n">
        <f aca="false">10^6/((AJ80+273.15)^2)</f>
        <v>11.9891461423486</v>
      </c>
      <c r="BO80" s="14" t="n">
        <f aca="false">BN80*(2*($AK80/($AJ80+273.15)))</f>
        <v>0.0486410589523378</v>
      </c>
    </row>
    <row r="81" s="14" customFormat="true" ht="16" hidden="false" customHeight="false" outlineLevel="0" collapsed="false">
      <c r="A81" s="22" t="s">
        <v>93</v>
      </c>
      <c r="B81" s="36" t="s">
        <v>699</v>
      </c>
      <c r="C81" s="14" t="s">
        <v>671</v>
      </c>
      <c r="D81" s="36" t="s">
        <v>699</v>
      </c>
      <c r="E81" s="34" t="s">
        <v>691</v>
      </c>
      <c r="F81" s="22" t="n">
        <v>37.86</v>
      </c>
      <c r="G81" s="22" t="n">
        <v>-30.3</v>
      </c>
      <c r="H81" s="22" t="s">
        <v>78</v>
      </c>
      <c r="I81" s="22" t="s">
        <v>605</v>
      </c>
      <c r="J81" s="22" t="n">
        <v>2036</v>
      </c>
      <c r="K81" s="35" t="s">
        <v>93</v>
      </c>
      <c r="L81" s="22" t="s">
        <v>96</v>
      </c>
      <c r="M81" s="22" t="s">
        <v>97</v>
      </c>
      <c r="N81" s="22" t="s">
        <v>98</v>
      </c>
      <c r="O81" s="22" t="s">
        <v>92</v>
      </c>
      <c r="P81" s="22" t="s">
        <v>92</v>
      </c>
      <c r="Q81" s="22" t="n">
        <v>4</v>
      </c>
      <c r="R81" s="35" t="s">
        <v>62</v>
      </c>
      <c r="S81" s="25" t="n">
        <v>35.9580540540541</v>
      </c>
      <c r="T81" s="22" t="n">
        <v>42.5485333333333</v>
      </c>
      <c r="U81" s="36" t="n">
        <v>4</v>
      </c>
      <c r="V81" s="48" t="n">
        <v>0.6415</v>
      </c>
      <c r="W81" s="48" t="n">
        <v>0.051254268114958</v>
      </c>
      <c r="X81" s="48" t="n">
        <v>0.025627134057479</v>
      </c>
      <c r="Y81" s="48" t="n">
        <v>0.9035</v>
      </c>
      <c r="Z81" s="48" t="n">
        <v>0.105762312128029</v>
      </c>
      <c r="AA81" s="48" t="n">
        <v>0.0528811560640146</v>
      </c>
      <c r="AB81" s="27" t="n">
        <v>0.824042408666667</v>
      </c>
      <c r="AC81" s="27" t="n">
        <v>0.240500819750301</v>
      </c>
      <c r="AD81" s="27" t="n">
        <v>0.203160851877902</v>
      </c>
      <c r="AE81" s="55" t="n">
        <v>0.6224</v>
      </c>
      <c r="AF81" s="55" t="n">
        <v>0.0073</v>
      </c>
      <c r="AG81" s="61" t="n">
        <f aca="false">AF81*SQRT(U81)</f>
        <v>0.0146</v>
      </c>
      <c r="AH81" s="29" t="n">
        <v>16.2989029497714</v>
      </c>
      <c r="AI81" s="27" t="n">
        <v>2.65211113328482</v>
      </c>
      <c r="AJ81" s="27" t="n">
        <f aca="false">VLOOKUP(B81,proft,2,0)</f>
        <v>14.0652958761375</v>
      </c>
      <c r="AK81" s="27" t="n">
        <f aca="false">VLOOKUP(B81,proft,3,0)</f>
        <v>1.89898655346832</v>
      </c>
      <c r="AL81" s="27" t="s">
        <v>63</v>
      </c>
      <c r="BB81" s="30" t="n">
        <v>15.9205</v>
      </c>
      <c r="BC81" s="30" t="n">
        <v>2.215</v>
      </c>
      <c r="BD81" s="30" t="n">
        <v>0.02215</v>
      </c>
      <c r="BE81" s="31" t="n">
        <v>15.9205</v>
      </c>
      <c r="BF81" s="31" t="n">
        <v>2.215</v>
      </c>
      <c r="BG81" s="31" t="n">
        <v>0.02215</v>
      </c>
      <c r="BH81" s="14" t="n">
        <f aca="false">10^6/((BB81+273.15)^2)</f>
        <v>11.9671973419326</v>
      </c>
      <c r="BI81" s="14" t="n">
        <f aca="false">BH81*(2*($BF81/($BE81+273.15)))</f>
        <v>0.183397075193634</v>
      </c>
      <c r="BJ81" s="14" t="n">
        <f aca="false">BH81*(2*($BG81/($BE81+273.15)))</f>
        <v>0.00183397075193634</v>
      </c>
      <c r="BL81" s="14" t="n">
        <f aca="false">10^6/((AH81+273.15)^2)</f>
        <v>11.935927831667</v>
      </c>
      <c r="BM81" s="14" t="n">
        <f aca="false">BL81*(2*($AI81/($AH81+273.15)))</f>
        <v>0.218728810272542</v>
      </c>
      <c r="BN81" s="14" t="n">
        <f aca="false">10^6/((AJ81+273.15)^2)</f>
        <v>12.1222956068188</v>
      </c>
      <c r="BO81" s="14" t="n">
        <f aca="false">BN81*(2*($AK81/($AJ81+273.15)))</f>
        <v>0.160298401130032</v>
      </c>
    </row>
    <row r="82" s="14" customFormat="true" ht="16" hidden="false" customHeight="false" outlineLevel="0" collapsed="false">
      <c r="A82" s="22" t="s">
        <v>93</v>
      </c>
      <c r="B82" s="36" t="s">
        <v>700</v>
      </c>
      <c r="C82" s="14" t="s">
        <v>671</v>
      </c>
      <c r="D82" s="36" t="s">
        <v>700</v>
      </c>
      <c r="E82" s="34" t="s">
        <v>691</v>
      </c>
      <c r="F82" s="22" t="n">
        <v>37.86</v>
      </c>
      <c r="G82" s="22" t="n">
        <v>-30.3</v>
      </c>
      <c r="H82" s="22" t="s">
        <v>78</v>
      </c>
      <c r="I82" s="22" t="s">
        <v>605</v>
      </c>
      <c r="J82" s="22" t="n">
        <v>2036</v>
      </c>
      <c r="K82" s="35" t="s">
        <v>93</v>
      </c>
      <c r="L82" s="22" t="s">
        <v>96</v>
      </c>
      <c r="M82" s="22" t="s">
        <v>97</v>
      </c>
      <c r="N82" s="22" t="s">
        <v>98</v>
      </c>
      <c r="O82" s="22" t="s">
        <v>92</v>
      </c>
      <c r="P82" s="22" t="s">
        <v>92</v>
      </c>
      <c r="Q82" s="22" t="n">
        <v>4</v>
      </c>
      <c r="R82" s="35" t="s">
        <v>62</v>
      </c>
      <c r="S82" s="25" t="n">
        <v>35.9580540540541</v>
      </c>
      <c r="T82" s="22" t="n">
        <v>28.0895</v>
      </c>
      <c r="U82" s="36" t="n">
        <v>4</v>
      </c>
      <c r="V82" s="48" t="n">
        <v>0.52925</v>
      </c>
      <c r="W82" s="48" t="n">
        <v>0.433310800696221</v>
      </c>
      <c r="X82" s="48" t="n">
        <v>0.21665540034811</v>
      </c>
      <c r="Y82" s="48" t="n">
        <v>1.41375</v>
      </c>
      <c r="Z82" s="48" t="n">
        <v>0.449855069253791</v>
      </c>
      <c r="AA82" s="48" t="n">
        <v>0.224927534626895</v>
      </c>
      <c r="AB82" s="27" t="n">
        <v>0.824042408666667</v>
      </c>
      <c r="AC82" s="27" t="n">
        <v>0.240500819750301</v>
      </c>
      <c r="AD82" s="27" t="n">
        <v>0.203160851877902</v>
      </c>
      <c r="AE82" s="55" t="n">
        <v>0.6376</v>
      </c>
      <c r="AF82" s="55" t="n">
        <v>0.0074</v>
      </c>
      <c r="AG82" s="61" t="n">
        <f aca="false">AF82*SQRT(U82)</f>
        <v>0.0148</v>
      </c>
      <c r="AH82" s="29" t="n">
        <v>16.2989029497714</v>
      </c>
      <c r="AI82" s="27" t="n">
        <v>2.65211113328482</v>
      </c>
      <c r="AJ82" s="27" t="n">
        <f aca="false">VLOOKUP(B82,proft,2,0)</f>
        <v>10.8304141955222</v>
      </c>
      <c r="AK82" s="27" t="n">
        <f aca="false">VLOOKUP(B82,proft,3,0)</f>
        <v>1.75624503202816</v>
      </c>
      <c r="AL82" s="27" t="s">
        <v>63</v>
      </c>
      <c r="BB82" s="30" t="n">
        <v>13.9297</v>
      </c>
      <c r="BC82" s="30" t="n">
        <v>2.201</v>
      </c>
      <c r="BD82" s="30" t="n">
        <v>0.02201</v>
      </c>
      <c r="BE82" s="31" t="n">
        <v>13.9297</v>
      </c>
      <c r="BF82" s="31" t="n">
        <v>2.201</v>
      </c>
      <c r="BG82" s="31" t="n">
        <v>0.02201</v>
      </c>
      <c r="BH82" s="14" t="n">
        <f aca="false">10^6/((BB82+273.15)^2)</f>
        <v>12.1337497185829</v>
      </c>
      <c r="BI82" s="14" t="n">
        <f aca="false">BH82*(2*($BF82/($BE82+273.15)))</f>
        <v>0.186055531830366</v>
      </c>
      <c r="BJ82" s="14" t="n">
        <f aca="false">BH82*(2*($BG82/($BE82+273.15)))</f>
        <v>0.00186055531830366</v>
      </c>
      <c r="BL82" s="14" t="n">
        <f aca="false">10^6/((AH82+273.15)^2)</f>
        <v>11.935927831667</v>
      </c>
      <c r="BM82" s="14" t="n">
        <f aca="false">BL82*(2*($AI82/($AH82+273.15)))</f>
        <v>0.218728810272542</v>
      </c>
      <c r="BN82" s="14" t="n">
        <f aca="false">10^6/((AJ82+273.15)^2)</f>
        <v>12.4000439207251</v>
      </c>
      <c r="BO82" s="14" t="n">
        <f aca="false">BN82*(2*($AK82/($AJ82+273.15)))</f>
        <v>0.153373362697545</v>
      </c>
    </row>
    <row r="83" s="14" customFormat="true" ht="16" hidden="false" customHeight="false" outlineLevel="0" collapsed="false">
      <c r="A83" s="22" t="s">
        <v>93</v>
      </c>
      <c r="B83" s="36" t="s">
        <v>701</v>
      </c>
      <c r="C83" s="14" t="s">
        <v>671</v>
      </c>
      <c r="D83" s="36" t="s">
        <v>701</v>
      </c>
      <c r="E83" s="34" t="s">
        <v>691</v>
      </c>
      <c r="F83" s="22" t="n">
        <v>37.86</v>
      </c>
      <c r="G83" s="22" t="n">
        <v>-30.3</v>
      </c>
      <c r="H83" s="22" t="s">
        <v>78</v>
      </c>
      <c r="I83" s="22" t="s">
        <v>605</v>
      </c>
      <c r="J83" s="22" t="n">
        <v>2036</v>
      </c>
      <c r="K83" s="35" t="s">
        <v>93</v>
      </c>
      <c r="L83" s="22" t="s">
        <v>96</v>
      </c>
      <c r="M83" s="22" t="s">
        <v>97</v>
      </c>
      <c r="N83" s="22" t="s">
        <v>98</v>
      </c>
      <c r="O83" s="22" t="s">
        <v>92</v>
      </c>
      <c r="P83" s="22" t="s">
        <v>92</v>
      </c>
      <c r="Q83" s="22" t="n">
        <v>4</v>
      </c>
      <c r="R83" s="35" t="s">
        <v>62</v>
      </c>
      <c r="S83" s="25" t="n">
        <v>35.9580540540541</v>
      </c>
      <c r="T83" s="22" t="n">
        <v>47.2254238410596</v>
      </c>
      <c r="U83" s="36" t="n">
        <v>4</v>
      </c>
      <c r="V83" s="48" t="n">
        <v>0.841</v>
      </c>
      <c r="W83" s="48" t="n">
        <v>0.0639009650422694</v>
      </c>
      <c r="X83" s="48" t="n">
        <v>0.0319504825211347</v>
      </c>
      <c r="Y83" s="48" t="n">
        <v>1.12475</v>
      </c>
      <c r="Z83" s="48" t="n">
        <v>0.139165069851118</v>
      </c>
      <c r="AA83" s="48" t="n">
        <v>0.0695825349255589</v>
      </c>
      <c r="AB83" s="27" t="n">
        <v>0.824042408666667</v>
      </c>
      <c r="AC83" s="27" t="n">
        <v>0.240500819750301</v>
      </c>
      <c r="AD83" s="27" t="n">
        <v>0.203160851877902</v>
      </c>
      <c r="AE83" s="55" t="n">
        <v>0.6286</v>
      </c>
      <c r="AF83" s="55" t="n">
        <v>0.0074</v>
      </c>
      <c r="AG83" s="61" t="n">
        <f aca="false">AF83*SQRT(U83)</f>
        <v>0.0148</v>
      </c>
      <c r="AH83" s="29" t="n">
        <v>16.2989029497714</v>
      </c>
      <c r="AI83" s="27" t="n">
        <v>2.65211113328482</v>
      </c>
      <c r="AJ83" s="27" t="n">
        <f aca="false">VLOOKUP(B83,proft,2,0)</f>
        <v>12.7683667408517</v>
      </c>
      <c r="AK83" s="27" t="n">
        <f aca="false">VLOOKUP(B83,proft,3,0)</f>
        <v>2.01925461943496</v>
      </c>
      <c r="AL83" s="27" t="s">
        <v>63</v>
      </c>
      <c r="BB83" s="30" t="n">
        <v>15.0597</v>
      </c>
      <c r="BC83" s="30" t="n">
        <v>2.228</v>
      </c>
      <c r="BD83" s="30" t="n">
        <v>0.02228</v>
      </c>
      <c r="BE83" s="31" t="n">
        <v>15.0597</v>
      </c>
      <c r="BF83" s="31" t="n">
        <v>2.228</v>
      </c>
      <c r="BG83" s="31" t="n">
        <v>0.02228</v>
      </c>
      <c r="BH83" s="14" t="n">
        <f aca="false">10^6/((BB83+273.15)^2)</f>
        <v>12.0387892910318</v>
      </c>
      <c r="BI83" s="14" t="n">
        <f aca="false">BH83*(2*($BF83/($BE83+273.15)))</f>
        <v>0.1861312963472</v>
      </c>
      <c r="BJ83" s="14" t="n">
        <f aca="false">BH83*(2*($BG83/($BE83+273.15)))</f>
        <v>0.00186131296347201</v>
      </c>
      <c r="BL83" s="14" t="n">
        <f aca="false">10^6/((AH83+273.15)^2)</f>
        <v>11.935927831667</v>
      </c>
      <c r="BM83" s="14" t="n">
        <f aca="false">BL83*(2*($AI83/($AH83+273.15)))</f>
        <v>0.218728810272542</v>
      </c>
      <c r="BN83" s="14" t="n">
        <f aca="false">10^6/((AJ83+273.15)^2)</f>
        <v>12.2325187840196</v>
      </c>
      <c r="BO83" s="14" t="n">
        <f aca="false">BN83*(2*($AK83/($AJ83+273.15)))</f>
        <v>0.172780576102999</v>
      </c>
    </row>
    <row r="84" s="14" customFormat="true" ht="16" hidden="false" customHeight="false" outlineLevel="0" collapsed="false">
      <c r="A84" s="22" t="s">
        <v>93</v>
      </c>
      <c r="B84" s="36" t="s">
        <v>702</v>
      </c>
      <c r="C84" s="14" t="s">
        <v>671</v>
      </c>
      <c r="D84" s="36" t="s">
        <v>702</v>
      </c>
      <c r="E84" s="34" t="s">
        <v>691</v>
      </c>
      <c r="F84" s="22" t="n">
        <v>37.86</v>
      </c>
      <c r="G84" s="22" t="n">
        <v>-30.3</v>
      </c>
      <c r="H84" s="22" t="s">
        <v>78</v>
      </c>
      <c r="I84" s="22" t="s">
        <v>605</v>
      </c>
      <c r="J84" s="22" t="n">
        <v>2036</v>
      </c>
      <c r="K84" s="35" t="s">
        <v>93</v>
      </c>
      <c r="L84" s="22" t="s">
        <v>96</v>
      </c>
      <c r="M84" s="22" t="s">
        <v>97</v>
      </c>
      <c r="N84" s="22" t="s">
        <v>98</v>
      </c>
      <c r="O84" s="22" t="s">
        <v>92</v>
      </c>
      <c r="P84" s="22" t="s">
        <v>92</v>
      </c>
      <c r="Q84" s="22" t="n">
        <v>4</v>
      </c>
      <c r="R84" s="35" t="s">
        <v>62</v>
      </c>
      <c r="S84" s="25" t="n">
        <v>35.9580540540541</v>
      </c>
      <c r="T84" s="22" t="n">
        <v>47.2254238410596</v>
      </c>
      <c r="U84" s="36" t="n">
        <v>4</v>
      </c>
      <c r="V84" s="48" t="n">
        <v>0.8795</v>
      </c>
      <c r="W84" s="48" t="n">
        <v>0.0677273947527882</v>
      </c>
      <c r="X84" s="48" t="n">
        <v>0.0338636973763941</v>
      </c>
      <c r="Y84" s="48" t="n">
        <v>1.02025</v>
      </c>
      <c r="Z84" s="48" t="n">
        <v>0.101578787155587</v>
      </c>
      <c r="AA84" s="48" t="n">
        <v>0.0507893935777934</v>
      </c>
      <c r="AB84" s="27" t="n">
        <v>0.824042408666667</v>
      </c>
      <c r="AC84" s="27" t="n">
        <v>0.240500819750301</v>
      </c>
      <c r="AD84" s="27" t="n">
        <v>0.203160851877902</v>
      </c>
      <c r="AE84" s="55" t="n">
        <v>0.6219</v>
      </c>
      <c r="AF84" s="55" t="n">
        <v>0.0073</v>
      </c>
      <c r="AG84" s="61" t="n">
        <f aca="false">AF84*SQRT(U84)</f>
        <v>0.0146</v>
      </c>
      <c r="AH84" s="29" t="n">
        <v>16.2989029497714</v>
      </c>
      <c r="AI84" s="27" t="n">
        <v>2.65211113328482</v>
      </c>
      <c r="AJ84" s="27" t="n">
        <f aca="false">VLOOKUP(B84,proft,2,0)</f>
        <v>13.3901062911485</v>
      </c>
      <c r="AK84" s="27" t="n">
        <f aca="false">VLOOKUP(B84,proft,3,0)</f>
        <v>0.498902986573574</v>
      </c>
      <c r="AL84" s="27" t="s">
        <v>63</v>
      </c>
      <c r="BB84" s="30" t="n">
        <v>15.4662</v>
      </c>
      <c r="BC84" s="30" t="n">
        <v>2.238</v>
      </c>
      <c r="BD84" s="30" t="n">
        <v>0.02238</v>
      </c>
      <c r="BE84" s="31" t="n">
        <v>15.4662</v>
      </c>
      <c r="BF84" s="31" t="n">
        <v>2.238</v>
      </c>
      <c r="BG84" s="31" t="n">
        <v>0.02238</v>
      </c>
      <c r="BH84" s="14" t="n">
        <f aca="false">10^6/((BB84+273.15)^2)</f>
        <v>12.0049012310702</v>
      </c>
      <c r="BI84" s="14" t="n">
        <f aca="false">BH84*(2*($BF84/($BE84+273.15)))</f>
        <v>0.186177830316767</v>
      </c>
      <c r="BJ84" s="14" t="n">
        <f aca="false">BH84*(2*($BG84/($BE84+273.15)))</f>
        <v>0.00186177830316767</v>
      </c>
      <c r="BL84" s="14" t="n">
        <f aca="false">10^6/((AH84+273.15)^2)</f>
        <v>11.935927831667</v>
      </c>
      <c r="BM84" s="14" t="n">
        <f aca="false">BL84*(2*($AI84/($AH84+273.15)))</f>
        <v>0.218728810272542</v>
      </c>
      <c r="BN84" s="14" t="n">
        <f aca="false">10^6/((AJ84+273.15)^2)</f>
        <v>12.1794917252989</v>
      </c>
      <c r="BO84" s="14" t="n">
        <f aca="false">BN84*(2*($AK84/($AJ84+273.15)))</f>
        <v>0.0424121068101067</v>
      </c>
    </row>
    <row r="85" s="14" customFormat="true" ht="16" hidden="false" customHeight="false" outlineLevel="0" collapsed="false">
      <c r="A85" s="22" t="s">
        <v>93</v>
      </c>
      <c r="B85" s="36" t="s">
        <v>703</v>
      </c>
      <c r="C85" s="14" t="s">
        <v>671</v>
      </c>
      <c r="D85" s="36" t="s">
        <v>703</v>
      </c>
      <c r="E85" s="34" t="s">
        <v>691</v>
      </c>
      <c r="F85" s="22" t="n">
        <v>37.86</v>
      </c>
      <c r="G85" s="22" t="n">
        <v>-30.3</v>
      </c>
      <c r="H85" s="22" t="s">
        <v>78</v>
      </c>
      <c r="I85" s="22" t="s">
        <v>605</v>
      </c>
      <c r="J85" s="22" t="n">
        <v>2036</v>
      </c>
      <c r="K85" s="35" t="s">
        <v>93</v>
      </c>
      <c r="L85" s="22" t="s">
        <v>96</v>
      </c>
      <c r="M85" s="22" t="s">
        <v>97</v>
      </c>
      <c r="N85" s="22" t="s">
        <v>98</v>
      </c>
      <c r="O85" s="22" t="s">
        <v>92</v>
      </c>
      <c r="P85" s="22" t="s">
        <v>92</v>
      </c>
      <c r="Q85" s="22" t="n">
        <v>4</v>
      </c>
      <c r="R85" s="35" t="s">
        <v>62</v>
      </c>
      <c r="S85" s="25" t="n">
        <v>35.9580540540541</v>
      </c>
      <c r="T85" s="22" t="n">
        <v>47.2254238410596</v>
      </c>
      <c r="U85" s="36" t="n">
        <v>3</v>
      </c>
      <c r="V85" s="48" t="n">
        <v>1.008</v>
      </c>
      <c r="W85" s="48" t="n">
        <v>0.0206639783197719</v>
      </c>
      <c r="X85" s="48" t="n">
        <v>0.0119303534454489</v>
      </c>
      <c r="Y85" s="48" t="n">
        <v>1.16166666666667</v>
      </c>
      <c r="Z85" s="48" t="n">
        <v>0.0568975687822717</v>
      </c>
      <c r="AA85" s="48" t="n">
        <v>0.0328498266526798</v>
      </c>
      <c r="AB85" s="27" t="n">
        <v>0.824042408666667</v>
      </c>
      <c r="AC85" s="27" t="n">
        <v>0.240500819750301</v>
      </c>
      <c r="AD85" s="27" t="n">
        <v>0.203160851877902</v>
      </c>
      <c r="AE85" s="55" t="n">
        <v>0.6247</v>
      </c>
      <c r="AF85" s="55" t="n">
        <v>0.0085</v>
      </c>
      <c r="AG85" s="61" t="n">
        <f aca="false">AF85*SQRT(U85)</f>
        <v>0.0147224318643355</v>
      </c>
      <c r="AH85" s="29" t="n">
        <v>16.2989029497714</v>
      </c>
      <c r="AI85" s="27" t="n">
        <v>2.65211113328482</v>
      </c>
      <c r="AJ85" s="27" t="n">
        <f aca="false">VLOOKUP(B85,proft,2,0)</f>
        <v>12.4938006710997</v>
      </c>
      <c r="AK85" s="27" t="n">
        <f aca="false">VLOOKUP(B85,proft,3,0)</f>
        <v>1.58298768569112</v>
      </c>
      <c r="AL85" s="27" t="s">
        <v>63</v>
      </c>
      <c r="BB85" s="30" t="n">
        <v>14.9064</v>
      </c>
      <c r="BC85" s="30" t="n">
        <v>2.224</v>
      </c>
      <c r="BD85" s="30" t="n">
        <v>0.02224</v>
      </c>
      <c r="BE85" s="31" t="n">
        <v>14.9064</v>
      </c>
      <c r="BF85" s="31" t="n">
        <v>2.224</v>
      </c>
      <c r="BG85" s="31" t="n">
        <v>0.02224</v>
      </c>
      <c r="BH85" s="14" t="n">
        <f aca="false">10^6/((BB85+273.15)^2)</f>
        <v>12.0516064857661</v>
      </c>
      <c r="BI85" s="14" t="n">
        <f aca="false">BH85*(2*($BF85/($BE85+273.15)))</f>
        <v>0.18609392344238</v>
      </c>
      <c r="BJ85" s="14" t="n">
        <f aca="false">BH85*(2*($BG85/($BE85+273.15)))</f>
        <v>0.0018609392344238</v>
      </c>
      <c r="BL85" s="14" t="n">
        <f aca="false">10^6/((AH85+273.15)^2)</f>
        <v>11.935927831667</v>
      </c>
      <c r="BM85" s="14" t="n">
        <f aca="false">BL85*(2*($AI85/($AH85+273.15)))</f>
        <v>0.218728810272542</v>
      </c>
      <c r="BN85" s="14" t="n">
        <f aca="false">10^6/((AJ85+273.15)^2)</f>
        <v>12.2560463297842</v>
      </c>
      <c r="BO85" s="14" t="n">
        <f aca="false">BN85*(2*($AK85/($AJ85+273.15)))</f>
        <v>0.135841704736645</v>
      </c>
    </row>
    <row r="86" s="14" customFormat="true" ht="16" hidden="false" customHeight="false" outlineLevel="0" collapsed="false">
      <c r="A86" s="22" t="s">
        <v>542</v>
      </c>
      <c r="B86" s="36" t="s">
        <v>711</v>
      </c>
      <c r="C86" s="14" t="s">
        <v>671</v>
      </c>
      <c r="D86" s="36" t="s">
        <v>711</v>
      </c>
      <c r="E86" s="34" t="s">
        <v>691</v>
      </c>
      <c r="F86" s="22" t="n">
        <v>37.86</v>
      </c>
      <c r="G86" s="22" t="n">
        <v>-30.3</v>
      </c>
      <c r="H86" s="22" t="s">
        <v>78</v>
      </c>
      <c r="I86" s="22" t="s">
        <v>605</v>
      </c>
      <c r="J86" s="22" t="n">
        <v>2036</v>
      </c>
      <c r="K86" s="35" t="s">
        <v>542</v>
      </c>
      <c r="L86" s="22" t="s">
        <v>58</v>
      </c>
      <c r="M86" s="22" t="s">
        <v>546</v>
      </c>
      <c r="N86" s="22" t="s">
        <v>547</v>
      </c>
      <c r="O86" s="22" t="s">
        <v>485</v>
      </c>
      <c r="P86" s="22" t="s">
        <v>61</v>
      </c>
      <c r="Q86" s="22" t="n">
        <v>3</v>
      </c>
      <c r="R86" s="35" t="s">
        <v>83</v>
      </c>
      <c r="S86" s="25" t="n">
        <v>35.7491538461538</v>
      </c>
      <c r="T86" s="22" t="n">
        <v>46.7000857142857</v>
      </c>
      <c r="U86" s="36" t="n">
        <v>16</v>
      </c>
      <c r="V86" s="48" t="n">
        <v>0.9530625</v>
      </c>
      <c r="W86" s="48" t="n">
        <v>0.0567491189358919</v>
      </c>
      <c r="X86" s="48" t="n">
        <v>0.014187279733973</v>
      </c>
      <c r="Y86" s="48" t="n">
        <v>1.016375</v>
      </c>
      <c r="Z86" s="48" t="n">
        <v>0.0911634978120812</v>
      </c>
      <c r="AA86" s="48" t="n">
        <v>0.0227908744530203</v>
      </c>
      <c r="AB86" s="27" t="n">
        <v>0.702278818</v>
      </c>
      <c r="AC86" s="27" t="n">
        <v>0.220904230077998</v>
      </c>
      <c r="AD86" s="27" t="n">
        <v>0.204351989893102</v>
      </c>
      <c r="AE86" s="55" t="n">
        <v>0.6299</v>
      </c>
      <c r="AF86" s="55" t="n">
        <v>0.0041</v>
      </c>
      <c r="AG86" s="61" t="n">
        <f aca="false">AF86*SQRT(U86)</f>
        <v>0.0164</v>
      </c>
      <c r="AH86" s="29" t="n">
        <v>13.2224457080548</v>
      </c>
      <c r="AI86" s="27" t="n">
        <v>0.976959504030841</v>
      </c>
      <c r="AJ86" s="27" t="n">
        <f aca="false">VLOOKUP(B86,proft,2,0)</f>
        <v>13.2296699793709</v>
      </c>
      <c r="AK86" s="27" t="n">
        <f aca="false">VLOOKUP(B86,proft,3,0)</f>
        <v>0.704838731943063</v>
      </c>
      <c r="AL86" s="27" t="s">
        <v>63</v>
      </c>
      <c r="BB86" s="30" t="n">
        <v>14.9812</v>
      </c>
      <c r="BC86" s="30" t="n">
        <v>2.238</v>
      </c>
      <c r="BD86" s="30" t="n">
        <v>0.02238</v>
      </c>
      <c r="BE86" s="31" t="n">
        <v>14.9812</v>
      </c>
      <c r="BF86" s="31" t="n">
        <v>2.238</v>
      </c>
      <c r="BG86" s="31" t="n">
        <v>0.02238</v>
      </c>
      <c r="BH86" s="14" t="n">
        <f aca="false">10^6/((BB86+273.15)^2)</f>
        <v>12.045350008482</v>
      </c>
      <c r="BI86" s="14" t="n">
        <f aca="false">BH86*(2*($BF86/($BE86+273.15)))</f>
        <v>0.187119571354874</v>
      </c>
      <c r="BJ86" s="14" t="n">
        <f aca="false">BH86*(2*($BG86/($BE86+273.15)))</f>
        <v>0.00187119571354874</v>
      </c>
      <c r="BL86" s="14" t="n">
        <f aca="false">10^6/((AH86+273.15)^2)</f>
        <v>12.1937571930786</v>
      </c>
      <c r="BM86" s="14" t="n">
        <f aca="false">BL86*(2*($AI86/($AH86+273.15)))</f>
        <v>0.0831979972805571</v>
      </c>
      <c r="BN86" s="14" t="n">
        <f aca="false">10^6/((AJ86+273.15)^2)</f>
        <v>12.1931419964815</v>
      </c>
      <c r="BO86" s="14" t="n">
        <f aca="false">BN86*(2*($AK86/($AJ86+273.15)))</f>
        <v>0.0600196148268544</v>
      </c>
    </row>
    <row r="87" s="14" customFormat="true" ht="16" hidden="false" customHeight="false" outlineLevel="0" collapsed="false">
      <c r="A87" s="22" t="s">
        <v>542</v>
      </c>
      <c r="B87" s="36" t="s">
        <v>711</v>
      </c>
      <c r="C87" s="14" t="s">
        <v>671</v>
      </c>
      <c r="D87" s="36" t="s">
        <v>711</v>
      </c>
      <c r="E87" s="34" t="s">
        <v>691</v>
      </c>
      <c r="F87" s="22" t="n">
        <v>37.86</v>
      </c>
      <c r="G87" s="22" t="n">
        <v>-30.3</v>
      </c>
      <c r="H87" s="22" t="s">
        <v>78</v>
      </c>
      <c r="I87" s="22" t="s">
        <v>605</v>
      </c>
      <c r="J87" s="22" t="n">
        <v>2036</v>
      </c>
      <c r="K87" s="35" t="s">
        <v>542</v>
      </c>
      <c r="L87" s="22" t="s">
        <v>58</v>
      </c>
      <c r="M87" s="22" t="s">
        <v>546</v>
      </c>
      <c r="N87" s="22" t="s">
        <v>547</v>
      </c>
      <c r="O87" s="22" t="s">
        <v>485</v>
      </c>
      <c r="P87" s="22" t="s">
        <v>61</v>
      </c>
      <c r="Q87" s="22" t="n">
        <v>3</v>
      </c>
      <c r="R87" s="35" t="s">
        <v>83</v>
      </c>
      <c r="S87" s="25" t="n">
        <v>35.7491538461538</v>
      </c>
      <c r="T87" s="22" t="n">
        <v>46.7000857142857</v>
      </c>
      <c r="U87" s="36" t="n">
        <v>12</v>
      </c>
      <c r="V87" s="48" t="n">
        <v>1.02825</v>
      </c>
      <c r="W87" s="48" t="n">
        <v>0.104145985825841</v>
      </c>
      <c r="X87" s="48" t="n">
        <v>0.0300643564757842</v>
      </c>
      <c r="Y87" s="48" t="n">
        <v>1.0465</v>
      </c>
      <c r="Z87" s="48" t="n">
        <v>0.0854458893101359</v>
      </c>
      <c r="AA87" s="48" t="n">
        <v>0.024666103597177</v>
      </c>
      <c r="AB87" s="27" t="n">
        <v>0.702278818</v>
      </c>
      <c r="AC87" s="27" t="n">
        <v>0.220904230077998</v>
      </c>
      <c r="AD87" s="27" t="n">
        <v>0.204351989893102</v>
      </c>
      <c r="AE87" s="55" t="n">
        <v>0.6355</v>
      </c>
      <c r="AF87" s="55" t="n">
        <v>0.0046</v>
      </c>
      <c r="AG87" s="61" t="n">
        <f aca="false">AF87*SQRT(U87)</f>
        <v>0.0159348674296337</v>
      </c>
      <c r="AH87" s="29" t="n">
        <v>13.2224457080548</v>
      </c>
      <c r="AI87" s="27" t="n">
        <v>0.976959504030841</v>
      </c>
      <c r="AJ87" s="27" t="n">
        <f aca="false">VLOOKUP(B87,proft,2,0)</f>
        <v>13.2296699793709</v>
      </c>
      <c r="AK87" s="27" t="n">
        <f aca="false">VLOOKUP(B87,proft,3,0)</f>
        <v>0.704838731943063</v>
      </c>
      <c r="AL87" s="27" t="s">
        <v>63</v>
      </c>
      <c r="BB87" s="30" t="n">
        <v>14.9812</v>
      </c>
      <c r="BC87" s="30" t="n">
        <v>2.238</v>
      </c>
      <c r="BD87" s="30" t="n">
        <v>0.02238</v>
      </c>
      <c r="BE87" s="31" t="n">
        <v>14.9812</v>
      </c>
      <c r="BF87" s="31" t="n">
        <v>2.238</v>
      </c>
      <c r="BG87" s="31" t="n">
        <v>0.02238</v>
      </c>
      <c r="BH87" s="14" t="n">
        <f aca="false">10^6/((BB87+273.15)^2)</f>
        <v>12.045350008482</v>
      </c>
      <c r="BI87" s="14" t="n">
        <f aca="false">BH87*(2*($BF87/($BE87+273.15)))</f>
        <v>0.187119571354874</v>
      </c>
      <c r="BJ87" s="14" t="n">
        <f aca="false">BH87*(2*($BG87/($BE87+273.15)))</f>
        <v>0.00187119571354874</v>
      </c>
      <c r="BL87" s="14" t="n">
        <f aca="false">10^6/((AH87+273.15)^2)</f>
        <v>12.1937571930786</v>
      </c>
      <c r="BM87" s="14" t="n">
        <f aca="false">BL87*(2*($AI87/($AH87+273.15)))</f>
        <v>0.0831979972805571</v>
      </c>
      <c r="BN87" s="14" t="n">
        <f aca="false">10^6/((AJ87+273.15)^2)</f>
        <v>12.1931419964815</v>
      </c>
      <c r="BO87" s="14" t="n">
        <f aca="false">BN87*(2*($AK87/($AJ87+273.15)))</f>
        <v>0.0600196148268544</v>
      </c>
    </row>
    <row r="88" s="14" customFormat="true" ht="16" hidden="false" customHeight="false" outlineLevel="0" collapsed="false">
      <c r="A88" s="22" t="s">
        <v>51</v>
      </c>
      <c r="B88" s="36" t="s">
        <v>709</v>
      </c>
      <c r="C88" s="14" t="s">
        <v>671</v>
      </c>
      <c r="D88" s="36" t="s">
        <v>709</v>
      </c>
      <c r="E88" s="34" t="s">
        <v>689</v>
      </c>
      <c r="F88" s="22" t="n">
        <v>28.84</v>
      </c>
      <c r="G88" s="22" t="n">
        <v>-86.67</v>
      </c>
      <c r="H88" s="22" t="s">
        <v>158</v>
      </c>
      <c r="I88" s="22" t="s">
        <v>159</v>
      </c>
      <c r="J88" s="22" t="n">
        <v>4076</v>
      </c>
      <c r="K88" s="35" t="s">
        <v>51</v>
      </c>
      <c r="L88" s="22" t="s">
        <v>58</v>
      </c>
      <c r="M88" s="22" t="s">
        <v>59</v>
      </c>
      <c r="N88" s="22" t="s">
        <v>60</v>
      </c>
      <c r="O88" s="22" t="s">
        <v>61</v>
      </c>
      <c r="P88" s="22" t="s">
        <v>61</v>
      </c>
      <c r="Q88" s="22" t="n">
        <v>3</v>
      </c>
      <c r="R88" s="35" t="s">
        <v>62</v>
      </c>
      <c r="S88" s="25" t="n">
        <v>36.3223529411765</v>
      </c>
      <c r="T88" s="22" t="n">
        <v>47.2254238410596</v>
      </c>
      <c r="U88" s="36" t="n">
        <v>8</v>
      </c>
      <c r="V88" s="48" t="n">
        <v>1.792625</v>
      </c>
      <c r="W88" s="48" t="n">
        <v>0.0612184320982776</v>
      </c>
      <c r="X88" s="48" t="n">
        <v>0.0216439842351502</v>
      </c>
      <c r="Y88" s="48" t="n">
        <v>-0.005625</v>
      </c>
      <c r="Z88" s="48" t="n">
        <v>0.161162684000626</v>
      </c>
      <c r="AA88" s="48" t="n">
        <v>0.0569796133655338</v>
      </c>
      <c r="AB88" s="27" t="n">
        <v>0.89004892</v>
      </c>
      <c r="AC88" s="27" t="n">
        <v>0.210151476152134</v>
      </c>
      <c r="AD88" s="27" t="n">
        <v>0.202071097848713</v>
      </c>
      <c r="AE88" s="55" t="n">
        <v>0.6093</v>
      </c>
      <c r="AF88" s="55" t="n">
        <v>0.0054</v>
      </c>
      <c r="AG88" s="61" t="n">
        <f aca="false">AF88*SQRT(U88)</f>
        <v>0.0152735064736294</v>
      </c>
      <c r="AH88" s="29" t="n">
        <v>23.9880253286923</v>
      </c>
      <c r="AI88" s="27" t="n">
        <v>0.895109418414241</v>
      </c>
      <c r="AJ88" s="27" t="n">
        <f aca="false">VLOOKUP(B88,proft,2,0)</f>
        <v>19.3876603800293</v>
      </c>
      <c r="AK88" s="27" t="n">
        <f aca="false">VLOOKUP(B88,proft,3,0)</f>
        <v>0.814079811332241</v>
      </c>
      <c r="AL88" s="27" t="s">
        <v>63</v>
      </c>
      <c r="BB88" s="30" t="n">
        <v>19.6698</v>
      </c>
      <c r="BC88" s="30" t="n">
        <v>2.266</v>
      </c>
      <c r="BD88" s="30" t="n">
        <v>0.02266</v>
      </c>
      <c r="BE88" s="31" t="n">
        <v>19.6698</v>
      </c>
      <c r="BF88" s="31" t="n">
        <v>2.266</v>
      </c>
      <c r="BG88" s="31" t="n">
        <v>0.02266</v>
      </c>
      <c r="BH88" s="14" t="n">
        <f aca="false">10^6/((BB88+273.15)^2)</f>
        <v>11.6627004368005</v>
      </c>
      <c r="BI88" s="14" t="n">
        <f aca="false">BH88*(2*($BF88/($BE88+273.15)))</f>
        <v>0.180504728094139</v>
      </c>
      <c r="BJ88" s="14" t="n">
        <f aca="false">BH88*(2*($BG88/($BE88+273.15)))</f>
        <v>0.00180504728094139</v>
      </c>
      <c r="BL88" s="14" t="n">
        <f aca="false">10^6/((AH88+273.15)^2)</f>
        <v>11.3261819545926</v>
      </c>
      <c r="BM88" s="14" t="n">
        <f aca="false">BL88*(2*($AI88/($AH88+273.15)))</f>
        <v>0.068238806736462</v>
      </c>
      <c r="BN88" s="14" t="n">
        <f aca="false">10^6/((AJ88+273.15)^2)</f>
        <v>11.685207601453</v>
      </c>
      <c r="BO88" s="14" t="n">
        <f aca="false">BN88*(2*($AK88/($AJ88+273.15)))</f>
        <v>0.0650356715590818</v>
      </c>
    </row>
    <row r="89" s="14" customFormat="true" ht="16" hidden="false" customHeight="false" outlineLevel="0" collapsed="false">
      <c r="A89" s="22" t="s">
        <v>51</v>
      </c>
      <c r="B89" s="36" t="s">
        <v>708</v>
      </c>
      <c r="C89" s="14" t="s">
        <v>671</v>
      </c>
      <c r="D89" s="36" t="s">
        <v>708</v>
      </c>
      <c r="E89" s="34" t="s">
        <v>686</v>
      </c>
      <c r="F89" s="22" t="n">
        <v>-20.08</v>
      </c>
      <c r="G89" s="22" t="n">
        <v>112.67</v>
      </c>
      <c r="H89" s="22" t="s">
        <v>120</v>
      </c>
      <c r="I89" s="22" t="s">
        <v>687</v>
      </c>
      <c r="J89" s="22" t="n">
        <v>980</v>
      </c>
      <c r="K89" s="35" t="s">
        <v>51</v>
      </c>
      <c r="L89" s="22" t="s">
        <v>58</v>
      </c>
      <c r="M89" s="22" t="s">
        <v>59</v>
      </c>
      <c r="N89" s="22" t="s">
        <v>60</v>
      </c>
      <c r="O89" s="22" t="s">
        <v>61</v>
      </c>
      <c r="P89" s="22" t="s">
        <v>61</v>
      </c>
      <c r="Q89" s="22" t="n">
        <v>3</v>
      </c>
      <c r="R89" s="35" t="s">
        <v>62</v>
      </c>
      <c r="S89" s="25" t="n">
        <v>35.5772941176471</v>
      </c>
      <c r="T89" s="22" t="n">
        <v>47.2254238410596</v>
      </c>
      <c r="U89" s="36" t="n">
        <v>20</v>
      </c>
      <c r="V89" s="48" t="n">
        <v>1.71575</v>
      </c>
      <c r="W89" s="48" t="n">
        <v>0.056479036632607</v>
      </c>
      <c r="X89" s="48" t="n">
        <v>0.012629096521421</v>
      </c>
      <c r="Y89" s="48" t="n">
        <v>-0.43905</v>
      </c>
      <c r="Z89" s="48" t="n">
        <v>0.0997673477857889</v>
      </c>
      <c r="AA89" s="48" t="n">
        <v>0.0223086571583887</v>
      </c>
      <c r="AB89" s="27" t="n">
        <v>0.332272984</v>
      </c>
      <c r="AC89" s="27" t="n">
        <v>0.229306002740155</v>
      </c>
      <c r="AD89" s="27" t="n">
        <v>0.206194686106441</v>
      </c>
      <c r="AE89" s="55" t="n">
        <v>0.6085</v>
      </c>
      <c r="AF89" s="55" t="n">
        <v>0.0037</v>
      </c>
      <c r="AG89" s="61" t="n">
        <f aca="false">AF89*SQRT(U89)</f>
        <v>0.0165469030334984</v>
      </c>
      <c r="AH89" s="29" t="n">
        <v>22.1494361653047</v>
      </c>
      <c r="AI89" s="27" t="n">
        <v>1.66880893989951</v>
      </c>
      <c r="AJ89" s="27" t="n">
        <f aca="false">VLOOKUP(B89,proft,2,0)</f>
        <v>18.6381556598522</v>
      </c>
      <c r="AK89" s="27" t="n">
        <f aca="false">VLOOKUP(B89,proft,3,0)</f>
        <v>1.51335370687329</v>
      </c>
      <c r="AL89" s="27" t="s">
        <v>63</v>
      </c>
      <c r="BB89" s="30" t="n">
        <v>19.2323</v>
      </c>
      <c r="BC89" s="30" t="n">
        <v>2.219</v>
      </c>
      <c r="BD89" s="30" t="n">
        <v>0.02256</v>
      </c>
      <c r="BE89" s="31" t="n">
        <v>19.2323</v>
      </c>
      <c r="BF89" s="31" t="n">
        <v>2.219</v>
      </c>
      <c r="BG89" s="31" t="n">
        <v>0.02256</v>
      </c>
      <c r="BH89" s="14" t="n">
        <f aca="false">10^6/((BB89+273.15)^2)</f>
        <v>11.6976290142019</v>
      </c>
      <c r="BI89" s="14" t="n">
        <f aca="false">BH89*(2*($BF89/($BE89+273.15)))</f>
        <v>0.177555472971613</v>
      </c>
      <c r="BJ89" s="14" t="n">
        <f aca="false">BH89*(2*($BG89/($BE89+273.15)))</f>
        <v>0.0018051606445424</v>
      </c>
      <c r="BL89" s="14" t="n">
        <f aca="false">10^6/((AH89+273.15)^2)</f>
        <v>11.4676588455115</v>
      </c>
      <c r="BM89" s="14" t="n">
        <f aca="false">BL89*(2*($AI89/($AH89+273.15)))</f>
        <v>0.129613058864051</v>
      </c>
      <c r="BN89" s="14" t="n">
        <f aca="false">10^6/((AJ89+273.15)^2)</f>
        <v>11.7453153638813</v>
      </c>
      <c r="BO89" s="14" t="n">
        <f aca="false">BN89*(2*($AK89/($AJ89+273.15)))</f>
        <v>0.121833708459683</v>
      </c>
    </row>
    <row r="90" s="14" customFormat="true" ht="16" hidden="false" customHeight="false" outlineLevel="0" collapsed="false">
      <c r="A90" s="22" t="s">
        <v>51</v>
      </c>
      <c r="B90" s="36" t="s">
        <v>710</v>
      </c>
      <c r="C90" s="14" t="s">
        <v>671</v>
      </c>
      <c r="D90" s="36" t="s">
        <v>710</v>
      </c>
      <c r="E90" s="34" t="s">
        <v>707</v>
      </c>
      <c r="F90" s="22" t="n">
        <v>19.73</v>
      </c>
      <c r="G90" s="22" t="n">
        <v>114.61</v>
      </c>
      <c r="H90" s="22" t="s">
        <v>56</v>
      </c>
      <c r="I90" s="22" t="s">
        <v>617</v>
      </c>
      <c r="J90" s="22" t="n">
        <v>3630</v>
      </c>
      <c r="K90" s="35" t="s">
        <v>51</v>
      </c>
      <c r="L90" s="22" t="s">
        <v>58</v>
      </c>
      <c r="M90" s="22" t="s">
        <v>59</v>
      </c>
      <c r="N90" s="22" t="s">
        <v>60</v>
      </c>
      <c r="O90" s="22" t="s">
        <v>61</v>
      </c>
      <c r="P90" s="22" t="s">
        <v>61</v>
      </c>
      <c r="Q90" s="22" t="n">
        <v>3</v>
      </c>
      <c r="R90" s="35" t="s">
        <v>62</v>
      </c>
      <c r="S90" s="25" t="n">
        <v>34.2477058823529</v>
      </c>
      <c r="T90" s="22" t="n">
        <v>47.2254238410596</v>
      </c>
      <c r="U90" s="36" t="n">
        <v>7</v>
      </c>
      <c r="V90" s="48" t="n">
        <v>1.62685714285714</v>
      </c>
      <c r="W90" s="48" t="n">
        <v>0.0353432151500519</v>
      </c>
      <c r="X90" s="48" t="n">
        <v>0.0133584796886411</v>
      </c>
      <c r="Y90" s="48" t="n">
        <v>-0.397857142857143</v>
      </c>
      <c r="Z90" s="48" t="n">
        <v>0.0980296359465314</v>
      </c>
      <c r="AA90" s="48" t="n">
        <v>0.0370517196898171</v>
      </c>
      <c r="AB90" s="27" t="n">
        <v>0.1421628098</v>
      </c>
      <c r="AC90" s="27" t="n">
        <v>0.262446658229736</v>
      </c>
      <c r="AD90" s="27" t="n">
        <v>0.213952447247493</v>
      </c>
      <c r="AE90" s="55" t="n">
        <v>0.6177</v>
      </c>
      <c r="AF90" s="55" t="n">
        <v>0.0058</v>
      </c>
      <c r="AG90" s="61" t="n">
        <f aca="false">AF90*SQRT(U90)</f>
        <v>0.0153453576041746</v>
      </c>
      <c r="AH90" s="29" t="n">
        <v>23.1979991688448</v>
      </c>
      <c r="AI90" s="27" t="n">
        <v>1.93448333945117</v>
      </c>
      <c r="AJ90" s="27" t="n">
        <f aca="false">VLOOKUP(B90,proft,2,0)</f>
        <v>16.766925218273</v>
      </c>
      <c r="AK90" s="27" t="n">
        <f aca="false">VLOOKUP(B90,proft,3,0)</f>
        <v>0.165232466624372</v>
      </c>
      <c r="AL90" s="27" t="s">
        <v>63</v>
      </c>
      <c r="BB90" s="30" t="n">
        <v>18.3006</v>
      </c>
      <c r="BC90" s="30" t="n">
        <v>2.227</v>
      </c>
      <c r="BD90" s="30" t="n">
        <v>0.02227</v>
      </c>
      <c r="BE90" s="31" t="n">
        <v>18.3006</v>
      </c>
      <c r="BF90" s="31" t="n">
        <v>2.227</v>
      </c>
      <c r="BG90" s="31" t="n">
        <v>0.02227</v>
      </c>
      <c r="BH90" s="14" t="n">
        <f aca="false">10^6/((BB90+273.15)^2)</f>
        <v>11.7725377721917</v>
      </c>
      <c r="BI90" s="14" t="n">
        <f aca="false">BH90*(2*($BF90/($BE90+273.15)))</f>
        <v>0.17991001987075</v>
      </c>
      <c r="BJ90" s="14" t="n">
        <f aca="false">BH90*(2*($BG90/($BE90+273.15)))</f>
        <v>0.0017991001987075</v>
      </c>
      <c r="BL90" s="14" t="n">
        <f aca="false">10^6/((AH90+273.15)^2)</f>
        <v>11.3866507760464</v>
      </c>
      <c r="BM90" s="14" t="n">
        <f aca="false">BL90*(2*($AI90/($AH90+273.15)))</f>
        <v>0.148658241528133</v>
      </c>
      <c r="BN90" s="14" t="n">
        <f aca="false">10^6/((AJ90+273.15)^2)</f>
        <v>11.8974218288871</v>
      </c>
      <c r="BO90" s="14" t="n">
        <f aca="false">BN90*(2*($AK90/($AJ90+273.15)))</f>
        <v>0.0135614045559955</v>
      </c>
    </row>
    <row r="91" s="14" customFormat="true" ht="16" hidden="false" customHeight="false" outlineLevel="0" collapsed="false">
      <c r="A91" s="22" t="s">
        <v>372</v>
      </c>
      <c r="B91" s="36" t="s">
        <v>712</v>
      </c>
      <c r="C91" s="14" t="s">
        <v>713</v>
      </c>
      <c r="D91" s="36" t="s">
        <v>712</v>
      </c>
      <c r="E91" s="34" t="s">
        <v>714</v>
      </c>
      <c r="F91" s="22" t="n">
        <v>24.37</v>
      </c>
      <c r="G91" s="22" t="n">
        <v>-83.24</v>
      </c>
      <c r="H91" s="22" t="s">
        <v>78</v>
      </c>
      <c r="I91" s="22" t="s">
        <v>715</v>
      </c>
      <c r="J91" s="22" t="n">
        <v>348</v>
      </c>
      <c r="K91" s="80" t="s">
        <v>372</v>
      </c>
      <c r="L91" s="22" t="s">
        <v>372</v>
      </c>
      <c r="M91" s="22"/>
      <c r="N91" s="22" t="n">
        <v>348</v>
      </c>
      <c r="O91" s="22" t="s">
        <v>375</v>
      </c>
      <c r="P91" s="22" t="s">
        <v>375</v>
      </c>
      <c r="Q91" s="22" t="n">
        <v>6</v>
      </c>
      <c r="R91" s="80" t="s">
        <v>83</v>
      </c>
      <c r="S91" s="25" t="n">
        <v>35.6405</v>
      </c>
      <c r="T91" s="22" t="n">
        <v>71.096384</v>
      </c>
      <c r="U91" s="36" t="n">
        <v>106</v>
      </c>
      <c r="V91" s="48" t="n">
        <v>0.49622641509434</v>
      </c>
      <c r="W91" s="48" t="n">
        <v>0.725264421836141</v>
      </c>
      <c r="X91" s="48" t="n">
        <v>0.0704439079400159</v>
      </c>
      <c r="Y91" s="48" t="n">
        <v>1.83028301886792</v>
      </c>
      <c r="Z91" s="48" t="n">
        <v>0.720288907046097</v>
      </c>
      <c r="AA91" s="48" t="n">
        <v>0.069960643222664</v>
      </c>
      <c r="AB91" s="27" t="n">
        <v>0.7375307288</v>
      </c>
      <c r="AC91" s="27" t="n">
        <v>0.2</v>
      </c>
      <c r="AD91" s="27" t="n">
        <v>0.2</v>
      </c>
      <c r="AE91" s="55" t="n">
        <v>0.655735849056604</v>
      </c>
      <c r="AF91" s="55" t="n">
        <v>0.00359140187878623</v>
      </c>
      <c r="AG91" s="61" t="n">
        <f aca="false">AF91*SQRT(U91)</f>
        <v>0.0369757454316288</v>
      </c>
      <c r="AH91" s="29" t="n">
        <v>9.7</v>
      </c>
      <c r="AI91" s="27" t="n">
        <v>0.0743986049334386</v>
      </c>
      <c r="AJ91" s="44" t="n">
        <v>9.7</v>
      </c>
      <c r="AK91" s="44" t="n">
        <v>0.0743986049334386</v>
      </c>
      <c r="AL91" s="27" t="s">
        <v>63</v>
      </c>
      <c r="AM91" s="14" t="n">
        <v>10.9093715365859</v>
      </c>
      <c r="AN91" s="66"/>
      <c r="AO91" s="66"/>
      <c r="AP91" s="66"/>
      <c r="AQ91" s="66"/>
      <c r="AR91" s="66"/>
      <c r="AS91" s="66"/>
      <c r="AT91" s="66" t="n">
        <v>2.13009447896276</v>
      </c>
      <c r="AU91" s="66"/>
      <c r="AV91" s="66"/>
      <c r="AW91" s="66"/>
      <c r="AX91" s="66"/>
      <c r="AY91" s="66"/>
      <c r="AZ91" s="66"/>
      <c r="BA91" s="66" t="n">
        <v>0.753102125321295</v>
      </c>
      <c r="BE91" s="31" t="n">
        <f aca="false">AM91</f>
        <v>10.9093715365859</v>
      </c>
      <c r="BF91" s="31" t="n">
        <f aca="false">AT91</f>
        <v>2.13009447896276</v>
      </c>
      <c r="BG91" s="31" t="n">
        <f aca="false">BA91</f>
        <v>0.753102125321295</v>
      </c>
      <c r="BH91" s="14" t="n">
        <f aca="false">10^6/((BE91+273.15)^2)</f>
        <v>12.3931514290629</v>
      </c>
      <c r="BI91" s="14" t="n">
        <f aca="false">BH91*(2*($BF91/($BE91+273.15)))</f>
        <v>0.18586666085471</v>
      </c>
      <c r="BJ91" s="14" t="n">
        <f aca="false">BH91*(2*($BG91/($BE91+273.15)))</f>
        <v>0.0657137881434327</v>
      </c>
      <c r="BL91" s="14" t="n">
        <f aca="false">10^6/((AH91+273.15)^2)</f>
        <v>12.4993558925667</v>
      </c>
      <c r="BM91" s="14" t="n">
        <f aca="false">BL91*(2*($AI91/($AH91+273.15)))</f>
        <v>0.00657546148823415</v>
      </c>
      <c r="BN91" s="14" t="n">
        <f aca="false">10^6/((AJ91+273.15)^2)</f>
        <v>12.4993558925667</v>
      </c>
      <c r="BO91" s="14" t="n">
        <f aca="false">BN91*(2*($AK91/($AJ91+273.15)))</f>
        <v>0.00657546148823415</v>
      </c>
    </row>
    <row r="92" s="14" customFormat="true" ht="16" hidden="false" customHeight="false" outlineLevel="0" collapsed="false">
      <c r="A92" s="22" t="s">
        <v>372</v>
      </c>
      <c r="B92" s="36" t="s">
        <v>716</v>
      </c>
      <c r="C92" s="14" t="s">
        <v>713</v>
      </c>
      <c r="D92" s="36" t="s">
        <v>716</v>
      </c>
      <c r="E92" s="34" t="s">
        <v>717</v>
      </c>
      <c r="F92" s="22" t="n">
        <v>24.42</v>
      </c>
      <c r="G92" s="22" t="n">
        <v>-83.21</v>
      </c>
      <c r="H92" s="22" t="s">
        <v>78</v>
      </c>
      <c r="I92" s="22" t="s">
        <v>715</v>
      </c>
      <c r="J92" s="22" t="n">
        <v>173</v>
      </c>
      <c r="K92" s="80" t="s">
        <v>372</v>
      </c>
      <c r="L92" s="22" t="s">
        <v>372</v>
      </c>
      <c r="M92" s="22"/>
      <c r="N92" s="22" t="n">
        <v>173</v>
      </c>
      <c r="O92" s="22" t="s">
        <v>375</v>
      </c>
      <c r="P92" s="22" t="s">
        <v>375</v>
      </c>
      <c r="Q92" s="22" t="n">
        <v>6</v>
      </c>
      <c r="R92" s="80" t="s">
        <v>83</v>
      </c>
      <c r="S92" s="25" t="n">
        <v>36.468</v>
      </c>
      <c r="T92" s="22" t="n">
        <v>117.586549019608</v>
      </c>
      <c r="U92" s="36" t="n">
        <v>47</v>
      </c>
      <c r="V92" s="48" t="n">
        <v>0.0968085106382979</v>
      </c>
      <c r="W92" s="48" t="n">
        <v>0.592493281499163</v>
      </c>
      <c r="X92" s="48" t="n">
        <v>0.0864240274684351</v>
      </c>
      <c r="Y92" s="48" t="n">
        <v>0.449787234042553</v>
      </c>
      <c r="Z92" s="48" t="n">
        <v>0.653976097694118</v>
      </c>
      <c r="AA92" s="48" t="n">
        <v>0.0953922179299788</v>
      </c>
      <c r="AB92" s="27" t="n">
        <v>1.0037273154</v>
      </c>
      <c r="AC92" s="27" t="n">
        <v>0.2</v>
      </c>
      <c r="AD92" s="27" t="n">
        <v>0.2</v>
      </c>
      <c r="AE92" s="55" t="n">
        <v>0.639957446808511</v>
      </c>
      <c r="AF92" s="55" t="n">
        <v>0.00494651854759775</v>
      </c>
      <c r="AG92" s="61" t="n">
        <f aca="false">AF92*SQRT(U92)</f>
        <v>0.0339116226368076</v>
      </c>
      <c r="AH92" s="29" t="n">
        <v>12.7</v>
      </c>
      <c r="AI92" s="27" t="n">
        <v>0.0743986049334386</v>
      </c>
      <c r="AJ92" s="44" t="n">
        <v>12.7</v>
      </c>
      <c r="AK92" s="44" t="n">
        <v>0.0743986049334386</v>
      </c>
      <c r="AL92" s="27" t="s">
        <v>63</v>
      </c>
      <c r="AM92" s="14" t="n">
        <v>15.8463429992216</v>
      </c>
      <c r="AN92" s="66"/>
      <c r="AO92" s="66"/>
      <c r="AP92" s="66"/>
      <c r="AQ92" s="66"/>
      <c r="AR92" s="66"/>
      <c r="AS92" s="66"/>
      <c r="AT92" s="66" t="n">
        <v>3.31156718537132</v>
      </c>
      <c r="AU92" s="66"/>
      <c r="AV92" s="66"/>
      <c r="AW92" s="66"/>
      <c r="AX92" s="66"/>
      <c r="AY92" s="66"/>
      <c r="AZ92" s="66"/>
      <c r="BA92" s="66" t="n">
        <v>1.48097786770958</v>
      </c>
      <c r="BE92" s="31" t="n">
        <f aca="false">AM92</f>
        <v>15.8463429992216</v>
      </c>
      <c r="BF92" s="31" t="n">
        <f aca="false">AT92</f>
        <v>3.31156718537132</v>
      </c>
      <c r="BG92" s="31" t="n">
        <f aca="false">BA92</f>
        <v>1.48097786770958</v>
      </c>
      <c r="BH92" s="14" t="n">
        <f aca="false">10^6/((BE92+273.15)^2)</f>
        <v>11.9733397402359</v>
      </c>
      <c r="BI92" s="14" t="n">
        <f aca="false">BH92*(2*($BF92/($BE92+273.15)))</f>
        <v>0.274401527518114</v>
      </c>
      <c r="BJ92" s="14" t="n">
        <f aca="false">BH92*(2*($BG92/($BE92+273.15)))</f>
        <v>0.122716093732056</v>
      </c>
      <c r="BL92" s="14" t="n">
        <f aca="false">10^6/((AH92+273.15)^2)</f>
        <v>12.2383707864704</v>
      </c>
      <c r="BM92" s="14" t="n">
        <f aca="false">BL92*(2*($AI92/($AH92+273.15)))</f>
        <v>0.00637059795817073</v>
      </c>
      <c r="BN92" s="14" t="n">
        <f aca="false">10^6/((AJ92+273.15)^2)</f>
        <v>12.2383707864704</v>
      </c>
      <c r="BO92" s="14" t="n">
        <f aca="false">BN92*(2*($AK92/($AJ92+273.15)))</f>
        <v>0.00637059795817073</v>
      </c>
    </row>
    <row r="93" s="14" customFormat="true" ht="16" hidden="false" customHeight="false" outlineLevel="0" collapsed="false">
      <c r="A93" s="22" t="s">
        <v>372</v>
      </c>
      <c r="B93" s="36" t="s">
        <v>718</v>
      </c>
      <c r="C93" s="14" t="s">
        <v>713</v>
      </c>
      <c r="D93" s="36" t="s">
        <v>718</v>
      </c>
      <c r="E93" s="34" t="s">
        <v>719</v>
      </c>
      <c r="F93" s="22" t="n">
        <v>24.42</v>
      </c>
      <c r="G93" s="22" t="n">
        <v>-83.22</v>
      </c>
      <c r="H93" s="22" t="s">
        <v>78</v>
      </c>
      <c r="I93" s="22" t="s">
        <v>715</v>
      </c>
      <c r="J93" s="22" t="n">
        <v>198</v>
      </c>
      <c r="K93" s="80" t="s">
        <v>372</v>
      </c>
      <c r="L93" s="22" t="s">
        <v>372</v>
      </c>
      <c r="M93" s="22"/>
      <c r="N93" s="22" t="n">
        <v>198</v>
      </c>
      <c r="O93" s="22" t="s">
        <v>375</v>
      </c>
      <c r="P93" s="22" t="s">
        <v>375</v>
      </c>
      <c r="Q93" s="22" t="n">
        <v>6</v>
      </c>
      <c r="R93" s="80" t="s">
        <v>83</v>
      </c>
      <c r="S93" s="25" t="n">
        <v>36.372</v>
      </c>
      <c r="T93" s="22" t="n">
        <v>108.211058823529</v>
      </c>
      <c r="U93" s="36" t="n">
        <v>47</v>
      </c>
      <c r="V93" s="48" t="n">
        <v>0.326382978723404</v>
      </c>
      <c r="W93" s="48" t="n">
        <v>0.561815479270068</v>
      </c>
      <c r="X93" s="48" t="n">
        <v>0.081949210107114</v>
      </c>
      <c r="Y93" s="48" t="n">
        <v>1.21468085106383</v>
      </c>
      <c r="Z93" s="48" t="n">
        <v>0.104939963453847</v>
      </c>
      <c r="AA93" s="48" t="n">
        <v>0.0153070668769848</v>
      </c>
      <c r="AB93" s="27" t="n">
        <v>0.9915083104</v>
      </c>
      <c r="AC93" s="27" t="n">
        <v>0.2</v>
      </c>
      <c r="AD93" s="27" t="n">
        <v>0.2</v>
      </c>
      <c r="AE93" s="55" t="n">
        <v>0.652127659574468</v>
      </c>
      <c r="AF93" s="55" t="n">
        <v>0.00450466065783584</v>
      </c>
      <c r="AG93" s="61" t="n">
        <f aca="false">AF93*SQRT(U93)</f>
        <v>0.0308823975621379</v>
      </c>
      <c r="AH93" s="29" t="n">
        <v>12.1</v>
      </c>
      <c r="AI93" s="27" t="n">
        <v>0.0743986049334386</v>
      </c>
      <c r="AJ93" s="44" t="n">
        <v>12.1</v>
      </c>
      <c r="AK93" s="44" t="n">
        <v>0.0743986049334386</v>
      </c>
      <c r="AL93" s="27" t="s">
        <v>63</v>
      </c>
      <c r="AM93" s="14" t="n">
        <v>13.3252879326819</v>
      </c>
      <c r="AN93" s="66"/>
      <c r="AO93" s="66"/>
      <c r="AP93" s="66"/>
      <c r="AQ93" s="66"/>
      <c r="AR93" s="66"/>
      <c r="AS93" s="66"/>
      <c r="AT93" s="66" t="n">
        <v>0.630851365814428</v>
      </c>
      <c r="AU93" s="66"/>
      <c r="AV93" s="66"/>
      <c r="AW93" s="66"/>
      <c r="AX93" s="66"/>
      <c r="AY93" s="66"/>
      <c r="AZ93" s="66"/>
      <c r="BA93" s="66" t="n">
        <v>0.364222205871603</v>
      </c>
      <c r="BE93" s="31" t="n">
        <f aca="false">AM93</f>
        <v>13.3252879326819</v>
      </c>
      <c r="BF93" s="31" t="n">
        <f aca="false">AT93</f>
        <v>0.630851365814428</v>
      </c>
      <c r="BG93" s="31" t="n">
        <f aca="false">BA93</f>
        <v>0.364222205871603</v>
      </c>
      <c r="BH93" s="14" t="n">
        <f aca="false">10^6/((BE93+273.15)^2)</f>
        <v>12.1850038515136</v>
      </c>
      <c r="BI93" s="14" t="n">
        <f aca="false">BH93*(2*($BF93/($BE93+273.15)))</f>
        <v>0.0536655456577303</v>
      </c>
      <c r="BJ93" s="14" t="n">
        <f aca="false">BH93*(2*($BG93/($BE93+273.15)))</f>
        <v>0.0309838172316987</v>
      </c>
      <c r="BL93" s="14" t="n">
        <f aca="false">10^6/((AH93+273.15)^2)</f>
        <v>12.2899097536564</v>
      </c>
      <c r="BM93" s="14" t="n">
        <f aca="false">BL93*(2*($AI93/($AH93+273.15)))</f>
        <v>0.00641088266734373</v>
      </c>
      <c r="BN93" s="14" t="n">
        <f aca="false">10^6/((AJ93+273.15)^2)</f>
        <v>12.2899097536564</v>
      </c>
      <c r="BO93" s="14" t="n">
        <f aca="false">BN93*(2*($AK93/($AJ93+273.15)))</f>
        <v>0.00641088266734373</v>
      </c>
    </row>
    <row r="94" s="14" customFormat="true" ht="16" hidden="false" customHeight="false" outlineLevel="0" collapsed="false">
      <c r="A94" s="22" t="s">
        <v>372</v>
      </c>
      <c r="B94" s="36" t="s">
        <v>720</v>
      </c>
      <c r="C94" s="14" t="s">
        <v>713</v>
      </c>
      <c r="D94" s="36" t="s">
        <v>720</v>
      </c>
      <c r="E94" s="34" t="s">
        <v>721</v>
      </c>
      <c r="F94" s="22" t="n">
        <v>24.38</v>
      </c>
      <c r="G94" s="22" t="n">
        <v>-83.23</v>
      </c>
      <c r="H94" s="22" t="s">
        <v>78</v>
      </c>
      <c r="I94" s="22" t="s">
        <v>715</v>
      </c>
      <c r="J94" s="22" t="n">
        <v>302</v>
      </c>
      <c r="K94" s="80" t="s">
        <v>372</v>
      </c>
      <c r="L94" s="22" t="s">
        <v>372</v>
      </c>
      <c r="M94" s="22"/>
      <c r="N94" s="22" t="n">
        <v>302</v>
      </c>
      <c r="O94" s="22" t="s">
        <v>375</v>
      </c>
      <c r="P94" s="22" t="s">
        <v>375</v>
      </c>
      <c r="Q94" s="22" t="n">
        <v>6</v>
      </c>
      <c r="R94" s="80" t="s">
        <v>83</v>
      </c>
      <c r="S94" s="25" t="n">
        <v>35.7465</v>
      </c>
      <c r="T94" s="22" t="n">
        <v>77.053016</v>
      </c>
      <c r="U94" s="36" t="n">
        <v>88</v>
      </c>
      <c r="V94" s="48" t="n">
        <v>0.116136363636364</v>
      </c>
      <c r="W94" s="48" t="n">
        <v>0.454925614276176</v>
      </c>
      <c r="X94" s="48" t="n">
        <v>0.0484952334260984</v>
      </c>
      <c r="Y94" s="48" t="n">
        <v>1.67409090909091</v>
      </c>
      <c r="Z94" s="48" t="n">
        <v>0.450396087148525</v>
      </c>
      <c r="AA94" s="48" t="n">
        <v>0.0480123842119147</v>
      </c>
      <c r="AB94" s="27" t="n">
        <v>0.8285374462</v>
      </c>
      <c r="AC94" s="27" t="n">
        <v>0.2</v>
      </c>
      <c r="AD94" s="27" t="n">
        <v>0.2</v>
      </c>
      <c r="AE94" s="55" t="n">
        <v>0.658238636363636</v>
      </c>
      <c r="AF94" s="55" t="n">
        <v>0.00358444167635442</v>
      </c>
      <c r="AG94" s="61" t="n">
        <f aca="false">AF94*SQRT(U94)</f>
        <v>0.0336250434578814</v>
      </c>
      <c r="AH94" s="29" t="n">
        <v>10</v>
      </c>
      <c r="AI94" s="27" t="n">
        <v>0.0743986049334386</v>
      </c>
      <c r="AJ94" s="44" t="n">
        <v>10</v>
      </c>
      <c r="AK94" s="44" t="n">
        <v>0.0743986049334386</v>
      </c>
      <c r="AL94" s="27" t="s">
        <v>63</v>
      </c>
      <c r="AM94" s="14" t="n">
        <v>10.3677026361444</v>
      </c>
      <c r="AN94" s="66"/>
      <c r="AO94" s="66"/>
      <c r="AP94" s="66"/>
      <c r="AQ94" s="66"/>
      <c r="AR94" s="66"/>
      <c r="AS94" s="66"/>
      <c r="AT94" s="66" t="n">
        <v>2.16250844512301</v>
      </c>
      <c r="AU94" s="66"/>
      <c r="AV94" s="66"/>
      <c r="AW94" s="66"/>
      <c r="AX94" s="66"/>
      <c r="AY94" s="66"/>
      <c r="AZ94" s="66"/>
      <c r="BA94" s="66" t="n">
        <v>1.08125422256151</v>
      </c>
      <c r="BE94" s="31" t="n">
        <f aca="false">AM94</f>
        <v>10.3677026361444</v>
      </c>
      <c r="BF94" s="31" t="n">
        <f aca="false">AT94</f>
        <v>2.16250844512301</v>
      </c>
      <c r="BG94" s="31" t="n">
        <f aca="false">BA94</f>
        <v>1.08125422256151</v>
      </c>
      <c r="BH94" s="14" t="n">
        <f aca="false">10^6/((BE94+273.15)^2)</f>
        <v>12.4405516253989</v>
      </c>
      <c r="BI94" s="14" t="n">
        <f aca="false">BH94*(2*($BF94/($BE94+273.15)))</f>
        <v>0.189778611365513</v>
      </c>
      <c r="BJ94" s="14" t="n">
        <f aca="false">BH94*(2*($BG94/($BE94+273.15)))</f>
        <v>0.0948893056827564</v>
      </c>
      <c r="BL94" s="14" t="n">
        <f aca="false">10^6/((AH94+273.15)^2)</f>
        <v>12.47288356136</v>
      </c>
      <c r="BM94" s="14" t="n">
        <f aca="false">BL94*(2*($AI94/($AH94+273.15)))</f>
        <v>0.00655458334071978</v>
      </c>
      <c r="BN94" s="14" t="n">
        <f aca="false">10^6/((AJ94+273.15)^2)</f>
        <v>12.47288356136</v>
      </c>
      <c r="BO94" s="14" t="n">
        <f aca="false">BN94*(2*($AK94/($AJ94+273.15)))</f>
        <v>0.00655458334071978</v>
      </c>
    </row>
    <row r="95" s="14" customFormat="true" ht="16" hidden="false" customHeight="false" outlineLevel="0" collapsed="false">
      <c r="A95" s="22" t="s">
        <v>372</v>
      </c>
      <c r="B95" s="81" t="s">
        <v>722</v>
      </c>
      <c r="C95" s="14" t="s">
        <v>713</v>
      </c>
      <c r="D95" s="36" t="s">
        <v>722</v>
      </c>
      <c r="E95" s="34" t="s">
        <v>723</v>
      </c>
      <c r="F95" s="22" t="n">
        <v>24.56</v>
      </c>
      <c r="G95" s="22" t="n">
        <v>-79.24</v>
      </c>
      <c r="H95" s="22" t="s">
        <v>78</v>
      </c>
      <c r="I95" s="22" t="s">
        <v>715</v>
      </c>
      <c r="J95" s="22" t="n">
        <v>353</v>
      </c>
      <c r="K95" s="65" t="s">
        <v>372</v>
      </c>
      <c r="L95" s="22" t="s">
        <v>372</v>
      </c>
      <c r="M95" s="22"/>
      <c r="N95" s="22" t="n">
        <v>353</v>
      </c>
      <c r="O95" s="22" t="s">
        <v>375</v>
      </c>
      <c r="P95" s="22" t="s">
        <v>375</v>
      </c>
      <c r="Q95" s="22" t="n">
        <v>6</v>
      </c>
      <c r="R95" s="80" t="s">
        <v>83</v>
      </c>
      <c r="S95" s="25" t="n">
        <v>36.2015</v>
      </c>
      <c r="T95" s="22" t="n">
        <v>69.6634333333333</v>
      </c>
      <c r="U95" s="81" t="n">
        <v>38</v>
      </c>
      <c r="V95" s="82" t="n">
        <v>1.08421052631579</v>
      </c>
      <c r="W95" s="82" t="n">
        <v>0.582281772502716</v>
      </c>
      <c r="X95" s="82" t="n">
        <v>0.09445857663393</v>
      </c>
      <c r="Y95" s="48" t="n">
        <v>0.0642105263157894</v>
      </c>
      <c r="Z95" s="48" t="n">
        <v>1.19034092681398</v>
      </c>
      <c r="AA95" s="48" t="n">
        <v>0.193098796777873</v>
      </c>
      <c r="AB95" s="27" t="n">
        <v>0.8745524962</v>
      </c>
      <c r="AC95" s="27" t="n">
        <v>0.2</v>
      </c>
      <c r="AD95" s="27" t="n">
        <v>0.2</v>
      </c>
      <c r="AE95" s="55" t="n">
        <v>0.6245</v>
      </c>
      <c r="AF95" s="55" t="n">
        <v>0.00576529445901478</v>
      </c>
      <c r="AG95" s="61" t="n">
        <f aca="false">AF95*SQRT(U95)</f>
        <v>0.0355396618943902</v>
      </c>
      <c r="AH95" s="29" t="n">
        <v>17.8</v>
      </c>
      <c r="AI95" s="27" t="n">
        <v>0.0897681552630204</v>
      </c>
      <c r="AJ95" s="44" t="n">
        <v>17.8</v>
      </c>
      <c r="AK95" s="44" t="n">
        <v>0.0897681552630204</v>
      </c>
      <c r="AL95" s="27" t="s">
        <v>63</v>
      </c>
      <c r="AM95" s="14" t="n">
        <v>18.3489215338683</v>
      </c>
      <c r="AN95" s="66"/>
      <c r="AO95" s="66"/>
      <c r="AP95" s="66"/>
      <c r="AQ95" s="66"/>
      <c r="AR95" s="66"/>
      <c r="AS95" s="66"/>
      <c r="AT95" s="66" t="n">
        <v>4.12863882036154</v>
      </c>
      <c r="AU95" s="66"/>
      <c r="AV95" s="66"/>
      <c r="AW95" s="66"/>
      <c r="AX95" s="66"/>
      <c r="AY95" s="66"/>
      <c r="AZ95" s="66"/>
      <c r="BA95" s="66" t="n">
        <v>2.06431941018077</v>
      </c>
      <c r="BE95" s="31" t="n">
        <f aca="false">AM95</f>
        <v>18.3489215338683</v>
      </c>
      <c r="BF95" s="31" t="n">
        <f aca="false">AT95</f>
        <v>4.12863882036154</v>
      </c>
      <c r="BG95" s="31" t="n">
        <f aca="false">BA95</f>
        <v>2.06431941018077</v>
      </c>
      <c r="BH95" s="14" t="n">
        <f aca="false">10^6/((BE95+273.15)^2)</f>
        <v>11.7686350480967</v>
      </c>
      <c r="BI95" s="14" t="n">
        <f aca="false">BH95*(2*($BF95/($BE95+273.15)))</f>
        <v>0.333369628035445</v>
      </c>
      <c r="BJ95" s="14" t="n">
        <f aca="false">BH95*(2*($BG95/($BE95+273.15)))</f>
        <v>0.166684814017723</v>
      </c>
      <c r="BL95" s="14" t="n">
        <f aca="false">10^6/((AH95+273.15)^2)</f>
        <v>11.8130835866329</v>
      </c>
      <c r="BM95" s="14" t="n">
        <f aca="false">BL95*(2*($AI95/($AH95+273.15)))</f>
        <v>0.00728949112589725</v>
      </c>
      <c r="BN95" s="14" t="n">
        <f aca="false">10^6/((AJ95+273.15)^2)</f>
        <v>11.8130835866329</v>
      </c>
      <c r="BO95" s="14" t="n">
        <f aca="false">BN95*(2*($AK95/($AJ95+273.15)))</f>
        <v>0.00728949112589725</v>
      </c>
    </row>
    <row r="96" s="14" customFormat="true" ht="16" hidden="false" customHeight="false" outlineLevel="0" collapsed="false">
      <c r="A96" s="22" t="s">
        <v>372</v>
      </c>
      <c r="B96" s="81" t="s">
        <v>724</v>
      </c>
      <c r="C96" s="14" t="s">
        <v>713</v>
      </c>
      <c r="D96" s="36" t="s">
        <v>724</v>
      </c>
      <c r="E96" s="34" t="s">
        <v>725</v>
      </c>
      <c r="F96" s="22" t="n">
        <v>24.57</v>
      </c>
      <c r="G96" s="22" t="n">
        <v>-79.23</v>
      </c>
      <c r="H96" s="22" t="s">
        <v>78</v>
      </c>
      <c r="I96" s="22" t="s">
        <v>715</v>
      </c>
      <c r="J96" s="22" t="n">
        <v>259</v>
      </c>
      <c r="K96" s="65" t="s">
        <v>372</v>
      </c>
      <c r="L96" s="22" t="s">
        <v>372</v>
      </c>
      <c r="M96" s="22"/>
      <c r="N96" s="22" t="n">
        <v>259</v>
      </c>
      <c r="O96" s="22" t="s">
        <v>375</v>
      </c>
      <c r="P96" s="22" t="s">
        <v>375</v>
      </c>
      <c r="Q96" s="22" t="n">
        <v>6</v>
      </c>
      <c r="R96" s="80" t="s">
        <v>83</v>
      </c>
      <c r="S96" s="25" t="n">
        <v>36.5095</v>
      </c>
      <c r="T96" s="22" t="n">
        <v>113.757196078431</v>
      </c>
      <c r="U96" s="81" t="n">
        <v>59</v>
      </c>
      <c r="V96" s="82" t="n">
        <v>0.829830508474576</v>
      </c>
      <c r="W96" s="82" t="n">
        <v>0.650157783304266</v>
      </c>
      <c r="X96" s="82" t="n">
        <v>0.0846433337740889</v>
      </c>
      <c r="Y96" s="48" t="n">
        <v>-0.615762711864407</v>
      </c>
      <c r="Z96" s="48" t="n">
        <v>1.31558064195327</v>
      </c>
      <c r="AA96" s="48" t="n">
        <v>0.171274011083349</v>
      </c>
      <c r="AB96" s="27" t="n">
        <v>0.9947177906</v>
      </c>
      <c r="AC96" s="27" t="n">
        <v>0.2</v>
      </c>
      <c r="AD96" s="27" t="n">
        <v>0.2</v>
      </c>
      <c r="AE96" s="55" t="n">
        <v>0.613375</v>
      </c>
      <c r="AF96" s="55" t="n">
        <v>0.00384138001203024</v>
      </c>
      <c r="AG96" s="61" t="n">
        <f aca="false">AF96*SQRT(U96)</f>
        <v>0.0295061997453535</v>
      </c>
      <c r="AH96" s="29" t="n">
        <v>18.5</v>
      </c>
      <c r="AI96" s="27" t="n">
        <v>0.0897681552630204</v>
      </c>
      <c r="AJ96" s="44" t="n">
        <v>18.5</v>
      </c>
      <c r="AK96" s="44" t="n">
        <v>0.0897681552630204</v>
      </c>
      <c r="AL96" s="27" t="s">
        <v>63</v>
      </c>
      <c r="AM96" s="14" t="n">
        <v>21.9183147445836</v>
      </c>
      <c r="AN96" s="66"/>
      <c r="AO96" s="66"/>
      <c r="AP96" s="66"/>
      <c r="AQ96" s="66"/>
      <c r="AR96" s="66"/>
      <c r="AS96" s="66"/>
      <c r="AT96" s="66" t="n">
        <v>4.0108727644833</v>
      </c>
      <c r="AU96" s="66"/>
      <c r="AV96" s="66"/>
      <c r="AW96" s="66"/>
      <c r="AX96" s="66"/>
      <c r="AY96" s="66"/>
      <c r="AZ96" s="66"/>
      <c r="BA96" s="66" t="n">
        <v>1.79371683009743</v>
      </c>
      <c r="BE96" s="31" t="n">
        <f aca="false">AM96</f>
        <v>21.9183147445836</v>
      </c>
      <c r="BF96" s="31" t="n">
        <f aca="false">AT96</f>
        <v>4.0108727644833</v>
      </c>
      <c r="BG96" s="31" t="n">
        <f aca="false">BA96</f>
        <v>1.79371683009743</v>
      </c>
      <c r="BH96" s="14" t="n">
        <f aca="false">10^6/((BE96+273.15)^2)</f>
        <v>11.4856306810814</v>
      </c>
      <c r="BI96" s="14" t="n">
        <f aca="false">BH96*(2*($BF96/($BE96+273.15)))</f>
        <v>0.312249068976043</v>
      </c>
      <c r="BJ96" s="14" t="n">
        <f aca="false">BH96*(2*($BG96/($BE96+273.15)))</f>
        <v>0.13964202882829</v>
      </c>
      <c r="BL96" s="14" t="n">
        <f aca="false">10^6/((AH96+273.15)^2)</f>
        <v>11.7564455962104</v>
      </c>
      <c r="BM96" s="14" t="n">
        <f aca="false">BL96*(2*($AI96/($AH96+273.15)))</f>
        <v>0.00723712966653087</v>
      </c>
      <c r="BN96" s="14" t="n">
        <f aca="false">10^6/((AJ96+273.15)^2)</f>
        <v>11.7564455962104</v>
      </c>
      <c r="BO96" s="14" t="n">
        <f aca="false">BN96*(2*($AK96/($AJ96+273.15)))</f>
        <v>0.00723712966653087</v>
      </c>
    </row>
    <row r="97" s="14" customFormat="true" ht="16" hidden="false" customHeight="false" outlineLevel="0" collapsed="false">
      <c r="A97" s="22" t="s">
        <v>372</v>
      </c>
      <c r="B97" s="81" t="s">
        <v>737</v>
      </c>
      <c r="C97" s="14" t="s">
        <v>713</v>
      </c>
      <c r="D97" s="36" t="s">
        <v>737</v>
      </c>
      <c r="E97" s="34" t="s">
        <v>738</v>
      </c>
      <c r="F97" s="22" t="n">
        <v>-4.33</v>
      </c>
      <c r="G97" s="22" t="n">
        <v>-37.16</v>
      </c>
      <c r="H97" s="22" t="s">
        <v>78</v>
      </c>
      <c r="I97" s="22" t="s">
        <v>170</v>
      </c>
      <c r="J97" s="22" t="n">
        <v>598</v>
      </c>
      <c r="K97" s="65" t="s">
        <v>372</v>
      </c>
      <c r="L97" s="22" t="s">
        <v>372</v>
      </c>
      <c r="M97" s="22"/>
      <c r="N97" s="22" t="n">
        <v>598</v>
      </c>
      <c r="O97" s="22" t="s">
        <v>375</v>
      </c>
      <c r="P97" s="22" t="s">
        <v>375</v>
      </c>
      <c r="Q97" s="22" t="n">
        <v>6</v>
      </c>
      <c r="R97" s="80" t="s">
        <v>83</v>
      </c>
      <c r="S97" s="25" t="n">
        <v>34.4845</v>
      </c>
      <c r="T97" s="22" t="n">
        <v>32.8452222222222</v>
      </c>
      <c r="U97" s="81" t="n">
        <v>58</v>
      </c>
      <c r="V97" s="82" t="n">
        <v>0.901206896551724</v>
      </c>
      <c r="W97" s="82" t="n">
        <v>0.36745725416137</v>
      </c>
      <c r="X97" s="82" t="n">
        <v>0.048249501272358</v>
      </c>
      <c r="Y97" s="48" t="n">
        <v>2.29224137931034</v>
      </c>
      <c r="Z97" s="48" t="n">
        <v>0.602797697010259</v>
      </c>
      <c r="AA97" s="48" t="n">
        <v>0.0791512153304729</v>
      </c>
      <c r="AB97" s="27" t="n">
        <v>0.00747619577399999</v>
      </c>
      <c r="AC97" s="27" t="n">
        <v>0.2</v>
      </c>
      <c r="AD97" s="27" t="n">
        <v>0.2</v>
      </c>
      <c r="AE97" s="55" t="n">
        <v>0.670034482758621</v>
      </c>
      <c r="AF97" s="55" t="n">
        <v>0.00449385986402113</v>
      </c>
      <c r="AG97" s="61" t="n">
        <f aca="false">AF97*SQRT(U97)</f>
        <v>0.0342242170939334</v>
      </c>
      <c r="AH97" s="29" t="n">
        <v>6.06</v>
      </c>
      <c r="AI97" s="27" t="n">
        <v>0.0707602678583219</v>
      </c>
      <c r="AJ97" s="44" t="n">
        <v>6.06</v>
      </c>
      <c r="AK97" s="44" t="n">
        <v>0.0707602678583219</v>
      </c>
      <c r="AL97" s="27" t="s">
        <v>63</v>
      </c>
      <c r="AM97" s="14" t="n">
        <v>4.80176362537173</v>
      </c>
      <c r="AN97" s="66"/>
      <c r="AO97" s="66"/>
      <c r="AP97" s="66"/>
      <c r="AQ97" s="66"/>
      <c r="AR97" s="66"/>
      <c r="AS97" s="66"/>
      <c r="AT97" s="66" t="n">
        <v>0.824092096712146</v>
      </c>
      <c r="AU97" s="66"/>
      <c r="AV97" s="66"/>
      <c r="AW97" s="66"/>
      <c r="AX97" s="66"/>
      <c r="AY97" s="66"/>
      <c r="AZ97" s="66"/>
      <c r="BA97" s="66" t="n">
        <v>0.475789793873801</v>
      </c>
      <c r="BE97" s="31" t="n">
        <f aca="false">AM97</f>
        <v>4.80176362537173</v>
      </c>
      <c r="BF97" s="31" t="n">
        <f aca="false">AT97</f>
        <v>0.824092096712146</v>
      </c>
      <c r="BG97" s="31" t="n">
        <f aca="false">BA97</f>
        <v>0.475789793873801</v>
      </c>
      <c r="BH97" s="14" t="n">
        <f aca="false">10^6/((BE97+273.15)^2)</f>
        <v>12.9437802729956</v>
      </c>
      <c r="BI97" s="14" t="n">
        <f aca="false">BH97*(2*($BF97/($BE97+273.15)))</f>
        <v>0.0767533681774455</v>
      </c>
      <c r="BJ97" s="14" t="n">
        <f aca="false">BH97*(2*($BG97/($BE97+273.15)))</f>
        <v>0.0443135777784586</v>
      </c>
      <c r="BL97" s="14" t="n">
        <f aca="false">10^6/((AH97+273.15)^2)</f>
        <v>12.8273830188495</v>
      </c>
      <c r="BM97" s="14" t="n">
        <f aca="false">BL97*(2*($AI97/($AH97+273.15)))</f>
        <v>0.00650169448325688</v>
      </c>
      <c r="BN97" s="14" t="n">
        <f aca="false">10^6/((AJ97+273.15)^2)</f>
        <v>12.8273830188495</v>
      </c>
      <c r="BO97" s="14" t="n">
        <f aca="false">BN97*(2*($AK97/($AJ97+273.15)))</f>
        <v>0.00650169448325688</v>
      </c>
    </row>
    <row r="98" s="14" customFormat="true" ht="16" hidden="false" customHeight="false" outlineLevel="0" collapsed="false">
      <c r="A98" s="22" t="s">
        <v>372</v>
      </c>
      <c r="B98" s="81" t="s">
        <v>743</v>
      </c>
      <c r="C98" s="14" t="s">
        <v>713</v>
      </c>
      <c r="D98" s="36" t="s">
        <v>743</v>
      </c>
      <c r="E98" s="34" t="s">
        <v>744</v>
      </c>
      <c r="F98" s="22" t="n">
        <v>39.54</v>
      </c>
      <c r="G98" s="22" t="n">
        <v>17.25</v>
      </c>
      <c r="H98" s="22" t="s">
        <v>742</v>
      </c>
      <c r="I98" s="22" t="s">
        <v>742</v>
      </c>
      <c r="J98" s="22" t="n">
        <v>582</v>
      </c>
      <c r="K98" s="65" t="s">
        <v>372</v>
      </c>
      <c r="L98" s="22" t="s">
        <v>372</v>
      </c>
      <c r="M98" s="22"/>
      <c r="N98" s="22" t="n">
        <v>582</v>
      </c>
      <c r="O98" s="22" t="s">
        <v>375</v>
      </c>
      <c r="P98" s="22" t="s">
        <v>375</v>
      </c>
      <c r="Q98" s="22" t="n">
        <v>6</v>
      </c>
      <c r="R98" s="80" t="s">
        <v>83</v>
      </c>
      <c r="S98" s="25" t="n">
        <v>38.7655</v>
      </c>
      <c r="T98" s="22" t="n">
        <v>176.663315789474</v>
      </c>
      <c r="U98" s="81" t="n">
        <v>48</v>
      </c>
      <c r="V98" s="82" t="n">
        <v>0.7925</v>
      </c>
      <c r="W98" s="82" t="n">
        <v>0.623853842675732</v>
      </c>
      <c r="X98" s="82" t="n">
        <v>0.0900455460009541</v>
      </c>
      <c r="Y98" s="48" t="n">
        <v>1.9025</v>
      </c>
      <c r="Z98" s="48" t="n">
        <v>0.295228004207062</v>
      </c>
      <c r="AA98" s="48" t="n">
        <v>0.0426124919253158</v>
      </c>
      <c r="AB98" s="27" t="n">
        <v>1.599486156</v>
      </c>
      <c r="AC98" s="27" t="n">
        <v>0.2</v>
      </c>
      <c r="AD98" s="27" t="n">
        <v>0.2</v>
      </c>
      <c r="AE98" s="55" t="n">
        <v>0.646982142857143</v>
      </c>
      <c r="AF98" s="55" t="n">
        <v>0.00348377417665305</v>
      </c>
      <c r="AG98" s="61" t="n">
        <f aca="false">AF98*SQRT(U98)</f>
        <v>0.0241362955042381</v>
      </c>
      <c r="AH98" s="29" t="n">
        <v>13.9</v>
      </c>
      <c r="AI98" s="27" t="n">
        <v>0.0314977019078146</v>
      </c>
      <c r="AJ98" s="44" t="n">
        <v>13.9</v>
      </c>
      <c r="AK98" s="44" t="n">
        <v>0.0314977019078146</v>
      </c>
      <c r="AL98" s="27" t="s">
        <v>63</v>
      </c>
      <c r="AM98" s="14" t="n">
        <v>15.0723385355738</v>
      </c>
      <c r="AN98" s="66"/>
      <c r="AO98" s="66"/>
      <c r="AP98" s="66"/>
      <c r="AQ98" s="66"/>
      <c r="AR98" s="66"/>
      <c r="AS98" s="66"/>
      <c r="AT98" s="66" t="n">
        <v>1.18803315440571</v>
      </c>
      <c r="AU98" s="66"/>
      <c r="AV98" s="66"/>
      <c r="AW98" s="66"/>
      <c r="AX98" s="66"/>
      <c r="AY98" s="66"/>
      <c r="AZ98" s="66"/>
      <c r="BA98" s="66" t="n">
        <v>0.531304578554933</v>
      </c>
      <c r="BE98" s="31" t="n">
        <f aca="false">AM98</f>
        <v>15.0723385355738</v>
      </c>
      <c r="BF98" s="31" t="n">
        <f aca="false">AT98</f>
        <v>1.18803315440571</v>
      </c>
      <c r="BG98" s="31" t="n">
        <f aca="false">BA98</f>
        <v>0.531304578554933</v>
      </c>
      <c r="BH98" s="14" t="n">
        <f aca="false">10^6/((BE98+273.15)^2)</f>
        <v>12.0377335135265</v>
      </c>
      <c r="BI98" s="14" t="n">
        <f aca="false">BH98*(2*($BF98/($BE98+273.15)))</f>
        <v>0.0992374608479908</v>
      </c>
      <c r="BJ98" s="14" t="n">
        <f aca="false">BH98*(2*($BG98/($BE98+273.15)))</f>
        <v>0.0443803416741163</v>
      </c>
      <c r="BL98" s="14" t="n">
        <f aca="false">10^6/((AH98+273.15)^2)</f>
        <v>12.1362607167354</v>
      </c>
      <c r="BM98" s="14" t="n">
        <f aca="false">BL98*(2*($AI98/($AH98+273.15)))</f>
        <v>0.00266339886661733</v>
      </c>
      <c r="BN98" s="14" t="n">
        <f aca="false">10^6/((AJ98+273.15)^2)</f>
        <v>12.1362607167354</v>
      </c>
      <c r="BO98" s="14" t="n">
        <f aca="false">BN98*(2*($AK98/($AJ98+273.15)))</f>
        <v>0.00266339886661733</v>
      </c>
    </row>
    <row r="99" s="14" customFormat="true" ht="16" hidden="false" customHeight="false" outlineLevel="0" collapsed="false">
      <c r="A99" s="22" t="s">
        <v>372</v>
      </c>
      <c r="B99" s="81" t="s">
        <v>749</v>
      </c>
      <c r="C99" s="14" t="s">
        <v>713</v>
      </c>
      <c r="D99" s="36" t="s">
        <v>749</v>
      </c>
      <c r="E99" s="34" t="s">
        <v>750</v>
      </c>
      <c r="F99" s="22" t="n">
        <v>-45.58</v>
      </c>
      <c r="G99" s="22" t="n">
        <v>-157.9</v>
      </c>
      <c r="H99" s="22" t="s">
        <v>56</v>
      </c>
      <c r="I99" s="22" t="s">
        <v>751</v>
      </c>
      <c r="J99" s="22" t="n">
        <v>689</v>
      </c>
      <c r="K99" s="65" t="s">
        <v>372</v>
      </c>
      <c r="L99" s="22" t="s">
        <v>372</v>
      </c>
      <c r="M99" s="22"/>
      <c r="N99" s="22" t="n">
        <v>689</v>
      </c>
      <c r="O99" s="22" t="s">
        <v>375</v>
      </c>
      <c r="P99" s="22" t="s">
        <v>375</v>
      </c>
      <c r="Q99" s="22" t="n">
        <v>6</v>
      </c>
      <c r="R99" s="80" t="s">
        <v>83</v>
      </c>
      <c r="S99" s="25" t="n">
        <v>34.368</v>
      </c>
      <c r="T99" s="22" t="n">
        <v>52.9527142857143</v>
      </c>
      <c r="U99" s="81" t="n">
        <v>32</v>
      </c>
      <c r="V99" s="82" t="n">
        <v>0.5096875</v>
      </c>
      <c r="W99" s="82" t="n">
        <v>0.282334557607379</v>
      </c>
      <c r="X99" s="82" t="n">
        <v>0.0499101700618705</v>
      </c>
      <c r="Y99" s="48" t="n">
        <v>4.27</v>
      </c>
      <c r="Z99" s="48" t="n">
        <v>0.803408063271113</v>
      </c>
      <c r="AA99" s="48" t="n">
        <v>0.142023822399739</v>
      </c>
      <c r="AB99" s="27" t="n">
        <v>-0.07087681681</v>
      </c>
      <c r="AC99" s="27" t="n">
        <v>0.2</v>
      </c>
      <c r="AD99" s="27" t="n">
        <v>0.2</v>
      </c>
      <c r="AE99" s="55" t="n">
        <v>0.6633125</v>
      </c>
      <c r="AF99" s="55" t="n">
        <v>0.00515592313235702</v>
      </c>
      <c r="AG99" s="61" t="n">
        <f aca="false">AF99*SQRT(U99)</f>
        <v>0.0291663056813299</v>
      </c>
      <c r="AH99" s="29" t="n">
        <v>3.77</v>
      </c>
      <c r="AI99" s="27" t="n">
        <v>0.0952722840998887</v>
      </c>
      <c r="AJ99" s="44" t="n">
        <v>3.77</v>
      </c>
      <c r="AK99" s="44" t="n">
        <v>0.0952722840998887</v>
      </c>
      <c r="AL99" s="27" t="s">
        <v>63</v>
      </c>
      <c r="AM99" s="14" t="n">
        <v>1.11087153969709</v>
      </c>
      <c r="AN99" s="66"/>
      <c r="AO99" s="66"/>
      <c r="AP99" s="66"/>
      <c r="AQ99" s="66"/>
      <c r="AR99" s="66"/>
      <c r="AS99" s="66"/>
      <c r="AT99" s="66" t="n">
        <v>6.13572154844892</v>
      </c>
      <c r="AU99" s="66"/>
      <c r="AV99" s="66"/>
      <c r="AW99" s="66"/>
      <c r="AX99" s="66"/>
      <c r="AY99" s="66"/>
      <c r="AZ99" s="66"/>
      <c r="BA99" s="66" t="n">
        <v>4.33861031438066</v>
      </c>
      <c r="BE99" s="31" t="n">
        <f aca="false">AM99</f>
        <v>1.11087153969709</v>
      </c>
      <c r="BF99" s="31" t="n">
        <f aca="false">AT99</f>
        <v>6.13572154844892</v>
      </c>
      <c r="BG99" s="31" t="n">
        <f aca="false">BA99</f>
        <v>4.33861031438066</v>
      </c>
      <c r="BH99" s="14" t="n">
        <f aca="false">10^6/((BE99+273.15)^2)</f>
        <v>13.294508819491</v>
      </c>
      <c r="BI99" s="14" t="n">
        <f aca="false">BH99*(2*($BF99/($BE99+273.15)))</f>
        <v>0.594845365887261</v>
      </c>
      <c r="BJ99" s="14" t="n">
        <f aca="false">BH99*(2*($BG99/($BE99+273.15)))</f>
        <v>0.420619191976275</v>
      </c>
      <c r="BL99" s="14" t="n">
        <f aca="false">10^6/((AH99+273.15)^2)</f>
        <v>13.0404132421411</v>
      </c>
      <c r="BM99" s="14" t="n">
        <f aca="false">BL99*(2*($AI99/($AH99+273.15)))</f>
        <v>0.00897291604207151</v>
      </c>
      <c r="BN99" s="14" t="n">
        <f aca="false">10^6/((AJ99+273.15)^2)</f>
        <v>13.0404132421411</v>
      </c>
      <c r="BO99" s="14" t="n">
        <f aca="false">BN99*(2*($AK99/($AJ99+273.15)))</f>
        <v>0.00897291604207151</v>
      </c>
    </row>
    <row r="100" s="14" customFormat="true" ht="16" hidden="false" customHeight="false" outlineLevel="0" collapsed="false">
      <c r="A100" s="22" t="s">
        <v>83</v>
      </c>
      <c r="B100" s="81" t="s">
        <v>732</v>
      </c>
      <c r="C100" s="14" t="s">
        <v>713</v>
      </c>
      <c r="D100" s="36" t="s">
        <v>733</v>
      </c>
      <c r="E100" s="34" t="s">
        <v>734</v>
      </c>
      <c r="F100" s="22" t="n">
        <v>-4.47</v>
      </c>
      <c r="G100" s="22" t="n">
        <v>-37.21</v>
      </c>
      <c r="H100" s="22" t="s">
        <v>78</v>
      </c>
      <c r="I100" s="22" t="s">
        <v>170</v>
      </c>
      <c r="J100" s="22" t="n">
        <v>1000</v>
      </c>
      <c r="K100" s="83" t="s">
        <v>735</v>
      </c>
      <c r="L100" s="22" t="s">
        <v>736</v>
      </c>
      <c r="M100" s="22"/>
      <c r="N100" s="22" t="n">
        <v>1000</v>
      </c>
      <c r="O100" s="22" t="s">
        <v>172</v>
      </c>
      <c r="P100" s="22" t="s">
        <v>172</v>
      </c>
      <c r="Q100" s="22" t="n">
        <v>2</v>
      </c>
      <c r="R100" s="67" t="s">
        <v>83</v>
      </c>
      <c r="S100" s="25" t="n">
        <v>34.568</v>
      </c>
      <c r="T100" s="22" t="n">
        <v>34.8775555555556</v>
      </c>
      <c r="U100" s="81" t="n">
        <v>21</v>
      </c>
      <c r="V100" s="82" t="n">
        <v>0.991904761904762</v>
      </c>
      <c r="W100" s="82" t="n">
        <v>0.130139119699615</v>
      </c>
      <c r="X100" s="82" t="n">
        <v>0.0283986841380192</v>
      </c>
      <c r="Y100" s="48" t="n">
        <v>3.05761904761905</v>
      </c>
      <c r="Z100" s="48" t="n">
        <v>0.363220384366082</v>
      </c>
      <c r="AA100" s="48" t="n">
        <v>0.0792611859670727</v>
      </c>
      <c r="AB100" s="27" t="n">
        <v>0.022766765</v>
      </c>
      <c r="AC100" s="27" t="n">
        <v>0.2</v>
      </c>
      <c r="AD100" s="27" t="n">
        <v>0.2</v>
      </c>
      <c r="AE100" s="55" t="n">
        <v>0.674333333333333</v>
      </c>
      <c r="AF100" s="55" t="n">
        <v>0.00519172112636727</v>
      </c>
      <c r="AG100" s="61" t="n">
        <f aca="false">AF100*SQRT(U100)</f>
        <v>0.0237914550486794</v>
      </c>
      <c r="AH100" s="29" t="n">
        <v>4.17</v>
      </c>
      <c r="AI100" s="27" t="n">
        <v>0.0713139464588542</v>
      </c>
      <c r="AJ100" s="44" t="n">
        <v>4.17</v>
      </c>
      <c r="AK100" s="44" t="n">
        <v>0.0713139464588542</v>
      </c>
      <c r="AL100" s="27" t="s">
        <v>63</v>
      </c>
      <c r="AM100" s="14" t="n">
        <f aca="false">IF(AND(O100="Benthic, infaunal",M100="elegans"),(0.243-SQRT(((Y100)-(AB100))*0.0012+0.053337))/0.0006,IF(O100="Benthic",(0.245-SQRT(((Y100)-(AB100))*0.0044+0.045461))/0.0022,IF(O100="Benthic, infaunal",(0.245-(SQRT(0.045461+0.0044*((Y100-0.47)-(AB100)))))/0.0022,IF(O100="Benthic, epifaunal",(0.245-SQRT(((Y100)-(AB100))*0.0044+0.045461))/0.0022))))</f>
        <v>1.12877247927311</v>
      </c>
      <c r="AN100" s="45" t="n">
        <f aca="false">Y100-AB100</f>
        <v>3.03485228261905</v>
      </c>
      <c r="AO100" s="45" t="n">
        <f aca="false">SQRT((Z100^2)+(AC100^2))</f>
        <v>0.414643277551976</v>
      </c>
      <c r="AP100" s="46" t="n">
        <f aca="false">IF(NOT($M100="elegans"),(0.045461+0.0044*((AN100))),IF($M100="elegans",(0.053337+0.0012*((AN100)))))</f>
        <v>0.0588143500435238</v>
      </c>
      <c r="AQ100" s="46" t="n">
        <f aca="false">IF(NOT($M100="elegans"),(0.0044*((AO100))),IF($M100="elegans",(0.0012*((AO100)))))</f>
        <v>0.00182443042122869</v>
      </c>
      <c r="AR100" s="46" t="n">
        <f aca="false">SQRT(AP100)</f>
        <v>0.242516700545599</v>
      </c>
      <c r="AS100" s="46" t="n">
        <f aca="false">AR100*(0.5*(AQ100/AP100))</f>
        <v>0.00376145316410004</v>
      </c>
      <c r="AT100" s="46" t="n">
        <f aca="false">IF(NOT($M100="elegans"),AS100/0.0022,IF($M100="elegans",AS100/0.0006))</f>
        <v>1.70975143822729</v>
      </c>
      <c r="AU100" s="45" t="n">
        <f aca="false">Y100-AB100</f>
        <v>3.03485228261905</v>
      </c>
      <c r="AV100" s="45" t="n">
        <f aca="false">SQRT((AA100^2)+(AD100^2))</f>
        <v>0.215133297285443</v>
      </c>
      <c r="AW100" s="46" t="n">
        <f aca="false">IF(NOT($M100="elegans"),(0.045461+0.0044*((AU100))),IF($M100="elegans",(0.053337+0.0012*((AU100)))))</f>
        <v>0.0588143500435238</v>
      </c>
      <c r="AX100" s="46" t="n">
        <f aca="false">IF(NOT($M100="elegans"),(0.0044*((AV100))),IF($M100="elegans",(0.0012*((AV100)))))</f>
        <v>0.00094658650805595</v>
      </c>
      <c r="AY100" s="46" t="n">
        <f aca="false">SQRT(AW100)</f>
        <v>0.242516700545599</v>
      </c>
      <c r="AZ100" s="46" t="n">
        <f aca="false">AY100*(0.5*(AX100/AW100))</f>
        <v>0.00195159035630614</v>
      </c>
      <c r="BA100" s="46" t="n">
        <f aca="false">IF(NOT($M100="elegans"),AZ100/0.0022,IF($M100="elegans",AZ100/0.0006))</f>
        <v>0.8870865255937</v>
      </c>
      <c r="BE100" s="31" t="n">
        <f aca="false">AM100</f>
        <v>1.12877247927311</v>
      </c>
      <c r="BF100" s="31" t="n">
        <f aca="false">AT100</f>
        <v>1.70975143822729</v>
      </c>
      <c r="BG100" s="31" t="n">
        <f aca="false">BA100</f>
        <v>0.8870865255937</v>
      </c>
      <c r="BH100" s="14" t="n">
        <f aca="false">10^6/((BE100+273.15)^2)</f>
        <v>13.2927735307492</v>
      </c>
      <c r="BI100" s="14" t="n">
        <f aca="false">BH100*(2*($BF100/($BE100+273.15)))</f>
        <v>0.165724372008743</v>
      </c>
      <c r="BJ100" s="14" t="n">
        <f aca="false">BH100*(2*($BG100/($BE100+273.15)))</f>
        <v>0.08598434490797</v>
      </c>
      <c r="BL100" s="14" t="n">
        <f aca="false">10^6/((AH100+273.15)^2)</f>
        <v>13.0028219868524</v>
      </c>
      <c r="BM100" s="14" t="n">
        <f aca="false">BL100*(2*($AI100/($AH100+273.15)))</f>
        <v>0.00668745529341126</v>
      </c>
      <c r="BN100" s="14" t="n">
        <f aca="false">10^6/((AJ100+273.15)^2)</f>
        <v>13.0028219868524</v>
      </c>
      <c r="BO100" s="14" t="n">
        <f aca="false">BN100*(2*($AK100/($AJ100+273.15)))</f>
        <v>0.00668745529341126</v>
      </c>
    </row>
    <row r="101" s="14" customFormat="true" ht="16" hidden="false" customHeight="false" outlineLevel="0" collapsed="false">
      <c r="A101" s="22" t="s">
        <v>83</v>
      </c>
      <c r="B101" s="81" t="s">
        <v>745</v>
      </c>
      <c r="C101" s="14" t="s">
        <v>713</v>
      </c>
      <c r="D101" s="36" t="s">
        <v>745</v>
      </c>
      <c r="E101" s="34" t="s">
        <v>746</v>
      </c>
      <c r="F101" s="22" t="n">
        <v>-43.72</v>
      </c>
      <c r="G101" s="22" t="n">
        <v>-120.67</v>
      </c>
      <c r="H101" s="22" t="s">
        <v>56</v>
      </c>
      <c r="I101" s="22" t="s">
        <v>747</v>
      </c>
      <c r="J101" s="22" t="n">
        <v>3840</v>
      </c>
      <c r="K101" s="83" t="s">
        <v>748</v>
      </c>
      <c r="L101" s="22" t="s">
        <v>166</v>
      </c>
      <c r="M101" s="22" t="s">
        <v>81</v>
      </c>
      <c r="N101" s="22" t="n">
        <v>3840</v>
      </c>
      <c r="O101" s="22" t="s">
        <v>172</v>
      </c>
      <c r="P101" s="22" t="s">
        <v>172</v>
      </c>
      <c r="Q101" s="22" t="n">
        <v>2</v>
      </c>
      <c r="R101" s="67" t="s">
        <v>83</v>
      </c>
      <c r="S101" s="25" t="n">
        <v>34.693</v>
      </c>
      <c r="T101" s="22" t="n">
        <v>-14.7537647058824</v>
      </c>
      <c r="U101" s="81" t="n">
        <v>6</v>
      </c>
      <c r="V101" s="82" t="n">
        <v>0.38</v>
      </c>
      <c r="W101" s="82" t="n">
        <v>0.095707888912043</v>
      </c>
      <c r="X101" s="82" t="n">
        <v>0.0390725820322469</v>
      </c>
      <c r="Y101" s="48" t="n">
        <v>2.93</v>
      </c>
      <c r="Z101" s="48" t="n">
        <v>0.0589915248150105</v>
      </c>
      <c r="AA101" s="48" t="n">
        <v>0.0240831891575846</v>
      </c>
      <c r="AB101" s="27" t="n">
        <v>-0.07564823044</v>
      </c>
      <c r="AC101" s="27" t="n">
        <v>0.2</v>
      </c>
      <c r="AD101" s="27" t="n">
        <v>0.2</v>
      </c>
      <c r="AE101" s="55" t="n">
        <v>0.6675</v>
      </c>
      <c r="AF101" s="55" t="n">
        <v>0.0108957178132818</v>
      </c>
      <c r="AG101" s="61" t="n">
        <f aca="false">AF101*SQRT(U101)</f>
        <v>0.0266889490238938</v>
      </c>
      <c r="AH101" s="29" t="n">
        <v>1.42</v>
      </c>
      <c r="AI101" s="27" t="n">
        <v>0.120007511560938</v>
      </c>
      <c r="AJ101" s="44" t="n">
        <v>1.42</v>
      </c>
      <c r="AK101" s="44" t="n">
        <v>0.120007511560938</v>
      </c>
      <c r="AL101" s="27" t="s">
        <v>84</v>
      </c>
      <c r="AM101" s="14" t="n">
        <f aca="false">IF(AND(O101="Benthic, infaunal",M101="elegans"),(0.243-SQRT(((Y101)-(AB101))*0.0012+0.053337))/0.0006,IF(O101="Benthic",(0.245-SQRT(((Y101)-(AB101))*0.0044+0.045461))/0.0022,IF(O101="Benthic, infaunal",(0.245-(SQRT(0.045461+0.0044*((Y101-0.47)-(AB101)))))/0.0022,IF(O101="Benthic, epifaunal",(0.245-SQRT(((Y101)-(AB101))*0.0044+0.045461))/0.0022))))</f>
        <v>1.24925911316327</v>
      </c>
      <c r="AN101" s="45" t="n">
        <f aca="false">Y101-AB101</f>
        <v>3.00564823044</v>
      </c>
      <c r="AO101" s="45" t="n">
        <f aca="false">SQRT((Z101^2)+(AC101^2))</f>
        <v>0.208518584303654</v>
      </c>
      <c r="AP101" s="46" t="n">
        <f aca="false">IF(NOT($M101="elegans"),(0.045461+0.0044*((AN101))),IF($M101="elegans",(0.053337+0.0012*((AN101)))))</f>
        <v>0.058685852213936</v>
      </c>
      <c r="AQ101" s="46" t="n">
        <f aca="false">IF(NOT($M101="elegans"),(0.0044*((AO101))),IF($M101="elegans",(0.0012*((AO101)))))</f>
        <v>0.000917481770936077</v>
      </c>
      <c r="AR101" s="46" t="n">
        <f aca="false">SQRT(AP101)</f>
        <v>0.242251629951041</v>
      </c>
      <c r="AS101" s="46" t="n">
        <f aca="false">AR101*(0.5*(AQ101/AP101))</f>
        <v>0.00189365448463959</v>
      </c>
      <c r="AT101" s="46" t="n">
        <f aca="false">IF(NOT($M101="elegans"),AS101/0.0022,IF($M101="elegans",AS101/0.0006))</f>
        <v>0.86075203847254</v>
      </c>
      <c r="AU101" s="45" t="n">
        <f aca="false">Y101-AB101</f>
        <v>3.00564823044</v>
      </c>
      <c r="AV101" s="45" t="n">
        <f aca="false">SQRT((AA101^2)+(AD101^2))</f>
        <v>0.201444781515928</v>
      </c>
      <c r="AW101" s="46" t="n">
        <f aca="false">IF(NOT($M101="elegans"),(0.045461+0.0044*((AU101))),IF($M101="elegans",(0.053337+0.0012*((AU101)))))</f>
        <v>0.058685852213936</v>
      </c>
      <c r="AX101" s="46" t="n">
        <f aca="false">IF(NOT($M101="elegans"),(0.0044*((AV101))),IF($M101="elegans",(0.0012*((AV101)))))</f>
        <v>0.000886357038670084</v>
      </c>
      <c r="AY101" s="46" t="n">
        <f aca="false">SQRT(AW101)</f>
        <v>0.242251629951041</v>
      </c>
      <c r="AZ101" s="46" t="n">
        <f aca="false">AY101*(0.5*(AX101/AW101))</f>
        <v>0.00182941398340481</v>
      </c>
      <c r="BA101" s="46" t="n">
        <f aca="false">IF(NOT($M101="elegans"),AZ101/0.0022,IF($M101="elegans",AZ101/0.0006))</f>
        <v>0.831551810638551</v>
      </c>
      <c r="BE101" s="31" t="n">
        <f aca="false">AM101</f>
        <v>1.24925911316327</v>
      </c>
      <c r="BF101" s="31" t="n">
        <f aca="false">AT101</f>
        <v>0.86075203847254</v>
      </c>
      <c r="BG101" s="31" t="n">
        <f aca="false">BA101</f>
        <v>0.831551810638551</v>
      </c>
      <c r="BH101" s="14" t="n">
        <f aca="false">10^6/((BE101+273.15)^2)</f>
        <v>13.2811025815097</v>
      </c>
      <c r="BI101" s="14" t="n">
        <f aca="false">BH101*(2*($BF101/($BE101+273.15)))</f>
        <v>0.0833219168094247</v>
      </c>
      <c r="BJ101" s="14" t="n">
        <f aca="false">BH101*(2*($BG101/($BE101+273.15)))</f>
        <v>0.0804952967775773</v>
      </c>
      <c r="BL101" s="14" t="n">
        <f aca="false">10^6/((AH101+273.15)^2)</f>
        <v>13.2645900552113</v>
      </c>
      <c r="BM101" s="14" t="n">
        <f aca="false">BL101*(2*($AI101/($AH101+273.15)))</f>
        <v>0.0115952248563345</v>
      </c>
      <c r="BN101" s="14" t="n">
        <f aca="false">10^6/((AJ101+273.15)^2)</f>
        <v>13.2645900552113</v>
      </c>
      <c r="BO101" s="14" t="n">
        <f aca="false">BN101*(2*($AK101/($AJ101+273.15)))</f>
        <v>0.0115952248563345</v>
      </c>
    </row>
    <row r="102" s="14" customFormat="true" ht="16" hidden="false" customHeight="false" outlineLevel="0" collapsed="false">
      <c r="A102" s="22" t="s">
        <v>83</v>
      </c>
      <c r="B102" s="81" t="s">
        <v>726</v>
      </c>
      <c r="C102" s="14" t="s">
        <v>713</v>
      </c>
      <c r="D102" s="36" t="s">
        <v>727</v>
      </c>
      <c r="E102" s="34" t="s">
        <v>728</v>
      </c>
      <c r="F102" s="22" t="n">
        <v>63.83</v>
      </c>
      <c r="G102" s="22" t="n">
        <v>5.27</v>
      </c>
      <c r="H102" s="22" t="s">
        <v>78</v>
      </c>
      <c r="I102" s="22" t="s">
        <v>79</v>
      </c>
      <c r="J102" s="22" t="n">
        <v>830</v>
      </c>
      <c r="K102" s="83" t="s">
        <v>729</v>
      </c>
      <c r="L102" s="22" t="s">
        <v>730</v>
      </c>
      <c r="M102" s="22" t="s">
        <v>731</v>
      </c>
      <c r="N102" s="22" t="n">
        <v>830</v>
      </c>
      <c r="O102" s="22" t="s">
        <v>178</v>
      </c>
      <c r="P102" s="22" t="s">
        <v>178</v>
      </c>
      <c r="Q102" s="22" t="n">
        <v>1</v>
      </c>
      <c r="R102" s="67" t="s">
        <v>83</v>
      </c>
      <c r="S102" s="25" t="n">
        <v>34.911</v>
      </c>
      <c r="T102" s="36" t="n">
        <v>102</v>
      </c>
      <c r="U102" s="81" t="n">
        <v>20</v>
      </c>
      <c r="V102" s="82" t="n">
        <v>-2.3445</v>
      </c>
      <c r="W102" s="82" t="n">
        <v>0.236275374577164</v>
      </c>
      <c r="X102" s="82" t="n">
        <v>0.0528327798963763</v>
      </c>
      <c r="Y102" s="48" t="n">
        <v>3.926</v>
      </c>
      <c r="Z102" s="48" t="n">
        <v>0.131565472994287</v>
      </c>
      <c r="AA102" s="48" t="n">
        <v>0.0294189341107139</v>
      </c>
      <c r="AB102" s="27" t="n">
        <v>0.279380364</v>
      </c>
      <c r="AC102" s="27" t="n">
        <v>0.2</v>
      </c>
      <c r="AD102" s="27" t="n">
        <v>0.2</v>
      </c>
      <c r="AE102" s="55" t="n">
        <v>0.6966</v>
      </c>
      <c r="AF102" s="55" t="n">
        <v>0.0079721224803753</v>
      </c>
      <c r="AG102" s="61" t="n">
        <f aca="false">AF102*SQRT(U102)</f>
        <v>0.0356524155821468</v>
      </c>
      <c r="AH102" s="29" t="n">
        <v>-0.74</v>
      </c>
      <c r="AI102" s="27" t="n">
        <v>0.0508433688939973</v>
      </c>
      <c r="AJ102" s="44" t="n">
        <v>-0.74</v>
      </c>
      <c r="AK102" s="44" t="n">
        <v>0.0508433688939973</v>
      </c>
      <c r="AL102" s="27" t="s">
        <v>63</v>
      </c>
      <c r="AM102" s="14" t="n">
        <f aca="false">IF(AND(O102="Benthic, infaunal",M102="elegans"),(0.243-SQRT(((Y102)-(AB102))*0.0012+0.053337))/0.0006,IF(O102="Benthic",(0.245-SQRT(((Y102)-(AB102))*0.0044+0.045461))/0.0022,IF(O102="Benthic, infaunal",(0.245-(SQRT(0.045461+0.0044*((Y102-0.47)-(AB102)))))/0.0022,IF(O102="Benthic, epifaunal",(0.245-SQRT(((Y102)-(AB102))*0.0044+0.045461))/0.0022))))</f>
        <v>0.545746888296705</v>
      </c>
      <c r="AN102" s="45" t="n">
        <f aca="false">Y102-AB102</f>
        <v>3.646619636</v>
      </c>
      <c r="AO102" s="45" t="n">
        <f aca="false">SQRT((Z102^2)+(AC102^2))</f>
        <v>0.239393971695635</v>
      </c>
      <c r="AP102" s="46" t="n">
        <f aca="false">IF(NOT($M102="elegans"),(0.045461+0.0044*((AN102))),IF($M102="elegans",(0.053337+0.0012*((AN102)))))</f>
        <v>0.0615061263984</v>
      </c>
      <c r="AQ102" s="46" t="n">
        <f aca="false">IF(NOT($M102="elegans"),(0.0044*((AO102))),IF($M102="elegans",(0.0012*((AO102)))))</f>
        <v>0.00105333347546079</v>
      </c>
      <c r="AR102" s="46" t="n">
        <f aca="false">SQRT(AP102)</f>
        <v>0.248004287056494</v>
      </c>
      <c r="AS102" s="46" t="n">
        <f aca="false">AR102*(0.5*(AQ102/AP102))</f>
        <v>0.00212361949053899</v>
      </c>
      <c r="AT102" s="46" t="n">
        <f aca="false">IF(NOT($M102="elegans"),AS102/0.0022,IF($M102="elegans",AS102/0.0006))</f>
        <v>0.965281586608631</v>
      </c>
      <c r="AU102" s="45" t="n">
        <f aca="false">Y102-AB102</f>
        <v>3.646619636</v>
      </c>
      <c r="AV102" s="45" t="n">
        <f aca="false">SQRT((AA102^2)+(AD102^2))</f>
        <v>0.202152105317285</v>
      </c>
      <c r="AW102" s="46" t="n">
        <f aca="false">IF(NOT($M102="elegans"),(0.045461+0.0044*((AU102))),IF($M102="elegans",(0.053337+0.0012*((AU102)))))</f>
        <v>0.0615061263984</v>
      </c>
      <c r="AX102" s="46" t="n">
        <f aca="false">IF(NOT($M102="elegans"),(0.0044*((AV102))),IF($M102="elegans",(0.0012*((AV102)))))</f>
        <v>0.000889469263396052</v>
      </c>
      <c r="AY102" s="46" t="n">
        <f aca="false">SQRT(AW102)</f>
        <v>0.248004287056494</v>
      </c>
      <c r="AZ102" s="46" t="n">
        <f aca="false">AY102*(0.5*(AX102/AW102))</f>
        <v>0.00179325380611956</v>
      </c>
      <c r="BA102" s="46" t="n">
        <f aca="false">IF(NOT($M102="elegans"),AZ102/0.0022,IF($M102="elegans",AZ102/0.0006))</f>
        <v>0.815115366417982</v>
      </c>
      <c r="BE102" s="31" t="n">
        <f aca="false">AM102</f>
        <v>0.545746888296705</v>
      </c>
      <c r="BF102" s="31" t="n">
        <f aca="false">AT102</f>
        <v>0.965281586608631</v>
      </c>
      <c r="BG102" s="31" t="n">
        <f aca="false">BA102</f>
        <v>0.815115366417982</v>
      </c>
      <c r="BH102" s="14" t="n">
        <f aca="false">10^6/((BE102+273.15)^2)</f>
        <v>13.3494662763997</v>
      </c>
      <c r="BI102" s="14" t="n">
        <f aca="false">BH102*(2*($BF102/($BE102+273.15)))</f>
        <v>0.0941629099769726</v>
      </c>
      <c r="BJ102" s="14" t="n">
        <f aca="false">BH102*(2*($BG102/($BE102+273.15)))</f>
        <v>0.0795142432360339</v>
      </c>
      <c r="BL102" s="14" t="n">
        <f aca="false">10^6/((AH102+273.15)^2)</f>
        <v>13.4757798548683</v>
      </c>
      <c r="BM102" s="14" t="n">
        <f aca="false">BL102*(2*($AI102/($AH102+273.15)))</f>
        <v>0.00503031493921197</v>
      </c>
      <c r="BN102" s="14" t="n">
        <f aca="false">10^6/((AJ102+273.15)^2)</f>
        <v>13.4757798548683</v>
      </c>
      <c r="BO102" s="14" t="n">
        <f aca="false">BN102*(2*($AK102/($AJ102+273.15)))</f>
        <v>0.00503031493921197</v>
      </c>
    </row>
    <row r="103" s="14" customFormat="true" ht="16" hidden="false" customHeight="false" outlineLevel="0" collapsed="false">
      <c r="A103" s="22" t="s">
        <v>83</v>
      </c>
      <c r="B103" s="81" t="s">
        <v>739</v>
      </c>
      <c r="C103" s="14" t="s">
        <v>713</v>
      </c>
      <c r="D103" s="36" t="s">
        <v>740</v>
      </c>
      <c r="E103" s="34" t="s">
        <v>741</v>
      </c>
      <c r="F103" s="22" t="n">
        <v>39.72</v>
      </c>
      <c r="G103" s="22" t="n">
        <v>16.97</v>
      </c>
      <c r="H103" s="22" t="s">
        <v>742</v>
      </c>
      <c r="I103" s="22" t="s">
        <v>742</v>
      </c>
      <c r="J103" s="22" t="n">
        <v>246</v>
      </c>
      <c r="K103" s="83" t="s">
        <v>675</v>
      </c>
      <c r="L103" s="22" t="s">
        <v>184</v>
      </c>
      <c r="M103" s="22" t="s">
        <v>676</v>
      </c>
      <c r="N103" s="22" t="n">
        <v>246</v>
      </c>
      <c r="O103" s="22" t="s">
        <v>178</v>
      </c>
      <c r="P103" s="22" t="s">
        <v>178</v>
      </c>
      <c r="Q103" s="22" t="n">
        <v>1</v>
      </c>
      <c r="R103" s="67" t="s">
        <v>83</v>
      </c>
      <c r="S103" s="25" t="n">
        <v>38.6995</v>
      </c>
      <c r="T103" s="22" t="n">
        <v>185.59719205298</v>
      </c>
      <c r="U103" s="81" t="n">
        <v>12</v>
      </c>
      <c r="V103" s="82" t="n">
        <v>0.461666666666667</v>
      </c>
      <c r="W103" s="82" t="n">
        <v>0.314406607995944</v>
      </c>
      <c r="X103" s="82" t="n">
        <v>0.0907613698807277</v>
      </c>
      <c r="Y103" s="48" t="n">
        <v>2.1225</v>
      </c>
      <c r="Z103" s="48" t="n">
        <v>0.0683739716558867</v>
      </c>
      <c r="AA103" s="48" t="n">
        <v>0.019737865470545</v>
      </c>
      <c r="AB103" s="27" t="n">
        <v>1.640541104</v>
      </c>
      <c r="AC103" s="27" t="n">
        <v>0.2</v>
      </c>
      <c r="AD103" s="27" t="n">
        <v>0.2</v>
      </c>
      <c r="AE103" s="55" t="n">
        <v>0.632333333333333</v>
      </c>
      <c r="AF103" s="55" t="n">
        <v>0.00762703855842602</v>
      </c>
      <c r="AG103" s="61" t="n">
        <f aca="false">AF103*SQRT(U103)</f>
        <v>0.0264208365889615</v>
      </c>
      <c r="AH103" s="29" t="n">
        <v>13.9</v>
      </c>
      <c r="AI103" s="27" t="n">
        <v>0.0314977019078146</v>
      </c>
      <c r="AJ103" s="44" t="n">
        <v>13.9</v>
      </c>
      <c r="AK103" s="44" t="n">
        <v>0.0314977019078146</v>
      </c>
      <c r="AL103" s="27" t="s">
        <v>63</v>
      </c>
      <c r="AM103" s="14" t="n">
        <f aca="false">IF(AND(O103="Benthic, infaunal",M103="elegans"),(0.243-SQRT(((Y103)-(AB103))*0.0012+0.053337))/0.0006,IF(O103="Benthic",(0.245-SQRT(((Y103)-(AB103))*0.0044+0.045461))/0.0022,IF(O103="Benthic, infaunal",(0.245-(SQRT(0.045461+0.0044*((Y103-0.47)-(AB103)))))/0.0022,IF(O103="Benthic, epifaunal",(0.245-SQRT(((Y103)-(AB103))*0.0044+0.045461))/0.0022))))</f>
        <v>14.391267522416</v>
      </c>
      <c r="AN103" s="45" t="n">
        <f aca="false">Y103-AB103</f>
        <v>0.481958896</v>
      </c>
      <c r="AO103" s="45" t="n">
        <f aca="false">SQRT((Z103^2)+(AC103^2))</f>
        <v>0.211364613878482</v>
      </c>
      <c r="AP103" s="46" t="n">
        <f aca="false">IF(NOT($M103="elegans"),(0.045461+0.0044*((AN103))),IF($M103="elegans",(0.053337+0.0012*((AN103)))))</f>
        <v>0.0475816191424</v>
      </c>
      <c r="AQ103" s="46" t="n">
        <f aca="false">IF(NOT($M103="elegans"),(0.0044*((AO103))),IF($M103="elegans",(0.0012*((AO103)))))</f>
        <v>0.000930004301065323</v>
      </c>
      <c r="AR103" s="46" t="n">
        <f aca="false">SQRT(AP103)</f>
        <v>0.218132113963992</v>
      </c>
      <c r="AS103" s="46" t="n">
        <f aca="false">AR103*(0.5*(AQ103/AP103))</f>
        <v>0.00213174549167676</v>
      </c>
      <c r="AT103" s="46" t="n">
        <f aca="false">IF(NOT($M103="elegans"),AS103/0.0022,IF($M103="elegans",AS103/0.0006))</f>
        <v>0.968975223489437</v>
      </c>
      <c r="AU103" s="45" t="n">
        <f aca="false">Y103-AB103</f>
        <v>0.481958896</v>
      </c>
      <c r="AV103" s="45" t="n">
        <f aca="false">SQRT((AA103^2)+(AD103^2))</f>
        <v>0.20097159832507</v>
      </c>
      <c r="AW103" s="46" t="n">
        <f aca="false">IF(NOT($M103="elegans"),(0.045461+0.0044*((AU103))),IF($M103="elegans",(0.053337+0.0012*((AU103)))))</f>
        <v>0.0475816191424</v>
      </c>
      <c r="AX103" s="46" t="n">
        <f aca="false">IF(NOT($M103="elegans"),(0.0044*((AV103))),IF($M103="elegans",(0.0012*((AV103)))))</f>
        <v>0.000884275032630309</v>
      </c>
      <c r="AY103" s="46" t="n">
        <f aca="false">SQRT(AW103)</f>
        <v>0.218132113963992</v>
      </c>
      <c r="AZ103" s="46" t="n">
        <f aca="false">AY103*(0.5*(AX103/AW103))</f>
        <v>0.00202692537233715</v>
      </c>
      <c r="BA103" s="46" t="n">
        <f aca="false">IF(NOT($M103="elegans"),AZ103/0.0022,IF($M103="elegans",AZ103/0.0006))</f>
        <v>0.921329714698705</v>
      </c>
      <c r="BE103" s="31" t="n">
        <f aca="false">AM103</f>
        <v>14.391267522416</v>
      </c>
      <c r="BF103" s="31" t="n">
        <f aca="false">AT103</f>
        <v>0.968975223489437</v>
      </c>
      <c r="BG103" s="31" t="n">
        <f aca="false">BA103</f>
        <v>0.921329714698705</v>
      </c>
      <c r="BH103" s="14" t="n">
        <f aca="false">10^6/((BE103+273.15)^2)</f>
        <v>12.0948262639774</v>
      </c>
      <c r="BI103" s="14" t="n">
        <f aca="false">BH103*(2*($BF103/($BE103+273.15)))</f>
        <v>0.0815158608931829</v>
      </c>
      <c r="BJ103" s="14" t="n">
        <f aca="false">BH103*(2*($BG103/($BE103+273.15)))</f>
        <v>0.0775076421352421</v>
      </c>
      <c r="BL103" s="14" t="n">
        <f aca="false">10^6/((AH103+273.15)^2)</f>
        <v>12.1362607167354</v>
      </c>
      <c r="BM103" s="14" t="n">
        <f aca="false">BL103*(2*($AI103/($AH103+273.15)))</f>
        <v>0.00266339886661733</v>
      </c>
      <c r="BN103" s="14" t="n">
        <f aca="false">10^6/((AJ103+273.15)^2)</f>
        <v>12.1362607167354</v>
      </c>
      <c r="BO103" s="14" t="n">
        <f aca="false">BN103*(2*($AK103/($AJ103+273.15)))</f>
        <v>0.00266339886661733</v>
      </c>
    </row>
    <row r="104" s="14" customFormat="true" ht="16" hidden="false" customHeight="false" outlineLevel="0" collapsed="false">
      <c r="A104" s="22" t="s">
        <v>372</v>
      </c>
      <c r="B104" s="84" t="s">
        <v>530</v>
      </c>
      <c r="C104" s="14" t="s">
        <v>438</v>
      </c>
      <c r="D104" s="23" t="s">
        <v>531</v>
      </c>
      <c r="E104" s="24" t="s">
        <v>532</v>
      </c>
      <c r="F104" s="22" t="n">
        <v>0</v>
      </c>
      <c r="G104" s="22" t="n">
        <v>161.8</v>
      </c>
      <c r="H104" s="22" t="s">
        <v>56</v>
      </c>
      <c r="I104" s="22" t="s">
        <v>57</v>
      </c>
      <c r="J104" s="22" t="n">
        <v>4025</v>
      </c>
      <c r="K104" s="27" t="s">
        <v>372</v>
      </c>
      <c r="L104" s="22" t="s">
        <v>372</v>
      </c>
      <c r="M104" s="22"/>
      <c r="N104" s="22" t="n">
        <v>4025</v>
      </c>
      <c r="O104" s="22" t="s">
        <v>375</v>
      </c>
      <c r="P104" s="22" t="s">
        <v>375</v>
      </c>
      <c r="Q104" s="22" t="n">
        <v>6</v>
      </c>
      <c r="R104" s="25" t="s">
        <v>83</v>
      </c>
      <c r="S104" s="25" t="n">
        <v>34.695</v>
      </c>
      <c r="T104" s="22" t="n">
        <v>-16.6244949152542</v>
      </c>
      <c r="U104" s="85" t="n">
        <v>1</v>
      </c>
      <c r="V104" s="79" t="n">
        <v>0.06</v>
      </c>
      <c r="W104" s="79" t="n">
        <v>0</v>
      </c>
      <c r="X104" s="85" t="n">
        <v>0</v>
      </c>
      <c r="Y104" s="27" t="n">
        <v>2.07</v>
      </c>
      <c r="Z104" s="27" t="n">
        <v>0</v>
      </c>
      <c r="AA104" s="23" t="n">
        <v>0</v>
      </c>
      <c r="AB104" s="27" t="n">
        <v>-0.07205411</v>
      </c>
      <c r="AC104" s="27" t="n">
        <v>0.2</v>
      </c>
      <c r="AD104" s="27" t="n">
        <v>0.2</v>
      </c>
      <c r="AE104" s="28" t="n">
        <v>0.651781561</v>
      </c>
      <c r="AF104" s="23" t="n">
        <v>0.014</v>
      </c>
      <c r="AG104" s="61" t="n">
        <f aca="false">AF104*SQRT(U104)</f>
        <v>0.014</v>
      </c>
      <c r="AH104" s="29" t="n">
        <v>1.49699997901917</v>
      </c>
      <c r="AI104" s="27" t="n">
        <v>0.0438575553398775</v>
      </c>
      <c r="AJ104" s="44" t="n">
        <v>1.49699997901917</v>
      </c>
      <c r="AK104" s="44" t="n">
        <v>0.0438575553398775</v>
      </c>
      <c r="AL104" s="27" t="s">
        <v>63</v>
      </c>
      <c r="AM104" s="14" t="n">
        <f aca="false">IF(AND(O104="Benthic, infaunal",M104="elegans"),(0.243-SQRT(((Y104)-(AB104))*0.0012+0.053337))/0.0006,IF(O104="Benthic",(0.245-SQRT(((Y104)-(AB104))*0.0044+0.045461))/0.0022,IF(O104="Benthic, infaunal",(0.245-(SQRT(0.045461+0.0044*((Y104-0.47)-(AB104)))))/0.0022,IF(O104="Benthic, epifaunal",(0.245-SQRT(((Y104)-(AB104))*0.0044+0.045461))/0.0022))))</f>
        <v>4.8737752818266</v>
      </c>
      <c r="AN104" s="45" t="n">
        <f aca="false">Y104-AB104</f>
        <v>2.14205411</v>
      </c>
      <c r="AO104" s="45" t="n">
        <f aca="false">SQRT((Z104^2)+(AC104^2))</f>
        <v>0.2</v>
      </c>
      <c r="AP104" s="46" t="n">
        <f aca="false">IF(NOT($M104="elegans"),(0.045461+0.0044*((AN104))),IF($M104="elegans",(0.053337+0.0012*((AN104)))))</f>
        <v>0.054886038084</v>
      </c>
      <c r="AQ104" s="46" t="n">
        <f aca="false">IF(NOT($M104="elegans"),(0.0044*((AO104))),IF($M104="elegans",(0.0012*((AO104)))))</f>
        <v>0.00088</v>
      </c>
      <c r="AR104" s="46" t="n">
        <f aca="false">SQRT(AP104)</f>
        <v>0.234277694379981</v>
      </c>
      <c r="AS104" s="46" t="n">
        <f aca="false">AR104*(0.5*(AQ104/AP104))</f>
        <v>0.00187811307074907</v>
      </c>
      <c r="AT104" s="46" t="n">
        <f aca="false">IF(NOT($M104="elegans"),AS104/0.0022,IF($M104="elegans",AS104/0.0006))</f>
        <v>0.853687759431397</v>
      </c>
      <c r="AU104" s="45" t="n">
        <f aca="false">Y104-AB104</f>
        <v>2.14205411</v>
      </c>
      <c r="AV104" s="45" t="n">
        <f aca="false">SQRT((AA104^2)+(AD104^2))</f>
        <v>0.2</v>
      </c>
      <c r="AW104" s="46" t="n">
        <f aca="false">IF(NOT($M104="elegans"),(0.045461+0.0044*((AU104))),IF($M104="elegans",(0.053337+0.0012*((AU104)))))</f>
        <v>0.054886038084</v>
      </c>
      <c r="AX104" s="46" t="n">
        <f aca="false">IF(NOT($M104="elegans"),(0.0044*((AV104))),IF($M104="elegans",(0.0012*((AV104)))))</f>
        <v>0.00088</v>
      </c>
      <c r="AY104" s="46" t="n">
        <f aca="false">SQRT(AW104)</f>
        <v>0.234277694379981</v>
      </c>
      <c r="AZ104" s="46" t="n">
        <f aca="false">AY104*(0.5*(AX104/AW104))</f>
        <v>0.00187811307074907</v>
      </c>
      <c r="BA104" s="46" t="n">
        <f aca="false">IF(NOT($M104="elegans"),AZ104/0.0022,IF($M104="elegans",AZ104/0.0006))</f>
        <v>0.853687759431397</v>
      </c>
      <c r="BE104" s="31" t="n">
        <f aca="false">AM104</f>
        <v>4.8737752818266</v>
      </c>
      <c r="BF104" s="31" t="n">
        <f aca="false">AT104</f>
        <v>0.853687759431397</v>
      </c>
      <c r="BG104" s="31" t="n">
        <f aca="false">BA104</f>
        <v>0.853687759431397</v>
      </c>
      <c r="BH104" s="14" t="n">
        <f aca="false">10^6/((BE104+273.15)^2)</f>
        <v>12.9370759374106</v>
      </c>
      <c r="BI104" s="14" t="n">
        <f aca="false">BH104*(2*($BF104/($BE104+273.15)))</f>
        <v>0.079448049789315</v>
      </c>
      <c r="BJ104" s="14" t="n">
        <f aca="false">BH104*(2*($BG104/($BE104+273.15)))</f>
        <v>0.079448049789315</v>
      </c>
      <c r="BL104" s="14" t="n">
        <f aca="false">10^6/((AH104+273.15)^2)</f>
        <v>13.2571533820997</v>
      </c>
      <c r="BM104" s="14" t="n">
        <f aca="false">BL104*(2*($AI104/($AH104+273.15)))</f>
        <v>0.00423399009018194</v>
      </c>
      <c r="BN104" s="14" t="n">
        <f aca="false">10^6/((AJ104+273.15)^2)</f>
        <v>13.2571533820997</v>
      </c>
      <c r="BO104" s="14" t="n">
        <f aca="false">BN104*(2*($AK104/($AJ104+273.15)))</f>
        <v>0.00423399009018194</v>
      </c>
    </row>
    <row r="105" s="14" customFormat="true" ht="16" hidden="false" customHeight="false" outlineLevel="0" collapsed="false">
      <c r="A105" s="22" t="s">
        <v>464</v>
      </c>
      <c r="B105" s="84" t="s">
        <v>465</v>
      </c>
      <c r="C105" s="14" t="s">
        <v>438</v>
      </c>
      <c r="D105" s="23" t="s">
        <v>466</v>
      </c>
      <c r="E105" s="24" t="s">
        <v>467</v>
      </c>
      <c r="F105" s="22" t="n">
        <v>52.9</v>
      </c>
      <c r="G105" s="22" t="n">
        <v>-16.9</v>
      </c>
      <c r="H105" s="22" t="s">
        <v>78</v>
      </c>
      <c r="I105" s="22" t="s">
        <v>79</v>
      </c>
      <c r="J105" s="22" t="n">
        <v>3600</v>
      </c>
      <c r="K105" s="27" t="s">
        <v>464</v>
      </c>
      <c r="L105" s="22" t="s">
        <v>166</v>
      </c>
      <c r="M105" s="22" t="s">
        <v>468</v>
      </c>
      <c r="N105" s="22" t="n">
        <v>3600</v>
      </c>
      <c r="O105" s="22" t="s">
        <v>172</v>
      </c>
      <c r="P105" s="22" t="s">
        <v>172</v>
      </c>
      <c r="Q105" s="22" t="n">
        <v>2</v>
      </c>
      <c r="R105" s="25" t="s">
        <v>83</v>
      </c>
      <c r="S105" s="25" t="n">
        <v>34.912</v>
      </c>
      <c r="T105" s="22" t="n">
        <v>22.7394508196721</v>
      </c>
      <c r="U105" s="85" t="n">
        <v>1</v>
      </c>
      <c r="V105" s="79" t="n">
        <v>0.16</v>
      </c>
      <c r="W105" s="79" t="n">
        <v>0</v>
      </c>
      <c r="X105" s="85" t="n">
        <v>0</v>
      </c>
      <c r="Y105" s="27" t="n">
        <v>2.1</v>
      </c>
      <c r="Z105" s="27" t="n">
        <v>0.01</v>
      </c>
      <c r="AA105" s="23" t="n">
        <v>0</v>
      </c>
      <c r="AB105" s="27" t="n">
        <v>0.21022468</v>
      </c>
      <c r="AC105" s="27" t="n">
        <v>0.200612311488694</v>
      </c>
      <c r="AD105" s="27" t="n">
        <v>0.200204311908974</v>
      </c>
      <c r="AE105" s="28" t="n">
        <v>0.664008279</v>
      </c>
      <c r="AF105" s="23" t="n">
        <v>0.012</v>
      </c>
      <c r="AG105" s="61" t="n">
        <f aca="false">AF105*SQRT(U105)</f>
        <v>0.012</v>
      </c>
      <c r="AH105" s="29" t="n">
        <v>2.55485773086548</v>
      </c>
      <c r="AI105" s="27" t="n">
        <v>0.0425242185976438</v>
      </c>
      <c r="AJ105" s="44" t="n">
        <v>2.55485773086548</v>
      </c>
      <c r="AK105" s="44" t="n">
        <v>0.0425242185976438</v>
      </c>
      <c r="AL105" s="27" t="s">
        <v>63</v>
      </c>
      <c r="AM105" s="14" t="n">
        <f aca="false">IF(AND(O105="Benthic, infaunal",M105="elegans"),(0.243-SQRT(((Y105)-(AB105))*0.0012+0.053337))/0.0006,IF(O105="Benthic",(0.245-SQRT(((Y105)-(AB105))*0.0044+0.045461))/0.0022,IF(O105="Benthic, infaunal",(0.245-(SQRT(0.045461+0.0044*((Y105-0.47)-(AB105)))))/0.0022,IF(O105="Benthic, epifaunal",(0.245-SQRT(((Y105)-(AB105))*0.0044+0.045461))/0.0022))))</f>
        <v>5.95611216029647</v>
      </c>
      <c r="AN105" s="45" t="n">
        <f aca="false">Y105-AB105</f>
        <v>1.88977532</v>
      </c>
      <c r="AO105" s="45" t="n">
        <f aca="false">SQRT((Z105^2)+(AC105^2))</f>
        <v>0.200861393803879</v>
      </c>
      <c r="AP105" s="46" t="n">
        <f aca="false">IF(NOT($M105="elegans"),(0.045461+0.0044*((AN105))),IF($M105="elegans",(0.053337+0.0012*((AN105)))))</f>
        <v>0.053776011408</v>
      </c>
      <c r="AQ105" s="46" t="n">
        <f aca="false">IF(NOT($M105="elegans"),(0.0044*((AO105))),IF($M105="elegans",(0.0012*((AO105)))))</f>
        <v>0.000883790132737066</v>
      </c>
      <c r="AR105" s="46" t="n">
        <f aca="false">SQRT(AP105)</f>
        <v>0.231896553247348</v>
      </c>
      <c r="AS105" s="46" t="n">
        <f aca="false">AR105*(0.5*(AQ105/AP105))</f>
        <v>0.00190556979041079</v>
      </c>
      <c r="AT105" s="46" t="n">
        <f aca="false">IF(NOT($M105="elegans"),AS105/0.0022,IF($M105="elegans",AS105/0.0006))</f>
        <v>0.866168086550359</v>
      </c>
      <c r="AU105" s="45" t="n">
        <f aca="false">Y105-AB105</f>
        <v>1.88977532</v>
      </c>
      <c r="AV105" s="45" t="n">
        <f aca="false">SQRT((AA105^2)+(AD105^2))</f>
        <v>0.200204311908974</v>
      </c>
      <c r="AW105" s="46" t="n">
        <f aca="false">IF(NOT($M105="elegans"),(0.045461+0.0044*((AU105))),IF($M105="elegans",(0.053337+0.0012*((AU105)))))</f>
        <v>0.053776011408</v>
      </c>
      <c r="AX105" s="46" t="n">
        <f aca="false">IF(NOT($M105="elegans"),(0.0044*((AV105))),IF($M105="elegans",(0.0012*((AV105)))))</f>
        <v>0.000880898972399484</v>
      </c>
      <c r="AY105" s="46" t="n">
        <f aca="false">SQRT(AW105)</f>
        <v>0.231896553247348</v>
      </c>
      <c r="AZ105" s="46" t="n">
        <f aca="false">AY105*(0.5*(AX105/AW105))</f>
        <v>0.00189933606184282</v>
      </c>
      <c r="BA105" s="46" t="n">
        <f aca="false">IF(NOT($M105="elegans"),AZ105/0.0022,IF($M105="elegans",AZ105/0.0006))</f>
        <v>0.86333457356492</v>
      </c>
      <c r="BE105" s="31" t="n">
        <f aca="false">AM105</f>
        <v>5.95611216029647</v>
      </c>
      <c r="BF105" s="31" t="n">
        <f aca="false">AT105</f>
        <v>0.866168086550359</v>
      </c>
      <c r="BG105" s="31" t="n">
        <f aca="false">BA105</f>
        <v>0.86333457356492</v>
      </c>
      <c r="BH105" s="14" t="n">
        <f aca="false">10^6/((BE105+273.15)^2)</f>
        <v>12.8369339176812</v>
      </c>
      <c r="BI105" s="14" t="n">
        <f aca="false">BH105*(2*($BF105/($BE105+273.15)))</f>
        <v>0.0796753779599458</v>
      </c>
      <c r="BJ105" s="14" t="n">
        <f aca="false">BH105*(2*($BG105/($BE105+273.15)))</f>
        <v>0.0794147343024678</v>
      </c>
      <c r="BL105" s="14" t="n">
        <f aca="false">10^6/((AH105+273.15)^2)</f>
        <v>13.1556152536248</v>
      </c>
      <c r="BM105" s="14" t="n">
        <f aca="false">BL105*(2*($AI105/($AH105+273.15)))</f>
        <v>0.00405819660513737</v>
      </c>
      <c r="BN105" s="14" t="n">
        <f aca="false">10^6/((AJ105+273.15)^2)</f>
        <v>13.1556152536248</v>
      </c>
      <c r="BO105" s="14" t="n">
        <f aca="false">BN105*(2*($AK105/($AJ105+273.15)))</f>
        <v>0.00405819660513737</v>
      </c>
    </row>
    <row r="106" s="14" customFormat="true" ht="16" hidden="false" customHeight="false" outlineLevel="0" collapsed="false">
      <c r="A106" s="22" t="s">
        <v>469</v>
      </c>
      <c r="B106" s="84" t="s">
        <v>470</v>
      </c>
      <c r="C106" s="14" t="s">
        <v>438</v>
      </c>
      <c r="D106" s="23" t="s">
        <v>471</v>
      </c>
      <c r="E106" s="24" t="s">
        <v>472</v>
      </c>
      <c r="F106" s="22" t="n">
        <v>52.9</v>
      </c>
      <c r="G106" s="22" t="n">
        <v>-16.9</v>
      </c>
      <c r="H106" s="22" t="s">
        <v>78</v>
      </c>
      <c r="I106" s="22" t="s">
        <v>79</v>
      </c>
      <c r="J106" s="22" t="n">
        <v>3600</v>
      </c>
      <c r="K106" s="27" t="s">
        <v>469</v>
      </c>
      <c r="L106" s="22" t="s">
        <v>166</v>
      </c>
      <c r="M106" s="22" t="s">
        <v>473</v>
      </c>
      <c r="N106" s="22" t="n">
        <v>3600</v>
      </c>
      <c r="O106" s="22" t="s">
        <v>172</v>
      </c>
      <c r="P106" s="22" t="s">
        <v>172</v>
      </c>
      <c r="Q106" s="22" t="n">
        <v>2</v>
      </c>
      <c r="R106" s="25" t="s">
        <v>83</v>
      </c>
      <c r="S106" s="25" t="n">
        <v>34.912</v>
      </c>
      <c r="T106" s="22" t="n">
        <v>22.7394508196721</v>
      </c>
      <c r="U106" s="85" t="n">
        <v>2</v>
      </c>
      <c r="V106" s="79" t="n">
        <v>0.535</v>
      </c>
      <c r="W106" s="79" t="n">
        <v>0.00707106781186548</v>
      </c>
      <c r="X106" s="79" t="n">
        <v>0.005</v>
      </c>
      <c r="Y106" s="27" t="n">
        <v>2.315</v>
      </c>
      <c r="Z106" s="27" t="n">
        <v>0.00707106781186532</v>
      </c>
      <c r="AA106" s="27" t="n">
        <v>0.00499999999999989</v>
      </c>
      <c r="AB106" s="27" t="n">
        <v>0.21022468</v>
      </c>
      <c r="AC106" s="27" t="n">
        <v>0.200612311488694</v>
      </c>
      <c r="AD106" s="27" t="n">
        <v>0.200204311908974</v>
      </c>
      <c r="AE106" s="28" t="n">
        <v>0.63233105</v>
      </c>
      <c r="AF106" s="28" t="n">
        <v>0.020260123</v>
      </c>
      <c r="AG106" s="61" t="n">
        <f aca="false">AF106*SQRT(U106)</f>
        <v>0.0286521407219471</v>
      </c>
      <c r="AH106" s="29" t="n">
        <v>2.55485773086548</v>
      </c>
      <c r="AI106" s="27" t="n">
        <v>0.0425242185976438</v>
      </c>
      <c r="AJ106" s="44" t="n">
        <v>2.55485773086548</v>
      </c>
      <c r="AK106" s="44" t="n">
        <v>0.0425242185976438</v>
      </c>
      <c r="AL106" s="27" t="s">
        <v>63</v>
      </c>
      <c r="AM106" s="14" t="n">
        <f aca="false">IF(AND(O106="Benthic, infaunal",M106="elegans"),(0.243-SQRT(((Y106)-(AB106))*0.0012+0.053337))/0.0006,IF(O106="Benthic",(0.245-SQRT(((Y106)-(AB106))*0.0044+0.045461))/0.0022,IF(O106="Benthic, infaunal",(0.245-(SQRT(0.045461+0.0044*((Y106-0.47)-(AB106)))))/0.0022,IF(O106="Benthic, epifaunal",(0.245-SQRT(((Y106)-(AB106))*0.0044+0.045461))/0.0022))))</f>
        <v>5.03301657736675</v>
      </c>
      <c r="AN106" s="45" t="n">
        <f aca="false">Y106-AB106</f>
        <v>2.10477532</v>
      </c>
      <c r="AO106" s="45" t="n">
        <f aca="false">SQRT((Z106^2)+(AC106^2))</f>
        <v>0.200736891280195</v>
      </c>
      <c r="AP106" s="46" t="n">
        <f aca="false">IF(NOT($M106="elegans"),(0.045461+0.0044*((AN106))),IF($M106="elegans",(0.053337+0.0012*((AN106)))))</f>
        <v>0.054722011408</v>
      </c>
      <c r="AQ106" s="46" t="n">
        <f aca="false">IF(NOT($M106="elegans"),(0.0044*((AO106))),IF($M106="elegans",(0.0012*((AO106)))))</f>
        <v>0.000883242321632858</v>
      </c>
      <c r="AR106" s="46" t="n">
        <f aca="false">SQRT(AP106)</f>
        <v>0.233927363529793</v>
      </c>
      <c r="AS106" s="46" t="n">
        <f aca="false">AR106*(0.5*(AQ106/AP106))</f>
        <v>0.00188785593165625</v>
      </c>
      <c r="AT106" s="46" t="n">
        <f aca="false">IF(NOT($M106="elegans"),AS106/0.0022,IF($M106="elegans",AS106/0.0006))</f>
        <v>0.858116332571024</v>
      </c>
      <c r="AU106" s="45" t="n">
        <f aca="false">Y106-AB106</f>
        <v>2.10477532</v>
      </c>
      <c r="AV106" s="45" t="n">
        <f aca="false">SQRT((AA106^2)+(AD106^2))</f>
        <v>0.200266738393937</v>
      </c>
      <c r="AW106" s="46" t="n">
        <f aca="false">IF(NOT($M106="elegans"),(0.045461+0.0044*((AU106))),IF($M106="elegans",(0.053337+0.0012*((AU106)))))</f>
        <v>0.054722011408</v>
      </c>
      <c r="AX106" s="46" t="n">
        <f aca="false">IF(NOT($M106="elegans"),(0.0044*((AV106))),IF($M106="elegans",(0.0012*((AV106)))))</f>
        <v>0.000881173648933323</v>
      </c>
      <c r="AY106" s="46" t="n">
        <f aca="false">SQRT(AW106)</f>
        <v>0.233927363529793</v>
      </c>
      <c r="AZ106" s="46" t="n">
        <f aca="false">AY106*(0.5*(AX106/AW106))</f>
        <v>0.00188343431832227</v>
      </c>
      <c r="BA106" s="46" t="n">
        <f aca="false">IF(NOT($M106="elegans"),AZ106/0.0022,IF($M106="elegans",AZ106/0.0006))</f>
        <v>0.856106508328304</v>
      </c>
      <c r="BE106" s="31" t="n">
        <f aca="false">AM106</f>
        <v>5.03301657736675</v>
      </c>
      <c r="BF106" s="31" t="n">
        <f aca="false">AT106</f>
        <v>0.858116332571024</v>
      </c>
      <c r="BG106" s="31" t="n">
        <f aca="false">BA106</f>
        <v>0.856106508328304</v>
      </c>
      <c r="BH106" s="14" t="n">
        <f aca="false">10^6/((BE106+273.15)^2)</f>
        <v>12.9222689436687</v>
      </c>
      <c r="BI106" s="14" t="n">
        <f aca="false">BH106*(2*($BF106/($BE106+273.15)))</f>
        <v>0.0797231273919517</v>
      </c>
      <c r="BJ106" s="14" t="n">
        <f aca="false">BH106*(2*($BG106/($BE106+273.15)))</f>
        <v>0.0795364050699819</v>
      </c>
      <c r="BL106" s="14" t="n">
        <f aca="false">10^6/((AH106+273.15)^2)</f>
        <v>13.1556152536248</v>
      </c>
      <c r="BM106" s="14" t="n">
        <f aca="false">BL106*(2*($AI106/($AH106+273.15)))</f>
        <v>0.00405819660513737</v>
      </c>
      <c r="BN106" s="14" t="n">
        <f aca="false">10^6/((AJ106+273.15)^2)</f>
        <v>13.1556152536248</v>
      </c>
      <c r="BO106" s="14" t="n">
        <f aca="false">BN106*(2*($AK106/($AJ106+273.15)))</f>
        <v>0.00405819660513737</v>
      </c>
    </row>
    <row r="107" s="14" customFormat="true" ht="16" hidden="false" customHeight="false" outlineLevel="0" collapsed="false">
      <c r="A107" s="22" t="s">
        <v>469</v>
      </c>
      <c r="B107" s="84" t="s">
        <v>536</v>
      </c>
      <c r="C107" s="14" t="s">
        <v>438</v>
      </c>
      <c r="D107" s="23" t="s">
        <v>537</v>
      </c>
      <c r="E107" s="24" t="s">
        <v>535</v>
      </c>
      <c r="F107" s="22" t="n">
        <v>69.4</v>
      </c>
      <c r="G107" s="22" t="n">
        <v>-6.5</v>
      </c>
      <c r="H107" s="22" t="s">
        <v>78</v>
      </c>
      <c r="I107" s="22" t="s">
        <v>79</v>
      </c>
      <c r="J107" s="22" t="n">
        <v>2710</v>
      </c>
      <c r="K107" s="27" t="s">
        <v>538</v>
      </c>
      <c r="L107" s="22" t="s">
        <v>166</v>
      </c>
      <c r="M107" s="22" t="s">
        <v>473</v>
      </c>
      <c r="N107" s="22" t="n">
        <v>2710</v>
      </c>
      <c r="O107" s="22" t="s">
        <v>172</v>
      </c>
      <c r="P107" s="22" t="s">
        <v>172</v>
      </c>
      <c r="Q107" s="22" t="n">
        <v>2</v>
      </c>
      <c r="R107" s="25" t="s">
        <v>83</v>
      </c>
      <c r="S107" s="25" t="n">
        <v>34.904</v>
      </c>
      <c r="T107" s="22" t="n">
        <v>25.9332875</v>
      </c>
      <c r="U107" s="85" t="n">
        <v>1</v>
      </c>
      <c r="V107" s="79" t="n">
        <v>1.22</v>
      </c>
      <c r="W107" s="79" t="n">
        <v>0</v>
      </c>
      <c r="X107" s="85" t="n">
        <v>0</v>
      </c>
      <c r="Y107" s="27" t="n">
        <v>3.77</v>
      </c>
      <c r="Z107" s="27" t="n">
        <v>0</v>
      </c>
      <c r="AA107" s="23" t="n">
        <v>0</v>
      </c>
      <c r="AB107" s="27" t="n">
        <v>0.2677372088</v>
      </c>
      <c r="AC107" s="27" t="n">
        <v>0.2</v>
      </c>
      <c r="AD107" s="27" t="n">
        <v>0.2</v>
      </c>
      <c r="AE107" s="28" t="n">
        <v>0.691824148</v>
      </c>
      <c r="AF107" s="23" t="n">
        <v>0.007</v>
      </c>
      <c r="AG107" s="61" t="n">
        <f aca="false">AF107*SQRT(U107)</f>
        <v>0.007</v>
      </c>
      <c r="AH107" s="29" t="n">
        <v>-0.919999957084656</v>
      </c>
      <c r="AI107" s="27" t="n">
        <v>0.0611216997947647</v>
      </c>
      <c r="AJ107" s="44" t="n">
        <v>-0.919999957084656</v>
      </c>
      <c r="AK107" s="44" t="n">
        <v>0.0611216997947647</v>
      </c>
      <c r="AL107" s="27" t="s">
        <v>63</v>
      </c>
      <c r="AM107" s="14" t="n">
        <f aca="false">IF(AND(O107="Benthic, infaunal",M107="elegans"),(0.243-SQRT(((Y107)-(AB107))*0.0012+0.053337))/0.0006,IF(O107="Benthic",(0.245-SQRT(((Y107)-(AB107))*0.0044+0.045461))/0.0022,IF(O107="Benthic, infaunal",(0.245-(SQRT(0.045461+0.0044*((Y107-0.47)-(AB107)))))/0.0022,IF(O107="Benthic, epifaunal",(0.245-SQRT(((Y107)-(AB107))*0.0044+0.045461))/0.0022))))</f>
        <v>-0.78200046530405</v>
      </c>
      <c r="AN107" s="45" t="n">
        <f aca="false">Y107-AB107</f>
        <v>3.5022627912</v>
      </c>
      <c r="AO107" s="45" t="n">
        <f aca="false">SQRT((Z107^2)+(AC107^2))</f>
        <v>0.2</v>
      </c>
      <c r="AP107" s="46" t="n">
        <f aca="false">IF(NOT($M107="elegans"),(0.045461+0.0044*((AN107))),IF($M107="elegans",(0.053337+0.0012*((AN107)))))</f>
        <v>0.06087095628128</v>
      </c>
      <c r="AQ107" s="46" t="n">
        <f aca="false">IF(NOT($M107="elegans"),(0.0044*((AO107))),IF($M107="elegans",(0.0012*((AO107)))))</f>
        <v>0.00088</v>
      </c>
      <c r="AR107" s="46" t="n">
        <f aca="false">SQRT(AP107)</f>
        <v>0.246720401023669</v>
      </c>
      <c r="AS107" s="46" t="n">
        <f aca="false">AR107*(0.5*(AQ107/AP107))</f>
        <v>0.00178339528540969</v>
      </c>
      <c r="AT107" s="46" t="n">
        <f aca="false">IF(NOT($M107="elegans"),AS107/0.0022,IF($M107="elegans",AS107/0.0006))</f>
        <v>0.81063422064077</v>
      </c>
      <c r="AU107" s="45" t="n">
        <f aca="false">Y107-AB107</f>
        <v>3.5022627912</v>
      </c>
      <c r="AV107" s="45" t="n">
        <f aca="false">SQRT((AA107^2)+(AD107^2))</f>
        <v>0.2</v>
      </c>
      <c r="AW107" s="46" t="n">
        <f aca="false">IF(NOT($M107="elegans"),(0.045461+0.0044*((AU107))),IF($M107="elegans",(0.053337+0.0012*((AU107)))))</f>
        <v>0.06087095628128</v>
      </c>
      <c r="AX107" s="46" t="n">
        <f aca="false">IF(NOT($M107="elegans"),(0.0044*((AV107))),IF($M107="elegans",(0.0012*((AV107)))))</f>
        <v>0.00088</v>
      </c>
      <c r="AY107" s="46" t="n">
        <f aca="false">SQRT(AW107)</f>
        <v>0.246720401023669</v>
      </c>
      <c r="AZ107" s="46" t="n">
        <f aca="false">AY107*(0.5*(AX107/AW107))</f>
        <v>0.00178339528540969</v>
      </c>
      <c r="BA107" s="46" t="n">
        <f aca="false">IF(NOT($M107="elegans"),AZ107/0.0022,IF($M107="elegans",AZ107/0.0006))</f>
        <v>0.81063422064077</v>
      </c>
      <c r="BE107" s="31" t="n">
        <f aca="false">AM107</f>
        <v>-0.78200046530405</v>
      </c>
      <c r="BF107" s="31" t="n">
        <f aca="false">AT107</f>
        <v>0.81063422064077</v>
      </c>
      <c r="BG107" s="31" t="n">
        <f aca="false">BA107</f>
        <v>0.81063422064077</v>
      </c>
      <c r="BH107" s="14" t="n">
        <f aca="false">10^6/((BE107+273.15)^2)</f>
        <v>13.4799362364134</v>
      </c>
      <c r="BI107" s="14" t="n">
        <f aca="false">BH107*(2*($BF107/($BE107+273.15)))</f>
        <v>0.0802392177051638</v>
      </c>
      <c r="BJ107" s="14" t="n">
        <f aca="false">BH107*(2*($BG107/($BE107+273.15)))</f>
        <v>0.0802392177051638</v>
      </c>
      <c r="BL107" s="14" t="n">
        <f aca="false">10^6/((AH107+273.15)^2)</f>
        <v>13.4936062642889</v>
      </c>
      <c r="BM107" s="14" t="n">
        <f aca="false">BL107*(2*($AI107/($AH107+273.15)))</f>
        <v>0.00605923043826623</v>
      </c>
      <c r="BN107" s="14" t="n">
        <f aca="false">10^6/((AJ107+273.15)^2)</f>
        <v>13.4936062642889</v>
      </c>
      <c r="BO107" s="14" t="n">
        <f aca="false">BN107*(2*($AK107/($AJ107+273.15)))</f>
        <v>0.00605923043826623</v>
      </c>
    </row>
    <row r="108" s="14" customFormat="true" ht="16" hidden="false" customHeight="false" outlineLevel="0" collapsed="false">
      <c r="A108" s="22" t="s">
        <v>474</v>
      </c>
      <c r="B108" s="84" t="s">
        <v>475</v>
      </c>
      <c r="C108" s="14" t="s">
        <v>438</v>
      </c>
      <c r="D108" s="23" t="s">
        <v>476</v>
      </c>
      <c r="E108" s="24" t="s">
        <v>472</v>
      </c>
      <c r="F108" s="22" t="n">
        <v>52.9</v>
      </c>
      <c r="G108" s="22" t="n">
        <v>-16.9</v>
      </c>
      <c r="H108" s="22" t="s">
        <v>78</v>
      </c>
      <c r="I108" s="22" t="s">
        <v>79</v>
      </c>
      <c r="J108" s="22" t="n">
        <v>3600</v>
      </c>
      <c r="K108" s="27" t="s">
        <v>474</v>
      </c>
      <c r="L108" s="22" t="s">
        <v>477</v>
      </c>
      <c r="M108" s="22" t="s">
        <v>478</v>
      </c>
      <c r="N108" s="22" t="n">
        <v>3600</v>
      </c>
      <c r="O108" s="22" t="s">
        <v>178</v>
      </c>
      <c r="P108" s="22" t="s">
        <v>178</v>
      </c>
      <c r="Q108" s="22" t="n">
        <v>1</v>
      </c>
      <c r="R108" s="25" t="s">
        <v>83</v>
      </c>
      <c r="S108" s="25" t="n">
        <v>34.912</v>
      </c>
      <c r="T108" s="22" t="n">
        <v>22.7394508196721</v>
      </c>
      <c r="U108" s="85" t="n">
        <v>1</v>
      </c>
      <c r="V108" s="79" t="n">
        <v>-0.89</v>
      </c>
      <c r="W108" s="79" t="n">
        <v>0</v>
      </c>
      <c r="X108" s="85" t="n">
        <v>0</v>
      </c>
      <c r="Y108" s="27" t="n">
        <v>2.59</v>
      </c>
      <c r="Z108" s="27" t="n">
        <v>0.01</v>
      </c>
      <c r="AA108" s="23" t="n">
        <v>0</v>
      </c>
      <c r="AB108" s="27" t="n">
        <v>0.21022468</v>
      </c>
      <c r="AC108" s="27" t="n">
        <v>0.200612311488694</v>
      </c>
      <c r="AD108" s="27" t="n">
        <v>0.200204311908974</v>
      </c>
      <c r="AE108" s="28" t="n">
        <v>0.651848893</v>
      </c>
      <c r="AF108" s="23" t="n">
        <v>0.009</v>
      </c>
      <c r="AG108" s="61" t="n">
        <f aca="false">AF108*SQRT(U108)</f>
        <v>0.009</v>
      </c>
      <c r="AH108" s="29" t="n">
        <v>2.55485773086548</v>
      </c>
      <c r="AI108" s="27" t="n">
        <v>0.0425242185976438</v>
      </c>
      <c r="AJ108" s="44" t="n">
        <v>2.55485773086548</v>
      </c>
      <c r="AK108" s="44" t="n">
        <v>0.0425242185976438</v>
      </c>
      <c r="AL108" s="27" t="s">
        <v>63</v>
      </c>
      <c r="AM108" s="14" t="n">
        <f aca="false">IF(AND(O108="Benthic, infaunal",M108="elegans"),(0.243-SQRT(((Y108)-(AB108))*0.0012+0.053337))/0.0006,IF(O108="Benthic",(0.245-SQRT(((Y108)-(AB108))*0.0044+0.045461))/0.0022,IF(O108="Benthic, infaunal",(0.245-(SQRT(0.045461+0.0044*((Y108-0.47)-(AB108)))))/0.0022,IF(O108="Benthic, epifaunal",(0.245-SQRT(((Y108)-(AB108))*0.0044+0.045461))/0.0022))))</f>
        <v>5.86990206221207</v>
      </c>
      <c r="AN108" s="45" t="n">
        <f aca="false">Y108-AB108</f>
        <v>2.37977532</v>
      </c>
      <c r="AO108" s="45" t="n">
        <f aca="false">SQRT((Z108^2)+(AC108^2))</f>
        <v>0.200861393803879</v>
      </c>
      <c r="AP108" s="46" t="n">
        <f aca="false">IF(NOT($M108="elegans"),(0.045461+0.0044*((AN108))),IF($M108="elegans",(0.053337+0.0012*((AN108)))))</f>
        <v>0.055932011408</v>
      </c>
      <c r="AQ108" s="46" t="n">
        <f aca="false">IF(NOT($M108="elegans"),(0.0044*((AO108))),IF($M108="elegans",(0.0012*((AO108)))))</f>
        <v>0.000883790132737066</v>
      </c>
      <c r="AR108" s="46" t="n">
        <f aca="false">SQRT(AP108)</f>
        <v>0.236499495576629</v>
      </c>
      <c r="AS108" s="46" t="n">
        <f aca="false">AR108*(0.5*(AQ108/AP108))</f>
        <v>0.00186848206712286</v>
      </c>
      <c r="AT108" s="46" t="n">
        <f aca="false">IF(NOT($M108="elegans"),AS108/0.0022,IF($M108="elegans",AS108/0.0006))</f>
        <v>0.84931003051039</v>
      </c>
      <c r="AU108" s="45" t="n">
        <f aca="false">Y108-AB108</f>
        <v>2.37977532</v>
      </c>
      <c r="AV108" s="45" t="n">
        <f aca="false">SQRT((AA108^2)+(AD108^2))</f>
        <v>0.200204311908974</v>
      </c>
      <c r="AW108" s="46" t="n">
        <f aca="false">IF(NOT($M108="elegans"),(0.045461+0.0044*((AU108))),IF($M108="elegans",(0.053337+0.0012*((AU108)))))</f>
        <v>0.055932011408</v>
      </c>
      <c r="AX108" s="46" t="n">
        <f aca="false">IF(NOT($M108="elegans"),(0.0044*((AV108))),IF($M108="elegans",(0.0012*((AV108)))))</f>
        <v>0.000880898972399484</v>
      </c>
      <c r="AY108" s="46" t="n">
        <f aca="false">SQRT(AW108)</f>
        <v>0.236499495576629</v>
      </c>
      <c r="AZ108" s="46" t="n">
        <f aca="false">AY108*(0.5*(AX108/AW108))</f>
        <v>0.00186236966436586</v>
      </c>
      <c r="BA108" s="46" t="n">
        <f aca="false">IF(NOT($M108="elegans"),AZ108/0.0022,IF($M108="elegans",AZ108/0.0006))</f>
        <v>0.846531665620846</v>
      </c>
      <c r="BE108" s="60" t="n">
        <v>5.86990206221207</v>
      </c>
      <c r="BF108" s="60" t="n">
        <v>0.84931003051039</v>
      </c>
      <c r="BG108" s="60" t="n">
        <v>0.846531665620846</v>
      </c>
      <c r="BH108" s="14" t="n">
        <f aca="false">10^6/((BE108+273.15)^2)</f>
        <v>12.844867719471</v>
      </c>
      <c r="BI108" s="14" t="n">
        <f aca="false">BH108*(2*($BF108/($BE108+273.15)))</f>
        <v>0.0781971100562817</v>
      </c>
      <c r="BJ108" s="14" t="n">
        <f aca="false">BH108*(2*($BG108/($BE108+273.15)))</f>
        <v>0.0779413022861632</v>
      </c>
      <c r="BL108" s="14" t="n">
        <f aca="false">10^6/((AH108+273.15)^2)</f>
        <v>13.1556152536248</v>
      </c>
      <c r="BM108" s="14" t="n">
        <f aca="false">BL108*(2*($AI108/($AH108+273.15)))</f>
        <v>0.00405819660513737</v>
      </c>
      <c r="BN108" s="14" t="n">
        <f aca="false">10^6/((AJ108+273.15)^2)</f>
        <v>13.1556152536248</v>
      </c>
      <c r="BO108" s="14" t="n">
        <f aca="false">BN108*(2*($AK108/($AJ108+273.15)))</f>
        <v>0.00405819660513737</v>
      </c>
    </row>
    <row r="109" s="14" customFormat="true" ht="16" hidden="false" customHeight="false" outlineLevel="0" collapsed="false">
      <c r="A109" s="22" t="s">
        <v>173</v>
      </c>
      <c r="B109" s="84" t="s">
        <v>522</v>
      </c>
      <c r="C109" s="14" t="s">
        <v>438</v>
      </c>
      <c r="D109" s="23" t="s">
        <v>523</v>
      </c>
      <c r="E109" s="24" t="s">
        <v>524</v>
      </c>
      <c r="F109" s="22" t="n">
        <v>52.5</v>
      </c>
      <c r="G109" s="22" t="n">
        <v>-30.2</v>
      </c>
      <c r="H109" s="22" t="s">
        <v>78</v>
      </c>
      <c r="I109" s="22" t="s">
        <v>79</v>
      </c>
      <c r="J109" s="22" t="n">
        <v>3283</v>
      </c>
      <c r="K109" s="27" t="s">
        <v>173</v>
      </c>
      <c r="L109" s="22" t="s">
        <v>176</v>
      </c>
      <c r="M109" s="22" t="s">
        <v>177</v>
      </c>
      <c r="N109" s="22" t="n">
        <v>3283</v>
      </c>
      <c r="O109" s="22" t="s">
        <v>178</v>
      </c>
      <c r="P109" s="22" t="s">
        <v>178</v>
      </c>
      <c r="Q109" s="22" t="n">
        <v>1</v>
      </c>
      <c r="R109" s="25" t="s">
        <v>83</v>
      </c>
      <c r="S109" s="25" t="n">
        <v>34.95</v>
      </c>
      <c r="T109" s="22" t="n">
        <v>26.35956</v>
      </c>
      <c r="U109" s="85" t="n">
        <v>2</v>
      </c>
      <c r="V109" s="79" t="n">
        <v>2.14</v>
      </c>
      <c r="W109" s="79" t="n">
        <v>0.155563491861041</v>
      </c>
      <c r="X109" s="79" t="n">
        <v>0.11</v>
      </c>
      <c r="Y109" s="27" t="n">
        <v>3.13</v>
      </c>
      <c r="Z109" s="27" t="n">
        <v>0.169705627484772</v>
      </c>
      <c r="AA109" s="27" t="n">
        <v>0.12</v>
      </c>
      <c r="AB109" s="27" t="n">
        <v>0.24349108</v>
      </c>
      <c r="AC109" s="27" t="n">
        <v>0.2</v>
      </c>
      <c r="AD109" s="27" t="n">
        <v>0.2</v>
      </c>
      <c r="AE109" s="28" t="n">
        <v>0.668088557</v>
      </c>
      <c r="AF109" s="28" t="n">
        <v>0.018800993</v>
      </c>
      <c r="AG109" s="61" t="n">
        <f aca="false">AF109*SQRT(U109)</f>
        <v>0.0265886192866816</v>
      </c>
      <c r="AH109" s="29" t="n">
        <v>2.91652083396912</v>
      </c>
      <c r="AI109" s="27" t="n">
        <v>0.0527684018257764</v>
      </c>
      <c r="AJ109" s="44" t="n">
        <v>2.91652083396912</v>
      </c>
      <c r="AK109" s="44" t="n">
        <v>0.0527684018257764</v>
      </c>
      <c r="AL109" s="27" t="s">
        <v>63</v>
      </c>
      <c r="AM109" s="14" t="n">
        <f aca="false">IF(AND(O109="Benthic, infaunal",M109="elegans"),(0.243-SQRT(((Y109)-(AB109))*0.0012+0.053337))/0.0006,IF(O109="Benthic",(0.245-SQRT(((Y109)-(AB109))*0.0044+0.045461))/0.0022,IF(O109="Benthic, infaunal",(0.245-(SQRT(0.045461+0.0044*((Y109-0.47)-(AB109)))))/0.0022,IF(O109="Benthic, epifaunal",(0.245-SQRT(((Y109)-(AB109))*0.0044+0.045461))/0.0022))))</f>
        <v>7.78465571766571</v>
      </c>
      <c r="AN109" s="45" t="n">
        <f aca="false">Y109-AB109</f>
        <v>2.88650892</v>
      </c>
      <c r="AO109" s="45" t="n">
        <f aca="false">SQRT((Z109^2)+(AC109^2))</f>
        <v>0.26229754097208</v>
      </c>
      <c r="AP109" s="46" t="n">
        <f aca="false">IF(NOT($M109="elegans"),(0.045461+0.0044*((AN109))),IF($M109="elegans",(0.053337+0.0012*((AN109)))))</f>
        <v>0.056800810704</v>
      </c>
      <c r="AQ109" s="46" t="n">
        <f aca="false">IF(NOT($M109="elegans"),(0.0044*((AO109))),IF($M109="elegans",(0.0012*((AO109)))))</f>
        <v>0.000314757049166496</v>
      </c>
      <c r="AR109" s="46" t="n">
        <f aca="false">SQRT(AP109)</f>
        <v>0.238329206569401</v>
      </c>
      <c r="AS109" s="46" t="n">
        <f aca="false">AR109*(0.5*(AQ109/AP109))</f>
        <v>0.000660340907640374</v>
      </c>
      <c r="AT109" s="46" t="n">
        <f aca="false">IF(NOT($M109="elegans"),AS109/0.0022,IF($M109="elegans",AS109/0.0006))</f>
        <v>1.10056817940062</v>
      </c>
      <c r="AU109" s="45" t="n">
        <f aca="false">Y109-AB109</f>
        <v>2.88650892</v>
      </c>
      <c r="AV109" s="45" t="n">
        <f aca="false">SQRT((AA109^2)+(AD109^2))</f>
        <v>0.233238075793812</v>
      </c>
      <c r="AW109" s="46" t="n">
        <f aca="false">IF(NOT($M109="elegans"),(0.045461+0.0044*((AU109))),IF($M109="elegans",(0.053337+0.0012*((AU109)))))</f>
        <v>0.056800810704</v>
      </c>
      <c r="AX109" s="46" t="n">
        <f aca="false">IF(NOT($M109="elegans"),(0.0044*((AV109))),IF($M109="elegans",(0.0012*((AV109)))))</f>
        <v>0.000279885690952574</v>
      </c>
      <c r="AY109" s="46" t="n">
        <f aca="false">SQRT(AW109)</f>
        <v>0.238329206569401</v>
      </c>
      <c r="AZ109" s="46" t="n">
        <f aca="false">AY109*(0.5*(AX109/AW109))</f>
        <v>0.00058718294534974</v>
      </c>
      <c r="BA109" s="46" t="n">
        <f aca="false">IF(NOT($M109="elegans"),AZ109/0.0022,IF($M109="elegans",AZ109/0.0006))</f>
        <v>0.978638242249567</v>
      </c>
      <c r="BE109" s="31" t="n">
        <f aca="false">AM109</f>
        <v>7.78465571766571</v>
      </c>
      <c r="BF109" s="31" t="n">
        <f aca="false">AT109</f>
        <v>1.10056817940062</v>
      </c>
      <c r="BG109" s="31" t="n">
        <f aca="false">BA109</f>
        <v>0.978638242249567</v>
      </c>
      <c r="BH109" s="14" t="n">
        <f aca="false">10^6/((BE109+273.15)^2)</f>
        <v>12.6703720335051</v>
      </c>
      <c r="BI109" s="14" t="n">
        <f aca="false">BH109*(2*($BF109/($BE109+273.15)))</f>
        <v>0.0992729661324326</v>
      </c>
      <c r="BJ109" s="14" t="n">
        <f aca="false">BH109*(2*($BG109/($BE109+273.15)))</f>
        <v>0.0882746956500728</v>
      </c>
      <c r="BL109" s="14" t="n">
        <f aca="false">10^6/((AH109+273.15)^2)</f>
        <v>13.1211685988183</v>
      </c>
      <c r="BM109" s="14" t="n">
        <f aca="false">BL109*(2*($AI109/($AH109+273.15)))</f>
        <v>0.00501605986089571</v>
      </c>
      <c r="BN109" s="14" t="n">
        <f aca="false">10^6/((AJ109+273.15)^2)</f>
        <v>13.1211685988183</v>
      </c>
      <c r="BO109" s="14" t="n">
        <f aca="false">BN109*(2*($AK109/($AJ109+273.15)))</f>
        <v>0.00501605986089571</v>
      </c>
    </row>
    <row r="110" s="14" customFormat="true" ht="16" hidden="false" customHeight="false" outlineLevel="0" collapsed="false">
      <c r="A110" s="22" t="s">
        <v>474</v>
      </c>
      <c r="B110" s="84" t="s">
        <v>533</v>
      </c>
      <c r="C110" s="14" t="s">
        <v>438</v>
      </c>
      <c r="D110" s="23" t="s">
        <v>534</v>
      </c>
      <c r="E110" s="24" t="s">
        <v>535</v>
      </c>
      <c r="F110" s="22" t="n">
        <v>69.4</v>
      </c>
      <c r="G110" s="22" t="n">
        <v>-6.5</v>
      </c>
      <c r="H110" s="22" t="s">
        <v>78</v>
      </c>
      <c r="I110" s="22" t="s">
        <v>79</v>
      </c>
      <c r="J110" s="22" t="n">
        <v>2710</v>
      </c>
      <c r="K110" s="27" t="s">
        <v>474</v>
      </c>
      <c r="L110" s="22" t="s">
        <v>477</v>
      </c>
      <c r="M110" s="22" t="s">
        <v>478</v>
      </c>
      <c r="N110" s="22" t="n">
        <v>2710</v>
      </c>
      <c r="O110" s="22" t="s">
        <v>178</v>
      </c>
      <c r="P110" s="22" t="s">
        <v>178</v>
      </c>
      <c r="Q110" s="22" t="n">
        <v>1</v>
      </c>
      <c r="R110" s="25" t="s">
        <v>83</v>
      </c>
      <c r="S110" s="25" t="n">
        <v>34.904</v>
      </c>
      <c r="T110" s="22" t="n">
        <v>25.9332875</v>
      </c>
      <c r="U110" s="85" t="n">
        <v>2</v>
      </c>
      <c r="V110" s="79" t="n">
        <v>0.3</v>
      </c>
      <c r="W110" s="79" t="n">
        <v>1.30107647738325</v>
      </c>
      <c r="X110" s="79" t="n">
        <v>0.92</v>
      </c>
      <c r="Y110" s="27" t="n">
        <v>3.84</v>
      </c>
      <c r="Z110" s="27" t="n">
        <v>0.0989949493661167</v>
      </c>
      <c r="AA110" s="27" t="n">
        <v>0.07</v>
      </c>
      <c r="AB110" s="27" t="n">
        <v>0.2677372088</v>
      </c>
      <c r="AC110" s="27" t="n">
        <v>0.2</v>
      </c>
      <c r="AD110" s="27" t="n">
        <v>0.2</v>
      </c>
      <c r="AE110" s="28" t="n">
        <v>0.6679332595</v>
      </c>
      <c r="AF110" s="28" t="n">
        <v>0.0238908885</v>
      </c>
      <c r="AG110" s="61" t="n">
        <f aca="false">AF110*SQRT(U110)</f>
        <v>0.0337868185338434</v>
      </c>
      <c r="AH110" s="29" t="n">
        <v>-0.919999957084656</v>
      </c>
      <c r="AI110" s="27" t="n">
        <v>0.0611216997947647</v>
      </c>
      <c r="AJ110" s="44" t="n">
        <v>-0.919999957084656</v>
      </c>
      <c r="AK110" s="44" t="n">
        <v>0.0611216997947647</v>
      </c>
      <c r="AL110" s="27" t="s">
        <v>63</v>
      </c>
      <c r="AM110" s="14" t="n">
        <f aca="false">IF(AND(O110="Benthic, infaunal",M110="elegans"),(0.243-SQRT(((Y110)-(AB110))*0.0012+0.053337))/0.0006,IF(O110="Benthic",(0.245-SQRT(((Y110)-(AB110))*0.0044+0.045461))/0.0022,IF(O110="Benthic, infaunal",(0.245-(SQRT(0.045461+0.0044*((Y110-0.47)-(AB110)))))/0.0022,IF(O110="Benthic, epifaunal",(0.245-SQRT(((Y110)-(AB110))*0.0044+0.045461))/0.0022))))</f>
        <v>0.851159709947018</v>
      </c>
      <c r="AN110" s="45" t="n">
        <f aca="false">Y110-AB110</f>
        <v>3.5722627912</v>
      </c>
      <c r="AO110" s="45" t="n">
        <f aca="false">SQRT((Z110^2)+(AC110^2))</f>
        <v>0.223159136044214</v>
      </c>
      <c r="AP110" s="46" t="n">
        <f aca="false">IF(NOT($M110="elegans"),(0.045461+0.0044*((AN110))),IF($M110="elegans",(0.053337+0.0012*((AN110)))))</f>
        <v>0.06117895628128</v>
      </c>
      <c r="AQ110" s="46" t="n">
        <f aca="false">IF(NOT($M110="elegans"),(0.0044*((AO110))),IF($M110="elegans",(0.0012*((AO110)))))</f>
        <v>0.000981900198594542</v>
      </c>
      <c r="AR110" s="46" t="n">
        <f aca="false">SQRT(AP110)</f>
        <v>0.247343801784641</v>
      </c>
      <c r="AS110" s="46" t="n">
        <f aca="false">AR110*(0.5*(AQ110/AP110))</f>
        <v>0.00198488943630265</v>
      </c>
      <c r="AT110" s="46" t="n">
        <f aca="false">IF(NOT($M110="elegans"),AS110/0.0022,IF($M110="elegans",AS110/0.0006))</f>
        <v>0.902222471046658</v>
      </c>
      <c r="AU110" s="45" t="n">
        <f aca="false">Y110-AB110</f>
        <v>3.5722627912</v>
      </c>
      <c r="AV110" s="45" t="n">
        <f aca="false">SQRT((AA110^2)+(AD110^2))</f>
        <v>0.211896201004171</v>
      </c>
      <c r="AW110" s="46" t="n">
        <f aca="false">IF(NOT($M110="elegans"),(0.045461+0.0044*((AU110))),IF($M110="elegans",(0.053337+0.0012*((AU110)))))</f>
        <v>0.06117895628128</v>
      </c>
      <c r="AX110" s="46" t="n">
        <f aca="false">IF(NOT($M110="elegans"),(0.0044*((AV110))),IF($M110="elegans",(0.0012*((AV110)))))</f>
        <v>0.000932343284418352</v>
      </c>
      <c r="AY110" s="46" t="n">
        <f aca="false">SQRT(AW110)</f>
        <v>0.247343801784641</v>
      </c>
      <c r="AZ110" s="46" t="n">
        <f aca="false">AY110*(0.5*(AX110/AW110))</f>
        <v>0.00188471123531555</v>
      </c>
      <c r="BA110" s="46" t="n">
        <f aca="false">IF(NOT($M110="elegans"),AZ110/0.0022,IF($M110="elegans",AZ110/0.0006))</f>
        <v>0.856686925143432</v>
      </c>
      <c r="BE110" s="31" t="n">
        <f aca="false">AM110</f>
        <v>0.851159709947018</v>
      </c>
      <c r="BF110" s="31" t="n">
        <f aca="false">AT110</f>
        <v>0.902222471046658</v>
      </c>
      <c r="BG110" s="31" t="n">
        <f aca="false">BA110</f>
        <v>0.856686925143432</v>
      </c>
      <c r="BH110" s="14" t="n">
        <f aca="false">10^6/((BE110+273.15)^2)</f>
        <v>13.3197231474457</v>
      </c>
      <c r="BI110" s="14" t="n">
        <f aca="false">BH110*(2*($BF110/($BE110+273.15)))</f>
        <v>0.0877175377247833</v>
      </c>
      <c r="BJ110" s="14" t="n">
        <f aca="false">BH110*(2*($BG110/($BE110+273.15)))</f>
        <v>0.0832903968656655</v>
      </c>
      <c r="BL110" s="14" t="n">
        <f aca="false">10^6/((AH110+273.15)^2)</f>
        <v>13.4936062642889</v>
      </c>
      <c r="BM110" s="14" t="n">
        <f aca="false">BL110*(2*($AI110/($AH110+273.15)))</f>
        <v>0.00605923043826623</v>
      </c>
      <c r="BN110" s="14" t="n">
        <f aca="false">10^6/((AJ110+273.15)^2)</f>
        <v>13.4936062642889</v>
      </c>
      <c r="BO110" s="14" t="n">
        <f aca="false">BN110*(2*($AK110/($AJ110+273.15)))</f>
        <v>0.00605923043826623</v>
      </c>
    </row>
    <row r="111" s="14" customFormat="true" ht="16" hidden="false" customHeight="false" outlineLevel="0" collapsed="false">
      <c r="A111" s="22" t="s">
        <v>489</v>
      </c>
      <c r="B111" s="84" t="s">
        <v>490</v>
      </c>
      <c r="C111" s="14" t="s">
        <v>438</v>
      </c>
      <c r="D111" s="23" t="s">
        <v>491</v>
      </c>
      <c r="E111" s="24" t="s">
        <v>482</v>
      </c>
      <c r="F111" s="22" t="n">
        <v>23.3</v>
      </c>
      <c r="G111" s="22" t="n">
        <v>66.7</v>
      </c>
      <c r="H111" s="22" t="s">
        <v>125</v>
      </c>
      <c r="I111" s="22" t="s">
        <v>121</v>
      </c>
      <c r="J111" s="22" t="n">
        <v>151</v>
      </c>
      <c r="K111" s="27" t="s">
        <v>489</v>
      </c>
      <c r="L111" s="22" t="s">
        <v>184</v>
      </c>
      <c r="M111" s="22" t="s">
        <v>492</v>
      </c>
      <c r="N111" s="22" t="n">
        <v>151</v>
      </c>
      <c r="O111" s="22" t="s">
        <v>178</v>
      </c>
      <c r="P111" s="22" t="s">
        <v>178</v>
      </c>
      <c r="Q111" s="22" t="n">
        <v>1</v>
      </c>
      <c r="R111" s="25" t="s">
        <v>83</v>
      </c>
      <c r="S111" s="25" t="n">
        <v>36.233</v>
      </c>
      <c r="T111" s="22" t="n">
        <v>62.2654680851064</v>
      </c>
      <c r="U111" s="85" t="n">
        <v>4</v>
      </c>
      <c r="V111" s="79" t="n">
        <v>-0.725</v>
      </c>
      <c r="W111" s="79" t="n">
        <v>0.630158710167526</v>
      </c>
      <c r="X111" s="79" t="n">
        <v>0.315079355083763</v>
      </c>
      <c r="Y111" s="27" t="n">
        <v>0.4</v>
      </c>
      <c r="Z111" s="27" t="n">
        <v>0.128062484748657</v>
      </c>
      <c r="AA111" s="27" t="n">
        <v>0.0640312423743284</v>
      </c>
      <c r="AB111" s="27" t="n">
        <v>0.6157374</v>
      </c>
      <c r="AC111" s="27" t="n">
        <v>0.204032744397188</v>
      </c>
      <c r="AD111" s="27" t="n">
        <v>0.201353222626515</v>
      </c>
      <c r="AE111" s="28" t="n">
        <v>0.61457637225</v>
      </c>
      <c r="AF111" s="28" t="n">
        <v>0.00996289391054091</v>
      </c>
      <c r="AG111" s="61" t="n">
        <f aca="false">AF111*SQRT(U111)</f>
        <v>0.0199257878210818</v>
      </c>
      <c r="AH111" s="29" t="n">
        <v>19.0253003692627</v>
      </c>
      <c r="AI111" s="27" t="n">
        <v>0.125704301482377</v>
      </c>
      <c r="AJ111" s="44" t="n">
        <v>19.0253003692627</v>
      </c>
      <c r="AK111" s="44" t="n">
        <v>0.125704301482377</v>
      </c>
      <c r="AL111" s="27" t="s">
        <v>63</v>
      </c>
      <c r="AM111" s="14" t="n">
        <f aca="false">IF(AND(O111="Benthic, infaunal",M111="elegans"),(0.243-SQRT(((Y111)-(AB111))*0.0012+0.053337))/0.0006,IF(O111="Benthic",(0.245-SQRT(((Y111)-(AB111))*0.0044+0.045461))/0.0022,IF(O111="Benthic, infaunal",(0.245-(SQRT(0.045461+0.0044*((Y111-0.47)-(AB111)))))/0.0022,IF(O111="Benthic, epifaunal",(0.245-SQRT(((Y111)-(AB111))*0.0044+0.045461))/0.0022))))</f>
        <v>17.718716807487</v>
      </c>
      <c r="AN111" s="45" t="n">
        <f aca="false">Y111-AB111</f>
        <v>-0.2157374</v>
      </c>
      <c r="AO111" s="45" t="n">
        <f aca="false">SQRT((Z111^2)+(AC111^2))</f>
        <v>0.240892840877948</v>
      </c>
      <c r="AP111" s="46" t="n">
        <f aca="false">IF(NOT($M111="elegans"),(0.045461+0.0044*((AN111))),IF($M111="elegans",(0.053337+0.0012*((AN111)))))</f>
        <v>0.04451175544</v>
      </c>
      <c r="AQ111" s="46" t="n">
        <f aca="false">IF(NOT($M111="elegans"),(0.0044*((AO111))),IF($M111="elegans",(0.0012*((AO111)))))</f>
        <v>0.00105992849986297</v>
      </c>
      <c r="AR111" s="46" t="n">
        <f aca="false">SQRT(AP111)</f>
        <v>0.210978092322402</v>
      </c>
      <c r="AS111" s="46" t="n">
        <f aca="false">AR111*(0.5*(AQ111/AP111))</f>
        <v>0.0025119397189431</v>
      </c>
      <c r="AT111" s="46" t="n">
        <f aca="false">IF(NOT($M111="elegans"),AS111/0.0022,IF($M111="elegans",AS111/0.0006))</f>
        <v>1.14179078133777</v>
      </c>
      <c r="AU111" s="45" t="n">
        <f aca="false">Y111-AB111</f>
        <v>-0.2157374</v>
      </c>
      <c r="AV111" s="45" t="n">
        <f aca="false">SQRT((AA111^2)+(AD111^2))</f>
        <v>0.211289186334944</v>
      </c>
      <c r="AW111" s="46" t="n">
        <f aca="false">IF(NOT($M111="elegans"),(0.045461+0.0044*((AU111))),IF($M111="elegans",(0.053337+0.0012*((AU111)))))</f>
        <v>0.04451175544</v>
      </c>
      <c r="AX111" s="46" t="n">
        <f aca="false">IF(NOT($M111="elegans"),(0.0044*((AV111))),IF($M111="elegans",(0.0012*((AV111)))))</f>
        <v>0.000929672419873755</v>
      </c>
      <c r="AY111" s="46" t="n">
        <f aca="false">SQRT(AW111)</f>
        <v>0.210978092322402</v>
      </c>
      <c r="AZ111" s="46" t="n">
        <f aca="false">AY111*(0.5*(AX111/AW111))</f>
        <v>0.00220324397106856</v>
      </c>
      <c r="BA111" s="46" t="n">
        <f aca="false">IF(NOT($M111="elegans"),AZ111/0.0022,IF($M111="elegans",AZ111/0.0006))</f>
        <v>1.00147453230389</v>
      </c>
      <c r="BE111" s="31" t="n">
        <f aca="false">AM111</f>
        <v>17.718716807487</v>
      </c>
      <c r="BF111" s="31" t="n">
        <f aca="false">AT111</f>
        <v>1.14179078133777</v>
      </c>
      <c r="BG111" s="31" t="n">
        <f aca="false">BA111</f>
        <v>1.00147453230389</v>
      </c>
      <c r="BH111" s="14" t="n">
        <f aca="false">10^6/((BE111+273.15)^2)</f>
        <v>11.8196868358406</v>
      </c>
      <c r="BI111" s="14" t="n">
        <f aca="false">BH111*(2*($BF111/($BE111+273.15)))</f>
        <v>0.0927951937601754</v>
      </c>
      <c r="BJ111" s="14" t="n">
        <f aca="false">BH111*(2*($BG111/($BE111+273.15)))</f>
        <v>0.0813914639967027</v>
      </c>
      <c r="BL111" s="14" t="n">
        <f aca="false">10^6/((AH111+273.15)^2)</f>
        <v>11.7142098999841</v>
      </c>
      <c r="BM111" s="14" t="n">
        <f aca="false">BL111*(2*($AI111/($AH111+273.15)))</f>
        <v>0.0100797471314954</v>
      </c>
      <c r="BN111" s="14" t="n">
        <f aca="false">10^6/((AJ111+273.15)^2)</f>
        <v>11.7142098999841</v>
      </c>
      <c r="BO111" s="14" t="n">
        <f aca="false">BN111*(2*($AK111/($AJ111+273.15)))</f>
        <v>0.0100797471314954</v>
      </c>
    </row>
    <row r="112" s="14" customFormat="true" ht="16" hidden="false" customHeight="false" outlineLevel="0" collapsed="false">
      <c r="A112" s="22" t="s">
        <v>489</v>
      </c>
      <c r="B112" s="84" t="s">
        <v>496</v>
      </c>
      <c r="C112" s="14" t="s">
        <v>438</v>
      </c>
      <c r="D112" s="23" t="s">
        <v>497</v>
      </c>
      <c r="E112" s="24" t="s">
        <v>498</v>
      </c>
      <c r="F112" s="22" t="n">
        <v>23.2</v>
      </c>
      <c r="G112" s="22" t="n">
        <v>66.6</v>
      </c>
      <c r="H112" s="22" t="s">
        <v>125</v>
      </c>
      <c r="I112" s="22" t="s">
        <v>121</v>
      </c>
      <c r="J112" s="22" t="n">
        <v>299</v>
      </c>
      <c r="K112" s="27" t="s">
        <v>489</v>
      </c>
      <c r="L112" s="22" t="s">
        <v>184</v>
      </c>
      <c r="M112" s="22" t="s">
        <v>492</v>
      </c>
      <c r="N112" s="22" t="n">
        <v>299</v>
      </c>
      <c r="O112" s="22" t="s">
        <v>178</v>
      </c>
      <c r="P112" s="22" t="s">
        <v>178</v>
      </c>
      <c r="Q112" s="22" t="n">
        <v>1</v>
      </c>
      <c r="R112" s="25" t="s">
        <v>83</v>
      </c>
      <c r="S112" s="25" t="n">
        <v>36.229</v>
      </c>
      <c r="T112" s="22" t="n">
        <v>37.6778536585366</v>
      </c>
      <c r="U112" s="85" t="n">
        <v>2</v>
      </c>
      <c r="V112" s="79" t="n">
        <v>-1.565</v>
      </c>
      <c r="W112" s="79" t="n">
        <v>0.0777817459305203</v>
      </c>
      <c r="X112" s="79" t="n">
        <v>0.0550000000000001</v>
      </c>
      <c r="Y112" s="27" t="n">
        <v>0.345</v>
      </c>
      <c r="Z112" s="27" t="n">
        <v>0.176776695296637</v>
      </c>
      <c r="AA112" s="27" t="n">
        <v>0.125</v>
      </c>
      <c r="AB112" s="27" t="n">
        <v>0.575724003333333</v>
      </c>
      <c r="AC112" s="27" t="n">
        <v>0.204530514885517</v>
      </c>
      <c r="AD112" s="27" t="n">
        <v>0.201521488944591</v>
      </c>
      <c r="AE112" s="28" t="n">
        <v>0.6133554835</v>
      </c>
      <c r="AF112" s="28" t="n">
        <v>0.0325023165</v>
      </c>
      <c r="AG112" s="61" t="n">
        <f aca="false">AF112*SQRT(U112)</f>
        <v>0.0459652168028428</v>
      </c>
      <c r="AH112" s="29" t="n">
        <v>15.5402863311767</v>
      </c>
      <c r="AI112" s="27" t="n">
        <v>0.0979857999350755</v>
      </c>
      <c r="AJ112" s="44" t="n">
        <v>15.5402863311767</v>
      </c>
      <c r="AK112" s="44" t="n">
        <v>0.0979857999350755</v>
      </c>
      <c r="AL112" s="27" t="s">
        <v>63</v>
      </c>
      <c r="AM112" s="14" t="n">
        <f aca="false">IF(AND(O112="Benthic, infaunal",M112="elegans"),(0.243-SQRT(((Y112)-(AB112))*0.0012+0.053337))/0.0006,IF(O112="Benthic",(0.245-SQRT(((Y112)-(AB112))*0.0044+0.045461))/0.0022,IF(O112="Benthic, infaunal",(0.245-(SQRT(0.045461+0.0044*((Y112-0.47)-(AB112)))))/0.0022,IF(O112="Benthic, epifaunal",(0.245-SQRT(((Y112)-(AB112))*0.0044+0.045461))/0.0022))))</f>
        <v>17.7914889380846</v>
      </c>
      <c r="AN112" s="45" t="n">
        <f aca="false">Y112-AB112</f>
        <v>-0.230724003333333</v>
      </c>
      <c r="AO112" s="45" t="n">
        <f aca="false">SQRT((Z112^2)+(AC112^2))</f>
        <v>0.270338179914222</v>
      </c>
      <c r="AP112" s="46" t="n">
        <f aca="false">IF(NOT($M112="elegans"),(0.045461+0.0044*((AN112))),IF($M112="elegans",(0.053337+0.0012*((AN112)))))</f>
        <v>0.0444458143853333</v>
      </c>
      <c r="AQ112" s="46" t="n">
        <f aca="false">IF(NOT($M112="elegans"),(0.0044*((AO112))),IF($M112="elegans",(0.0012*((AO112)))))</f>
        <v>0.00118948799162258</v>
      </c>
      <c r="AR112" s="46" t="n">
        <f aca="false">SQRT(AP112)</f>
        <v>0.210821759752957</v>
      </c>
      <c r="AS112" s="46" t="n">
        <f aca="false">AR112*(0.5*(AQ112/AP112))</f>
        <v>0.00282107499960259</v>
      </c>
      <c r="AT112" s="46" t="n">
        <f aca="false">IF(NOT($M112="elegans"),AS112/0.0022,IF($M112="elegans",AS112/0.0006))</f>
        <v>1.28230681800118</v>
      </c>
      <c r="AU112" s="45" t="n">
        <f aca="false">Y112-AB112</f>
        <v>-0.230724003333333</v>
      </c>
      <c r="AV112" s="45" t="n">
        <f aca="false">SQRT((AA112^2)+(AD112^2))</f>
        <v>0.237141119391903</v>
      </c>
      <c r="AW112" s="46" t="n">
        <f aca="false">IF(NOT($M112="elegans"),(0.045461+0.0044*((AU112))),IF($M112="elegans",(0.053337+0.0012*((AU112)))))</f>
        <v>0.0444458143853333</v>
      </c>
      <c r="AX112" s="46" t="n">
        <f aca="false">IF(NOT($M112="elegans"),(0.0044*((AV112))),IF($M112="elegans",(0.0012*((AV112)))))</f>
        <v>0.00104342092532437</v>
      </c>
      <c r="AY112" s="46" t="n">
        <f aca="false">SQRT(AW112)</f>
        <v>0.210821759752957</v>
      </c>
      <c r="AZ112" s="46" t="n">
        <f aca="false">AY112*(0.5*(AX112/AW112))</f>
        <v>0.00247465187309665</v>
      </c>
      <c r="BA112" s="46" t="n">
        <f aca="false">IF(NOT($M112="elegans"),AZ112/0.0022,IF($M112="elegans",AZ112/0.0006))</f>
        <v>1.12484176049848</v>
      </c>
      <c r="BE112" s="31" t="n">
        <f aca="false">AM112</f>
        <v>17.7914889380846</v>
      </c>
      <c r="BF112" s="31" t="n">
        <f aca="false">AT112</f>
        <v>1.28230681800118</v>
      </c>
      <c r="BG112" s="31" t="n">
        <f aca="false">BA112</f>
        <v>1.12484176049848</v>
      </c>
      <c r="BH112" s="14" t="n">
        <f aca="false">10^6/((BE112+273.15)^2)</f>
        <v>11.8137747452352</v>
      </c>
      <c r="BI112" s="14" t="n">
        <f aca="false">BH112*(2*($BF112/($BE112+273.15)))</f>
        <v>0.104136979276744</v>
      </c>
      <c r="BJ112" s="14" t="n">
        <f aca="false">BH112*(2*($BG112/($BE112+273.15)))</f>
        <v>0.0913491384887413</v>
      </c>
      <c r="BL112" s="14" t="n">
        <f aca="false">10^6/((AH112+273.15)^2)</f>
        <v>11.9987404074637</v>
      </c>
      <c r="BM112" s="14" t="n">
        <f aca="false">BL112*(2*($AI112/($AH112+273.15)))</f>
        <v>0.00814510382029208</v>
      </c>
      <c r="BN112" s="14" t="n">
        <f aca="false">10^6/((AJ112+273.15)^2)</f>
        <v>11.9987404074637</v>
      </c>
      <c r="BO112" s="14" t="n">
        <f aca="false">BN112*(2*($AK112/($AJ112+273.15)))</f>
        <v>0.00814510382029208</v>
      </c>
    </row>
    <row r="113" s="14" customFormat="true" ht="16" hidden="false" customHeight="false" outlineLevel="0" collapsed="false">
      <c r="A113" s="22" t="s">
        <v>489</v>
      </c>
      <c r="B113" s="84" t="s">
        <v>504</v>
      </c>
      <c r="C113" s="14" t="s">
        <v>438</v>
      </c>
      <c r="D113" s="23" t="s">
        <v>505</v>
      </c>
      <c r="E113" s="24" t="s">
        <v>501</v>
      </c>
      <c r="F113" s="22" t="n">
        <v>23.1</v>
      </c>
      <c r="G113" s="22" t="n">
        <v>66.5</v>
      </c>
      <c r="H113" s="22" t="s">
        <v>125</v>
      </c>
      <c r="I113" s="22" t="s">
        <v>121</v>
      </c>
      <c r="J113" s="22" t="n">
        <v>492</v>
      </c>
      <c r="K113" s="27" t="s">
        <v>489</v>
      </c>
      <c r="L113" s="22" t="s">
        <v>184</v>
      </c>
      <c r="M113" s="22" t="s">
        <v>492</v>
      </c>
      <c r="N113" s="22" t="n">
        <v>492</v>
      </c>
      <c r="O113" s="22" t="s">
        <v>178</v>
      </c>
      <c r="P113" s="22" t="s">
        <v>178</v>
      </c>
      <c r="Q113" s="22" t="n">
        <v>1</v>
      </c>
      <c r="R113" s="25" t="s">
        <v>83</v>
      </c>
      <c r="S113" s="25" t="n">
        <v>35.8895</v>
      </c>
      <c r="T113" s="22" t="n">
        <v>27.9876447368421</v>
      </c>
      <c r="U113" s="85" t="n">
        <v>1</v>
      </c>
      <c r="V113" s="79" t="n">
        <v>-1.3</v>
      </c>
      <c r="W113" s="79" t="n">
        <v>0</v>
      </c>
      <c r="X113" s="85" t="n">
        <v>0</v>
      </c>
      <c r="Y113" s="27" t="n">
        <v>0.93</v>
      </c>
      <c r="Z113" s="27" t="n">
        <v>0.01</v>
      </c>
      <c r="AA113" s="23" t="n">
        <v>0</v>
      </c>
      <c r="AB113" s="27" t="n">
        <v>0.4828924136</v>
      </c>
      <c r="AC113" s="27" t="n">
        <v>0.2</v>
      </c>
      <c r="AD113" s="27" t="n">
        <v>0.2</v>
      </c>
      <c r="AE113" s="28" t="n">
        <v>0.595724654</v>
      </c>
      <c r="AF113" s="23" t="n">
        <v>0.01</v>
      </c>
      <c r="AG113" s="61" t="n">
        <f aca="false">AF113*SQRT(U113)</f>
        <v>0.01</v>
      </c>
      <c r="AH113" s="29" t="n">
        <v>12.8187466430664</v>
      </c>
      <c r="AI113" s="27" t="n">
        <v>0.0979857999350755</v>
      </c>
      <c r="AJ113" s="44" t="n">
        <v>12.8187466430664</v>
      </c>
      <c r="AK113" s="44" t="n">
        <v>0.0979857999350755</v>
      </c>
      <c r="AL113" s="27" t="s">
        <v>63</v>
      </c>
      <c r="AM113" s="14" t="n">
        <f aca="false">IF(AND(O113="Benthic, infaunal",M113="elegans"),(0.243-SQRT(((Y113)-(AB113))*0.0012+0.053337))/0.0006,IF(O113="Benthic",(0.245-SQRT(((Y113)-(AB113))*0.0044+0.045461))/0.0022,IF(O113="Benthic, infaunal",(0.245-(SQRT(0.045461+0.0044*((Y113-0.47)-(AB113)))))/0.0022,IF(O113="Benthic, epifaunal",(0.245-SQRT(((Y113)-(AB113))*0.0044+0.045461))/0.0022))))</f>
        <v>14.5547663673885</v>
      </c>
      <c r="AN113" s="45" t="n">
        <f aca="false">Y113-AB113</f>
        <v>0.4471075864</v>
      </c>
      <c r="AO113" s="45" t="n">
        <f aca="false">SQRT((Z113^2)+(AC113^2))</f>
        <v>0.200249843945008</v>
      </c>
      <c r="AP113" s="46" t="n">
        <f aca="false">IF(NOT($M113="elegans"),(0.045461+0.0044*((AN113))),IF($M113="elegans",(0.053337+0.0012*((AN113)))))</f>
        <v>0.04742827338016</v>
      </c>
      <c r="AQ113" s="46" t="n">
        <f aca="false">IF(NOT($M113="elegans"),(0.0044*((AO113))),IF($M113="elegans",(0.0012*((AO113)))))</f>
        <v>0.000881099313358035</v>
      </c>
      <c r="AR113" s="46" t="n">
        <f aca="false">SQRT(AP113)</f>
        <v>0.217780332858961</v>
      </c>
      <c r="AS113" s="46" t="n">
        <f aca="false">AR113*(0.5*(AQ113/AP113))</f>
        <v>0.00202290836319148</v>
      </c>
      <c r="AT113" s="46" t="n">
        <f aca="false">IF(NOT($M113="elegans"),AS113/0.0022,IF($M113="elegans",AS113/0.0006))</f>
        <v>0.919503801450673</v>
      </c>
      <c r="AU113" s="45" t="n">
        <f aca="false">Y113-AB113</f>
        <v>0.4471075864</v>
      </c>
      <c r="AV113" s="45" t="n">
        <f aca="false">SQRT((AA113^2)+(AD113^2))</f>
        <v>0.2</v>
      </c>
      <c r="AW113" s="46" t="n">
        <f aca="false">IF(NOT($M113="elegans"),(0.045461+0.0044*((AU113))),IF($M113="elegans",(0.053337+0.0012*((AU113)))))</f>
        <v>0.04742827338016</v>
      </c>
      <c r="AX113" s="46" t="n">
        <f aca="false">IF(NOT($M113="elegans"),(0.0044*((AV113))),IF($M113="elegans",(0.0012*((AV113)))))</f>
        <v>0.00088</v>
      </c>
      <c r="AY113" s="46" t="n">
        <f aca="false">SQRT(AW113)</f>
        <v>0.217780332858961</v>
      </c>
      <c r="AZ113" s="46" t="n">
        <f aca="false">AY113*(0.5*(AX113/AW113))</f>
        <v>0.00202038445907304</v>
      </c>
      <c r="BA113" s="46" t="n">
        <f aca="false">IF(NOT($M113="elegans"),AZ113/0.0022,IF($M113="elegans",AZ113/0.0006))</f>
        <v>0.918356572305929</v>
      </c>
      <c r="BE113" s="31" t="n">
        <f aca="false">AM113</f>
        <v>14.5547663673885</v>
      </c>
      <c r="BF113" s="31" t="n">
        <f aca="false">AT113</f>
        <v>0.919503801450673</v>
      </c>
      <c r="BG113" s="31" t="n">
        <f aca="false">BA113</f>
        <v>0.918356572305929</v>
      </c>
      <c r="BH113" s="14" t="n">
        <f aca="false">10^6/((BE113+273.15)^2)</f>
        <v>12.0810835077595</v>
      </c>
      <c r="BI113" s="14" t="n">
        <f aca="false">BH113*(2*($BF113/($BE113+273.15)))</f>
        <v>0.0772222327164549</v>
      </c>
      <c r="BJ113" s="14" t="n">
        <f aca="false">BH113*(2*($BG113/($BE113+273.15)))</f>
        <v>0.0771258855389285</v>
      </c>
      <c r="BL113" s="14" t="n">
        <f aca="false">10^6/((AH113+273.15)^2)</f>
        <v>12.2282090905852</v>
      </c>
      <c r="BM113" s="14" t="n">
        <f aca="false">BL113*(2*($AI113/($AH113+273.15)))</f>
        <v>0.0083798727209158</v>
      </c>
      <c r="BN113" s="14" t="n">
        <f aca="false">10^6/((AJ113+273.15)^2)</f>
        <v>12.2282090905852</v>
      </c>
      <c r="BO113" s="14" t="n">
        <f aca="false">BN113*(2*($AK113/($AJ113+273.15)))</f>
        <v>0.0083798727209158</v>
      </c>
    </row>
    <row r="114" s="14" customFormat="true" ht="16" hidden="false" customHeight="false" outlineLevel="0" collapsed="false">
      <c r="A114" s="22" t="s">
        <v>461</v>
      </c>
      <c r="B114" s="84" t="s">
        <v>462</v>
      </c>
      <c r="C114" s="14" t="s">
        <v>438</v>
      </c>
      <c r="D114" s="23" t="s">
        <v>463</v>
      </c>
      <c r="E114" s="24" t="s">
        <v>462</v>
      </c>
      <c r="F114" s="22" t="n">
        <v>51.1</v>
      </c>
      <c r="G114" s="22" t="n">
        <v>-21.2</v>
      </c>
      <c r="H114" s="22" t="s">
        <v>78</v>
      </c>
      <c r="I114" s="22" t="s">
        <v>79</v>
      </c>
      <c r="J114" s="22" t="n">
        <v>2865</v>
      </c>
      <c r="K114" s="27" t="s">
        <v>461</v>
      </c>
      <c r="L114" s="22"/>
      <c r="M114" s="22"/>
      <c r="N114" s="22" t="n">
        <v>0</v>
      </c>
      <c r="O114" s="22" t="s">
        <v>461</v>
      </c>
      <c r="P114" s="22" t="s">
        <v>461</v>
      </c>
      <c r="Q114" s="22" t="n">
        <v>7</v>
      </c>
      <c r="R114" s="25"/>
      <c r="S114" s="25" t="n">
        <v>35.419</v>
      </c>
      <c r="T114" s="22" t="n">
        <v>31.381764940239</v>
      </c>
      <c r="U114" s="85" t="n">
        <v>2</v>
      </c>
      <c r="V114" s="79" t="n">
        <v>-0.285</v>
      </c>
      <c r="W114" s="79" t="n">
        <v>0.134350288425444</v>
      </c>
      <c r="X114" s="79" t="n">
        <v>0.0949999999999999</v>
      </c>
      <c r="Y114" s="27" t="n">
        <v>0.78</v>
      </c>
      <c r="Z114" s="27" t="n">
        <v>0.113137084989846</v>
      </c>
      <c r="AA114" s="27" t="n">
        <v>0.0799999999999991</v>
      </c>
      <c r="AB114" s="27" t="n">
        <v>0.362152069666667</v>
      </c>
      <c r="AC114" s="27" t="n">
        <v>0.234711712745751</v>
      </c>
      <c r="AD114" s="27" t="n">
        <v>0.201253537285687</v>
      </c>
      <c r="AE114" s="28" t="n">
        <v>0.6117962605</v>
      </c>
      <c r="AF114" s="28" t="n">
        <v>0.00639318449999993</v>
      </c>
      <c r="AG114" s="61" t="n">
        <f aca="false">AF114*SQRT(U114)</f>
        <v>0.00904132822665335</v>
      </c>
      <c r="AH114" s="29" t="n">
        <v>12.6696994954889</v>
      </c>
      <c r="AI114" s="27" t="n">
        <v>0.268859927856824</v>
      </c>
      <c r="AJ114" s="27" t="n">
        <f aca="false">VLOOKUP(B114,proft,2,0)</f>
        <v>12.8696165084839</v>
      </c>
      <c r="AK114" s="27" t="n">
        <f aca="false">VLOOKUP(B114,proft,3,0)</f>
        <v>0.132174804806709</v>
      </c>
      <c r="AL114" s="27" t="s">
        <v>63</v>
      </c>
      <c r="BB114" s="30" t="n">
        <v>14.6235</v>
      </c>
      <c r="BC114" s="30" t="n">
        <v>2.226</v>
      </c>
      <c r="BD114" s="30" t="n">
        <v>0.02216</v>
      </c>
      <c r="BE114" s="31" t="n">
        <v>14.6235</v>
      </c>
      <c r="BF114" s="31" t="n">
        <v>2.226</v>
      </c>
      <c r="BG114" s="31" t="n">
        <v>0.02216</v>
      </c>
      <c r="BH114" s="14" t="n">
        <f aca="false">10^6/((BB114+273.15)^2)</f>
        <v>12.0753131530245</v>
      </c>
      <c r="BI114" s="14" t="n">
        <f aca="false">BH114*(2*($BF114/($BE114+273.15)))</f>
        <v>0.186811134997715</v>
      </c>
      <c r="BJ114" s="14" t="n">
        <f aca="false">BH114*(2*($BG114/($BE114+273.15)))</f>
        <v>0.00185971911570052</v>
      </c>
      <c r="BL114" s="14" t="n">
        <f aca="false">10^6/((AH114+273.15)^2)</f>
        <v>12.240965768315</v>
      </c>
      <c r="BM114" s="14" t="n">
        <f aca="false">BL114*(2*($AI114/($AH114+273.15)))</f>
        <v>0.0230292396162774</v>
      </c>
      <c r="BN114" s="14" t="n">
        <f aca="false">10^6/((AJ114+273.15)^2)</f>
        <v>12.2238597942581</v>
      </c>
      <c r="BO114" s="14" t="n">
        <f aca="false">BN114*(2*($AK114/($AJ114+273.15)))</f>
        <v>0.0112977305683697</v>
      </c>
    </row>
    <row r="115" s="14" customFormat="true" ht="16" hidden="false" customHeight="false" outlineLevel="0" collapsed="false">
      <c r="A115" s="22" t="s">
        <v>461</v>
      </c>
      <c r="B115" s="84" t="s">
        <v>528</v>
      </c>
      <c r="C115" s="14" t="s">
        <v>438</v>
      </c>
      <c r="D115" s="23" t="s">
        <v>529</v>
      </c>
      <c r="E115" s="24" t="s">
        <v>528</v>
      </c>
      <c r="F115" s="22" t="n">
        <v>61</v>
      </c>
      <c r="G115" s="22" t="n">
        <v>-24.5</v>
      </c>
      <c r="H115" s="22" t="s">
        <v>78</v>
      </c>
      <c r="I115" s="22" t="s">
        <v>79</v>
      </c>
      <c r="J115" s="22" t="n">
        <v>1826</v>
      </c>
      <c r="K115" s="27" t="s">
        <v>461</v>
      </c>
      <c r="L115" s="22"/>
      <c r="M115" s="22"/>
      <c r="N115" s="22" t="n">
        <v>0</v>
      </c>
      <c r="O115" s="22" t="s">
        <v>461</v>
      </c>
      <c r="P115" s="22" t="s">
        <v>461</v>
      </c>
      <c r="Q115" s="22" t="n">
        <v>7</v>
      </c>
      <c r="R115" s="25"/>
      <c r="S115" s="25" t="n">
        <v>35.143</v>
      </c>
      <c r="T115" s="86" t="n">
        <v>42.4374086956522</v>
      </c>
      <c r="U115" s="85" t="n">
        <v>1</v>
      </c>
      <c r="V115" s="79" t="n">
        <v>0.73</v>
      </c>
      <c r="W115" s="79" t="n">
        <v>0</v>
      </c>
      <c r="X115" s="85" t="n">
        <v>0.01</v>
      </c>
      <c r="Y115" s="27" t="n">
        <v>2.47</v>
      </c>
      <c r="Z115" s="27" t="n">
        <v>0.02</v>
      </c>
      <c r="AA115" s="23" t="n">
        <v>0.01</v>
      </c>
      <c r="AB115" s="27" t="n">
        <v>0.305557621538462</v>
      </c>
      <c r="AC115" s="27" t="n">
        <v>0.206990438897232</v>
      </c>
      <c r="AD115" s="27" t="n">
        <v>0.200273374876487</v>
      </c>
      <c r="AE115" s="28" t="n">
        <v>0.661010922</v>
      </c>
      <c r="AF115" s="23" t="n">
        <v>0.016</v>
      </c>
      <c r="AG115" s="61" t="n">
        <f aca="false">AF115*SQRT(U115)</f>
        <v>0.016</v>
      </c>
      <c r="AH115" s="29" t="n">
        <v>9.1</v>
      </c>
      <c r="AI115" s="27" t="n">
        <v>1</v>
      </c>
      <c r="AJ115" s="27" t="n">
        <f aca="false">VLOOKUP(B115,proft,2,0)</f>
        <v>5.16096479894687</v>
      </c>
      <c r="AK115" s="27" t="n">
        <f aca="false">VLOOKUP(B115,proft,3,0)</f>
        <v>0.26849460601806</v>
      </c>
      <c r="AL115" s="27" t="s">
        <v>63</v>
      </c>
      <c r="BB115" s="30" t="n">
        <v>7.8177</v>
      </c>
      <c r="BC115" s="30" t="n">
        <v>2.27</v>
      </c>
      <c r="BD115" s="30" t="n">
        <v>0.0227</v>
      </c>
      <c r="BE115" s="60" t="n">
        <v>7.8177</v>
      </c>
      <c r="BF115" s="31" t="n">
        <v>2.27</v>
      </c>
      <c r="BG115" s="31" t="n">
        <v>0.0227</v>
      </c>
      <c r="BH115" s="14" t="n">
        <f aca="false">10^6/((BB115+273.15)^2)</f>
        <v>12.6673919135103</v>
      </c>
      <c r="BI115" s="14" t="n">
        <f aca="false">BH115*(2*($BF115/($BE115+273.15)))</f>
        <v>0.204685304707042</v>
      </c>
      <c r="BJ115" s="14" t="n">
        <f aca="false">BH115*(2*($BG115/($BE115+273.15)))</f>
        <v>0.00204685304707042</v>
      </c>
      <c r="BL115" s="14" t="n">
        <f aca="false">10^6/((AH115+273.15)^2)</f>
        <v>12.5525540132477</v>
      </c>
      <c r="BM115" s="14" t="n">
        <f aca="false">BL115*(2*($AI115/($AH115+273.15)))</f>
        <v>0.0889463526182296</v>
      </c>
      <c r="BN115" s="14" t="n">
        <f aca="false">10^6/((AJ115+273.15)^2)</f>
        <v>12.9103901355458</v>
      </c>
      <c r="BO115" s="14" t="n">
        <f aca="false">BN115*(2*($AK115/($AJ115+273.15)))</f>
        <v>0.0249100506369697</v>
      </c>
    </row>
    <row r="116" s="14" customFormat="true" ht="16" hidden="false" customHeight="false" outlineLevel="0" collapsed="false">
      <c r="A116" s="22" t="s">
        <v>461</v>
      </c>
      <c r="B116" s="84" t="s">
        <v>516</v>
      </c>
      <c r="C116" s="14" t="s">
        <v>438</v>
      </c>
      <c r="D116" s="23" t="s">
        <v>517</v>
      </c>
      <c r="E116" s="24" t="s">
        <v>518</v>
      </c>
      <c r="F116" s="22" t="n">
        <v>-1.3</v>
      </c>
      <c r="G116" s="22" t="n">
        <v>146.2</v>
      </c>
      <c r="H116" s="22" t="s">
        <v>56</v>
      </c>
      <c r="I116" s="22" t="s">
        <v>57</v>
      </c>
      <c r="J116" s="22" t="n">
        <v>1900</v>
      </c>
      <c r="K116" s="27" t="s">
        <v>461</v>
      </c>
      <c r="L116" s="22"/>
      <c r="M116" s="22"/>
      <c r="N116" s="22" t="n">
        <v>0</v>
      </c>
      <c r="O116" s="22" t="s">
        <v>461</v>
      </c>
      <c r="P116" s="22" t="s">
        <v>461</v>
      </c>
      <c r="Q116" s="22" t="n">
        <v>7</v>
      </c>
      <c r="R116" s="25"/>
      <c r="S116" s="25" t="n">
        <v>34.46</v>
      </c>
      <c r="T116" s="22" t="n">
        <v>16.22516</v>
      </c>
      <c r="U116" s="85" t="n">
        <v>5</v>
      </c>
      <c r="V116" s="79" t="n">
        <v>0.392</v>
      </c>
      <c r="W116" s="79" t="n">
        <v>0.0286356421265527</v>
      </c>
      <c r="X116" s="79" t="n">
        <v>0.0128062484748657</v>
      </c>
      <c r="Y116" s="27" t="n">
        <v>-1.94</v>
      </c>
      <c r="Z116" s="27" t="n">
        <v>0.0710633520177595</v>
      </c>
      <c r="AA116" s="27" t="n">
        <v>0.0317804971641414</v>
      </c>
      <c r="AB116" s="27" t="n">
        <v>0.126736990776923</v>
      </c>
      <c r="AC116" s="27" t="n">
        <v>0.242362410739246</v>
      </c>
      <c r="AD116" s="27" t="n">
        <v>0.201869132241345</v>
      </c>
      <c r="AE116" s="28" t="n">
        <v>0.6065939104</v>
      </c>
      <c r="AF116" s="28" t="n">
        <v>0.00326403227097755</v>
      </c>
      <c r="AG116" s="61" t="n">
        <f aca="false">AF116*SQRT(U116)</f>
        <v>0.00729859803865883</v>
      </c>
      <c r="AH116" s="29" t="n">
        <v>29.2</v>
      </c>
      <c r="AI116" s="27" t="n">
        <v>0.4</v>
      </c>
      <c r="AJ116" s="27" t="n">
        <f aca="false">VLOOKUP(B116,proft,2,0)</f>
        <v>25.6439971446695</v>
      </c>
      <c r="AK116" s="27" t="n">
        <f aca="false">VLOOKUP(B116,proft,3,0)</f>
        <v>4.0556106567383</v>
      </c>
      <c r="AL116" s="27" t="s">
        <v>63</v>
      </c>
      <c r="BB116" s="30" t="n">
        <v>24.2502</v>
      </c>
      <c r="BC116" s="30" t="n">
        <v>2.204</v>
      </c>
      <c r="BD116" s="30" t="n">
        <v>0.02204</v>
      </c>
      <c r="BE116" s="60" t="n">
        <v>24.2502</v>
      </c>
      <c r="BF116" s="31" t="n">
        <v>2.204</v>
      </c>
      <c r="BG116" s="31" t="n">
        <v>0.02204</v>
      </c>
      <c r="BH116" s="14" t="n">
        <f aca="false">10^6/((BB116+273.15)^2)</f>
        <v>11.3062214490553</v>
      </c>
      <c r="BI116" s="14" t="n">
        <f aca="false">BH116*(2*($BF116/($BE116+273.15)))</f>
        <v>0.16757831416198</v>
      </c>
      <c r="BJ116" s="14" t="n">
        <f aca="false">BH116*(2*($BG116/($BE116+273.15)))</f>
        <v>0.0016757831416198</v>
      </c>
      <c r="BL116" s="14" t="n">
        <f aca="false">10^6/((AH116+273.15)^2)</f>
        <v>10.9390612518788</v>
      </c>
      <c r="BM116" s="14" t="n">
        <f aca="false">BL116*(2*($AI116/($AH116+273.15)))</f>
        <v>0.0289441012121813</v>
      </c>
      <c r="BN116" s="14" t="n">
        <f aca="false">10^6/((AJ116+273.15)^2)</f>
        <v>11.2009862404258</v>
      </c>
      <c r="BO116" s="14" t="n">
        <f aca="false">BN116*(2*($AK116/($AJ116+273.15)))</f>
        <v>0.304067950472613</v>
      </c>
    </row>
    <row r="117" s="14" customFormat="true" ht="16" hidden="false" customHeight="false" outlineLevel="0" collapsed="false">
      <c r="A117" s="22" t="s">
        <v>100</v>
      </c>
      <c r="B117" s="84" t="s">
        <v>525</v>
      </c>
      <c r="C117" s="14" t="s">
        <v>438</v>
      </c>
      <c r="D117" s="23" t="s">
        <v>526</v>
      </c>
      <c r="E117" s="24" t="s">
        <v>527</v>
      </c>
      <c r="F117" s="22" t="n">
        <v>61.9</v>
      </c>
      <c r="G117" s="22" t="n">
        <v>-23.9</v>
      </c>
      <c r="H117" s="22" t="s">
        <v>78</v>
      </c>
      <c r="I117" s="22" t="s">
        <v>79</v>
      </c>
      <c r="J117" s="22" t="n">
        <v>1502</v>
      </c>
      <c r="K117" s="27" t="s">
        <v>100</v>
      </c>
      <c r="L117" s="22" t="s">
        <v>104</v>
      </c>
      <c r="M117" s="22" t="s">
        <v>105</v>
      </c>
      <c r="N117" s="22" t="s">
        <v>106</v>
      </c>
      <c r="O117" s="22" t="s">
        <v>71</v>
      </c>
      <c r="P117" s="22" t="s">
        <v>71</v>
      </c>
      <c r="Q117" s="22" t="n">
        <v>5</v>
      </c>
      <c r="R117" s="25" t="s">
        <v>83</v>
      </c>
      <c r="S117" s="25" t="n">
        <v>35.1652380952381</v>
      </c>
      <c r="T117" s="22" t="n">
        <v>46.1891785714286</v>
      </c>
      <c r="U117" s="85" t="n">
        <v>1</v>
      </c>
      <c r="V117" s="79" t="n">
        <v>0.03</v>
      </c>
      <c r="W117" s="79" t="n">
        <v>0</v>
      </c>
      <c r="X117" s="85" t="n">
        <v>0</v>
      </c>
      <c r="Y117" s="27" t="n">
        <v>1.42</v>
      </c>
      <c r="Z117" s="27" t="n">
        <v>0</v>
      </c>
      <c r="AA117" s="23" t="n">
        <v>0</v>
      </c>
      <c r="AB117" s="27" t="n">
        <v>0.354384345714286</v>
      </c>
      <c r="AC117" s="27" t="n">
        <v>0.200154754096281</v>
      </c>
      <c r="AD117" s="27" t="n">
        <v>0.200022115058504</v>
      </c>
      <c r="AE117" s="28" t="n">
        <v>0.620826612</v>
      </c>
      <c r="AF117" s="23" t="n">
        <v>0.019</v>
      </c>
      <c r="AG117" s="61" t="n">
        <f aca="false">AF117*SQRT(U117)</f>
        <v>0.019</v>
      </c>
      <c r="AH117" s="29" t="n">
        <v>8.79733303615025</v>
      </c>
      <c r="AI117" s="27" t="n">
        <v>0.335859590704696</v>
      </c>
      <c r="AJ117" s="27" t="n">
        <f aca="false">VLOOKUP(B117,proft,2,0)</f>
        <v>10.0662824114964</v>
      </c>
      <c r="AK117" s="27" t="n">
        <f aca="false">VLOOKUP(B117,proft,3,0)</f>
        <v>0.577702522277861</v>
      </c>
      <c r="AL117" s="27" t="s">
        <v>107</v>
      </c>
      <c r="BB117" s="30" t="n">
        <v>12.3956</v>
      </c>
      <c r="BC117" s="30" t="n">
        <v>2.388</v>
      </c>
      <c r="BD117" s="30" t="n">
        <v>0.02388</v>
      </c>
      <c r="BE117" s="60" t="n">
        <v>12.3956</v>
      </c>
      <c r="BF117" s="31" t="n">
        <v>2.388</v>
      </c>
      <c r="BG117" s="31" t="n">
        <v>0.02388</v>
      </c>
      <c r="BH117" s="14" t="n">
        <f aca="false">10^6/((BB117+273.15)^2)</f>
        <v>12.2644776201184</v>
      </c>
      <c r="BI117" s="14" t="n">
        <f aca="false">BH117*(2*($BF117/($BE117+273.15)))</f>
        <v>0.205134119081805</v>
      </c>
      <c r="BJ117" s="14" t="n">
        <f aca="false">BH117*(2*($BG117/($BE117+273.15)))</f>
        <v>0.00205134119081805</v>
      </c>
      <c r="BL117" s="14" t="n">
        <f aca="false">10^6/((AH117+273.15)^2)</f>
        <v>12.5795185004882</v>
      </c>
      <c r="BM117" s="14" t="n">
        <f aca="false">BL117*(2*($AI117/($AH117+273.15)))</f>
        <v>0.0299697953468098</v>
      </c>
      <c r="BN117" s="14" t="n">
        <f aca="false">10^6/((AJ117+273.15)^2)</f>
        <v>12.4670460717095</v>
      </c>
      <c r="BO117" s="14" t="n">
        <f aca="false">BN117*(2*($AK117/($AJ117+273.15)))</f>
        <v>0.0508603806225832</v>
      </c>
    </row>
    <row r="118" s="14" customFormat="true" ht="16" hidden="false" customHeight="false" outlineLevel="0" collapsed="false">
      <c r="A118" s="22" t="s">
        <v>100</v>
      </c>
      <c r="B118" s="84" t="s">
        <v>539</v>
      </c>
      <c r="C118" s="14" t="s">
        <v>438</v>
      </c>
      <c r="D118" s="23" t="s">
        <v>540</v>
      </c>
      <c r="E118" s="24" t="s">
        <v>541</v>
      </c>
      <c r="F118" s="22" t="n">
        <v>45.4</v>
      </c>
      <c r="G118" s="22" t="n">
        <v>-27.1</v>
      </c>
      <c r="H118" s="22" t="s">
        <v>78</v>
      </c>
      <c r="I118" s="22" t="s">
        <v>79</v>
      </c>
      <c r="J118" s="22" t="n">
        <v>2162</v>
      </c>
      <c r="K118" s="27" t="s">
        <v>100</v>
      </c>
      <c r="L118" s="22" t="s">
        <v>104</v>
      </c>
      <c r="M118" s="22" t="s">
        <v>105</v>
      </c>
      <c r="N118" s="22" t="s">
        <v>106</v>
      </c>
      <c r="O118" s="22" t="s">
        <v>71</v>
      </c>
      <c r="P118" s="22" t="s">
        <v>71</v>
      </c>
      <c r="Q118" s="22" t="n">
        <v>5</v>
      </c>
      <c r="R118" s="25" t="s">
        <v>83</v>
      </c>
      <c r="S118" s="25" t="n">
        <v>35.8044285714286</v>
      </c>
      <c r="T118" s="22" t="n">
        <v>42.8682276422764</v>
      </c>
      <c r="U118" s="85" t="n">
        <v>1</v>
      </c>
      <c r="V118" s="79" t="n">
        <v>-0.45</v>
      </c>
      <c r="W118" s="79" t="n">
        <v>0</v>
      </c>
      <c r="X118" s="85" t="n">
        <v>0</v>
      </c>
      <c r="Y118" s="27" t="n">
        <v>0.5</v>
      </c>
      <c r="Z118" s="27" t="n">
        <v>0</v>
      </c>
      <c r="AA118" s="23" t="n">
        <v>0</v>
      </c>
      <c r="AB118" s="27" t="n">
        <v>0.68932655</v>
      </c>
      <c r="AC118" s="27" t="n">
        <v>0.200673366082356</v>
      </c>
      <c r="AD118" s="27" t="n">
        <v>0.200096333890462</v>
      </c>
      <c r="AE118" s="28" t="n">
        <v>0.645604219</v>
      </c>
      <c r="AF118" s="23" t="n">
        <v>0.009</v>
      </c>
      <c r="AG118" s="61" t="n">
        <f aca="false">AF118*SQRT(U118)</f>
        <v>0.009</v>
      </c>
      <c r="AH118" s="29" t="n">
        <v>15.0062301726568</v>
      </c>
      <c r="AI118" s="27" t="n">
        <v>0.667863357173431</v>
      </c>
      <c r="AJ118" s="27" t="n">
        <f aca="false">VLOOKUP(B118,proft,2,0)</f>
        <v>15.7407695437972</v>
      </c>
      <c r="AK118" s="27" t="n">
        <f aca="false">VLOOKUP(B118,proft,3,0)</f>
        <v>1.4353151321412</v>
      </c>
      <c r="AL118" s="27" t="s">
        <v>107</v>
      </c>
      <c r="BB118" s="30" t="n">
        <v>17.2224</v>
      </c>
      <c r="BC118" s="30" t="n">
        <v>2.392</v>
      </c>
      <c r="BD118" s="30" t="n">
        <v>0.02426</v>
      </c>
      <c r="BE118" s="31" t="n">
        <v>17.2224</v>
      </c>
      <c r="BF118" s="31" t="n">
        <v>2.392</v>
      </c>
      <c r="BG118" s="31" t="n">
        <v>0.02426</v>
      </c>
      <c r="BH118" s="14" t="n">
        <f aca="false">10^6/((BB118+273.15)^2)</f>
        <v>11.8601267861113</v>
      </c>
      <c r="BI118" s="14" t="n">
        <f aca="false">BH118*(2*($BF118/($BE118+273.15)))</f>
        <v>0.19540027407824</v>
      </c>
      <c r="BJ118" s="14" t="n">
        <f aca="false">BH118*(2*($BG118/($BE118+273.15)))</f>
        <v>0.00198177702723165</v>
      </c>
      <c r="BL118" s="14" t="n">
        <f aca="false">10^6/((AH118+273.15)^2)</f>
        <v>12.0432575040392</v>
      </c>
      <c r="BM118" s="14" t="n">
        <f aca="false">BL118*(2*($AI118/($AH118+273.15)))</f>
        <v>0.0558256219768868</v>
      </c>
      <c r="BN118" s="14" t="n">
        <f aca="false">10^6/((AJ118+273.15)^2)</f>
        <v>11.9820925143331</v>
      </c>
      <c r="BO118" s="14" t="n">
        <f aca="false">BN118*(2*($AK118/($AJ118+273.15)))</f>
        <v>0.11906284667867</v>
      </c>
    </row>
    <row r="119" s="14" customFormat="true" ht="16" hidden="false" customHeight="false" outlineLevel="0" collapsed="false">
      <c r="A119" s="22" t="s">
        <v>67</v>
      </c>
      <c r="B119" s="14" t="s">
        <v>506</v>
      </c>
      <c r="C119" s="14" t="s">
        <v>438</v>
      </c>
      <c r="D119" s="23" t="s">
        <v>507</v>
      </c>
      <c r="E119" s="24" t="s">
        <v>506</v>
      </c>
      <c r="F119" s="22" t="n">
        <v>-29</v>
      </c>
      <c r="G119" s="22" t="n">
        <v>-35</v>
      </c>
      <c r="H119" s="22" t="s">
        <v>78</v>
      </c>
      <c r="I119" s="22" t="s">
        <v>170</v>
      </c>
      <c r="J119" s="22" t="n">
        <v>0</v>
      </c>
      <c r="K119" s="27" t="s">
        <v>67</v>
      </c>
      <c r="L119" s="22" t="s">
        <v>68</v>
      </c>
      <c r="M119" s="22" t="s">
        <v>69</v>
      </c>
      <c r="N119" s="22" t="s">
        <v>162</v>
      </c>
      <c r="O119" s="22" t="s">
        <v>71</v>
      </c>
      <c r="P119" s="22" t="s">
        <v>71</v>
      </c>
      <c r="Q119" s="22" t="n">
        <v>5</v>
      </c>
      <c r="R119" s="25" t="s">
        <v>62</v>
      </c>
      <c r="S119" s="25" t="n">
        <v>36.0368181818182</v>
      </c>
      <c r="T119" s="22" t="n">
        <v>215</v>
      </c>
      <c r="U119" s="85" t="n">
        <v>1</v>
      </c>
      <c r="V119" s="79" t="n">
        <v>2.03</v>
      </c>
      <c r="W119" s="79" t="n">
        <v>0</v>
      </c>
      <c r="X119" s="85" t="n">
        <v>0</v>
      </c>
      <c r="Y119" s="27" t="n">
        <v>-0.64</v>
      </c>
      <c r="Z119" s="27" t="n">
        <v>0</v>
      </c>
      <c r="AA119" s="23" t="n">
        <v>0</v>
      </c>
      <c r="AB119" s="27" t="n">
        <v>0.839659214</v>
      </c>
      <c r="AC119" s="27" t="n">
        <v>0.200357141156667</v>
      </c>
      <c r="AD119" s="27" t="n">
        <v>0.200071479233034</v>
      </c>
      <c r="AE119" s="28" t="n">
        <v>0.552105148</v>
      </c>
      <c r="AF119" s="23" t="n">
        <v>0.009</v>
      </c>
      <c r="AG119" s="61" t="n">
        <f aca="false">AF119*SQRT(U119)</f>
        <v>0.009</v>
      </c>
      <c r="AH119" s="29" t="n">
        <v>21.3750671039928</v>
      </c>
      <c r="AI119" s="27" t="n">
        <v>0.465848889727038</v>
      </c>
      <c r="AJ119" s="27" t="n">
        <f aca="false">VLOOKUP(B119,proft,2,0)</f>
        <v>21.8607516612818</v>
      </c>
      <c r="AK119" s="27" t="n">
        <f aca="false">VLOOKUP(B119,proft,3,0)</f>
        <v>2.0837631225586</v>
      </c>
      <c r="AL119" s="27" t="s">
        <v>72</v>
      </c>
      <c r="BB119" s="30" t="n">
        <v>22.6812</v>
      </c>
      <c r="BC119" s="30" t="n">
        <v>2.133</v>
      </c>
      <c r="BD119" s="30" t="n">
        <v>0.02133</v>
      </c>
      <c r="BE119" s="60" t="n">
        <v>22.6812</v>
      </c>
      <c r="BF119" s="31" t="n">
        <v>2.133</v>
      </c>
      <c r="BG119" s="31" t="n">
        <v>0.02133</v>
      </c>
      <c r="BH119" s="14" t="n">
        <f aca="false">10^6/((BB119+273.15)^2)</f>
        <v>11.4264691027602</v>
      </c>
      <c r="BI119" s="14" t="n">
        <f aca="false">BH119*(2*($BF119/($BE119+273.15)))</f>
        <v>0.164774091415561</v>
      </c>
      <c r="BJ119" s="14" t="n">
        <f aca="false">BH119*(2*($BG119/($BE119+273.15)))</f>
        <v>0.00164774091415561</v>
      </c>
      <c r="BL119" s="14" t="n">
        <f aca="false">10^6/((AH119+273.15)^2)</f>
        <v>11.5280399483554</v>
      </c>
      <c r="BM119" s="14" t="n">
        <f aca="false">BL119*(2*($AI119/($AH119+273.15)))</f>
        <v>0.0364676912799013</v>
      </c>
      <c r="BN119" s="14" t="n">
        <f aca="false">10^6/((AJ119+273.15)^2)</f>
        <v>11.4901133164717</v>
      </c>
      <c r="BO119" s="14" t="n">
        <f aca="false">BN119*(2*($AK119/($AJ119+273.15)))</f>
        <v>0.162317300424176</v>
      </c>
    </row>
    <row r="120" s="14" customFormat="true" ht="16" hidden="false" customHeight="false" outlineLevel="0" collapsed="false">
      <c r="A120" s="22" t="s">
        <v>67</v>
      </c>
      <c r="B120" s="14" t="s">
        <v>508</v>
      </c>
      <c r="C120" s="14" t="s">
        <v>438</v>
      </c>
      <c r="D120" s="23" t="s">
        <v>509</v>
      </c>
      <c r="E120" s="24" t="s">
        <v>510</v>
      </c>
      <c r="F120" s="22" t="n">
        <v>13.4</v>
      </c>
      <c r="G120" s="22" t="n">
        <v>-43.9</v>
      </c>
      <c r="H120" s="22" t="s">
        <v>78</v>
      </c>
      <c r="I120" s="22" t="s">
        <v>391</v>
      </c>
      <c r="J120" s="22" t="n">
        <v>0</v>
      </c>
      <c r="K120" s="27" t="s">
        <v>67</v>
      </c>
      <c r="L120" s="22" t="s">
        <v>68</v>
      </c>
      <c r="M120" s="22" t="s">
        <v>69</v>
      </c>
      <c r="N120" s="22" t="s">
        <v>162</v>
      </c>
      <c r="O120" s="22" t="s">
        <v>71</v>
      </c>
      <c r="P120" s="22" t="s">
        <v>71</v>
      </c>
      <c r="Q120" s="22" t="n">
        <v>5</v>
      </c>
      <c r="R120" s="25" t="s">
        <v>62</v>
      </c>
      <c r="S120" s="25" t="n">
        <v>36.3834545454545</v>
      </c>
      <c r="T120" s="22" t="n">
        <v>216.242</v>
      </c>
      <c r="U120" s="85" t="n">
        <v>2</v>
      </c>
      <c r="V120" s="79" t="n">
        <v>2.2</v>
      </c>
      <c r="W120" s="79" t="n">
        <v>0.155563491861041</v>
      </c>
      <c r="X120" s="79" t="n">
        <v>0.11</v>
      </c>
      <c r="Y120" s="27" t="n">
        <v>-0.8</v>
      </c>
      <c r="Z120" s="27" t="n">
        <v>0.141421356237309</v>
      </c>
      <c r="AA120" s="27" t="n">
        <v>0.0999999999999995</v>
      </c>
      <c r="AB120" s="27" t="n">
        <v>0.863430238</v>
      </c>
      <c r="AC120" s="27" t="n">
        <v>0.20060741955914</v>
      </c>
      <c r="AD120" s="27" t="n">
        <v>0.200121631405591</v>
      </c>
      <c r="AE120" s="28" t="n">
        <v>0.554935261</v>
      </c>
      <c r="AF120" s="28" t="n">
        <v>0.013232353</v>
      </c>
      <c r="AG120" s="61" t="n">
        <f aca="false">AF120*SQRT(U120)</f>
        <v>0.0187133730747084</v>
      </c>
      <c r="AH120" s="29" t="n">
        <v>26.2130274339156</v>
      </c>
      <c r="AI120" s="27" t="n">
        <v>0.218686238276243</v>
      </c>
      <c r="AJ120" s="27" t="n">
        <f aca="false">VLOOKUP(B120,proft,2,0)</f>
        <v>23.7114950018947</v>
      </c>
      <c r="AK120" s="27" t="n">
        <f aca="false">VLOOKUP(B120,proft,3,0)</f>
        <v>0.7047119140625</v>
      </c>
      <c r="AL120" s="27" t="s">
        <v>72</v>
      </c>
      <c r="BB120" s="30" t="n">
        <v>23.5999</v>
      </c>
      <c r="BC120" s="30" t="n">
        <v>2.107</v>
      </c>
      <c r="BD120" s="30" t="n">
        <v>0.02107</v>
      </c>
      <c r="BE120" s="60" t="n">
        <v>23.5999</v>
      </c>
      <c r="BF120" s="31" t="n">
        <v>2.107</v>
      </c>
      <c r="BG120" s="31" t="n">
        <v>0.02107</v>
      </c>
      <c r="BH120" s="14" t="n">
        <f aca="false">10^6/((BB120+273.15)^2)</f>
        <v>11.355828824831</v>
      </c>
      <c r="BI120" s="14" t="n">
        <f aca="false">BH120*(2*($BF120/($BE120+273.15)))</f>
        <v>0.161258563752971</v>
      </c>
      <c r="BJ120" s="14" t="n">
        <f aca="false">BH120*(2*($BG120/($BE120+273.15)))</f>
        <v>0.00161258563752971</v>
      </c>
      <c r="BL120" s="14" t="n">
        <f aca="false">10^6/((AH120+273.15)^2)</f>
        <v>11.1584449625748</v>
      </c>
      <c r="BM120" s="14" t="n">
        <f aca="false">BL120*(2*($AI120/($AH120+273.15)))</f>
        <v>0.0163026033962504</v>
      </c>
      <c r="BN120" s="14" t="n">
        <f aca="false">10^6/((AJ120+273.15)^2)</f>
        <v>11.347292752824</v>
      </c>
      <c r="BO120" s="14" t="n">
        <f aca="false">BN120*(2*($AK120/($AJ120+273.15)))</f>
        <v>0.0538740963708959</v>
      </c>
    </row>
    <row r="121" s="14" customFormat="true" ht="16" hidden="false" customHeight="false" outlineLevel="0" collapsed="false">
      <c r="A121" s="22" t="s">
        <v>67</v>
      </c>
      <c r="B121" s="14" t="s">
        <v>514</v>
      </c>
      <c r="C121" s="14" t="s">
        <v>438</v>
      </c>
      <c r="D121" s="23" t="s">
        <v>515</v>
      </c>
      <c r="E121" s="24" t="s">
        <v>513</v>
      </c>
      <c r="F121" s="22" t="n">
        <v>4.1</v>
      </c>
      <c r="G121" s="22" t="n">
        <v>-43.3</v>
      </c>
      <c r="H121" s="22" t="s">
        <v>78</v>
      </c>
      <c r="I121" s="22" t="s">
        <v>391</v>
      </c>
      <c r="J121" s="22" t="n">
        <v>0</v>
      </c>
      <c r="K121" s="27" t="s">
        <v>67</v>
      </c>
      <c r="L121" s="22" t="s">
        <v>68</v>
      </c>
      <c r="M121" s="22" t="s">
        <v>69</v>
      </c>
      <c r="N121" s="22" t="s">
        <v>162</v>
      </c>
      <c r="O121" s="22" t="s">
        <v>71</v>
      </c>
      <c r="P121" s="22" t="s">
        <v>71</v>
      </c>
      <c r="Q121" s="22" t="n">
        <v>5</v>
      </c>
      <c r="R121" s="25" t="s">
        <v>62</v>
      </c>
      <c r="S121" s="25" t="n">
        <v>35.9436363636364</v>
      </c>
      <c r="T121" s="22" t="n">
        <v>224</v>
      </c>
      <c r="U121" s="85" t="n">
        <v>1</v>
      </c>
      <c r="V121" s="79" t="n">
        <v>2.12</v>
      </c>
      <c r="W121" s="79" t="n">
        <v>0</v>
      </c>
      <c r="X121" s="85" t="n">
        <v>0</v>
      </c>
      <c r="Y121" s="27" t="n">
        <v>-1.76</v>
      </c>
      <c r="Z121" s="27" t="n">
        <v>0.01</v>
      </c>
      <c r="AA121" s="23" t="n">
        <v>0</v>
      </c>
      <c r="AB121" s="27" t="n">
        <v>0.828972936</v>
      </c>
      <c r="AC121" s="27" t="n">
        <v>0.20070083292557</v>
      </c>
      <c r="AD121" s="27" t="n">
        <v>0.20014036291414</v>
      </c>
      <c r="AE121" s="28" t="n">
        <v>0.589069653</v>
      </c>
      <c r="AF121" s="23" t="n">
        <v>0.018</v>
      </c>
      <c r="AG121" s="61" t="n">
        <f aca="false">AF121*SQRT(U121)</f>
        <v>0.018</v>
      </c>
      <c r="AH121" s="29" t="n">
        <v>27.5700262243098</v>
      </c>
      <c r="AI121" s="27" t="n">
        <v>0.103172931192688</v>
      </c>
      <c r="AJ121" s="27" t="n">
        <f aca="false">VLOOKUP(B121,proft,2,0)</f>
        <v>27.4708534228473</v>
      </c>
      <c r="AK121" s="27" t="n">
        <f aca="false">VLOOKUP(B121,proft,3,0)</f>
        <v>0.70339012146</v>
      </c>
      <c r="AL121" s="27" t="s">
        <v>72</v>
      </c>
      <c r="BB121" s="30" t="n">
        <v>28.1595</v>
      </c>
      <c r="BC121" s="30" t="n">
        <v>2.115</v>
      </c>
      <c r="BD121" s="30" t="n">
        <v>0.02115</v>
      </c>
      <c r="BE121" s="60" t="n">
        <v>28.1595</v>
      </c>
      <c r="BF121" s="31" t="n">
        <v>2.115</v>
      </c>
      <c r="BG121" s="31" t="n">
        <v>0.02115</v>
      </c>
      <c r="BH121" s="14" t="n">
        <f aca="false">10^6/((BB121+273.15)^2)</f>
        <v>11.0147425423484</v>
      </c>
      <c r="BI121" s="14" t="n">
        <f aca="false">BH121*(2*($BF121/($BE121+273.15)))</f>
        <v>0.154632897250614</v>
      </c>
      <c r="BJ121" s="14" t="n">
        <f aca="false">BH121*(2*($BG121/($BE121+273.15)))</f>
        <v>0.00154632897250614</v>
      </c>
      <c r="BL121" s="14" t="n">
        <f aca="false">10^6/((AH121+273.15)^2)</f>
        <v>11.0579672365939</v>
      </c>
      <c r="BM121" s="14" t="n">
        <f aca="false">BL121*(2*($AI121/($AH121+273.15)))</f>
        <v>0.00758767486925599</v>
      </c>
      <c r="BN121" s="14" t="n">
        <f aca="false">10^6/((AJ121+273.15)^2)</f>
        <v>11.0652643383453</v>
      </c>
      <c r="BO121" s="14" t="n">
        <f aca="false">BN121*(2*($AK121/($AJ121+273.15)))</f>
        <v>0.0517808231752172</v>
      </c>
    </row>
    <row r="122" s="14" customFormat="true" ht="16" hidden="false" customHeight="false" outlineLevel="0" collapsed="false">
      <c r="A122" s="22" t="s">
        <v>154</v>
      </c>
      <c r="B122" s="14" t="s">
        <v>487</v>
      </c>
      <c r="C122" s="14" t="s">
        <v>438</v>
      </c>
      <c r="D122" s="23" t="s">
        <v>488</v>
      </c>
      <c r="E122" s="24" t="s">
        <v>482</v>
      </c>
      <c r="F122" s="22" t="n">
        <v>23.3</v>
      </c>
      <c r="G122" s="22" t="n">
        <v>66.7</v>
      </c>
      <c r="H122" s="22" t="s">
        <v>125</v>
      </c>
      <c r="I122" s="22" t="s">
        <v>121</v>
      </c>
      <c r="J122" s="22" t="n">
        <v>151</v>
      </c>
      <c r="K122" s="27" t="s">
        <v>154</v>
      </c>
      <c r="L122" s="22" t="s">
        <v>160</v>
      </c>
      <c r="M122" s="22" t="s">
        <v>161</v>
      </c>
      <c r="N122" s="22" t="s">
        <v>162</v>
      </c>
      <c r="O122" s="22" t="s">
        <v>71</v>
      </c>
      <c r="P122" s="22" t="s">
        <v>71</v>
      </c>
      <c r="Q122" s="22" t="n">
        <v>5</v>
      </c>
      <c r="R122" s="25" t="s">
        <v>62</v>
      </c>
      <c r="S122" s="25" t="n">
        <v>36.5989090909091</v>
      </c>
      <c r="T122" s="22" t="n">
        <v>62.2654680851064</v>
      </c>
      <c r="U122" s="85" t="n">
        <v>1</v>
      </c>
      <c r="V122" s="79" t="n">
        <v>0.74</v>
      </c>
      <c r="W122" s="79" t="n">
        <v>0</v>
      </c>
      <c r="X122" s="85" t="n">
        <v>0</v>
      </c>
      <c r="Y122" s="27" t="n">
        <v>-2.06</v>
      </c>
      <c r="Z122" s="27" t="n">
        <v>0.01</v>
      </c>
      <c r="AA122" s="23" t="n">
        <v>0</v>
      </c>
      <c r="AB122" s="27" t="n">
        <v>0.654865562</v>
      </c>
      <c r="AC122" s="27" t="n">
        <v>0.200135498281065</v>
      </c>
      <c r="AD122" s="27" t="n">
        <v>0.200027106999132</v>
      </c>
      <c r="AE122" s="28" t="n">
        <v>0.571481902</v>
      </c>
      <c r="AF122" s="23" t="n">
        <v>0.008</v>
      </c>
      <c r="AG122" s="61" t="n">
        <f aca="false">AF122*SQRT(U122)</f>
        <v>0.008</v>
      </c>
      <c r="AH122" s="29" t="n">
        <v>26.6045317216353</v>
      </c>
      <c r="AI122" s="27" t="n">
        <v>0.515820764341336</v>
      </c>
      <c r="AJ122" s="27" t="n">
        <f aca="false">VLOOKUP(B122,proft,2,0)</f>
        <v>28.0740432739258</v>
      </c>
      <c r="AK122" s="27" t="n">
        <f aca="false">VLOOKUP(B122,proft,3,0)</f>
        <v>0.245167806744576</v>
      </c>
      <c r="AL122" s="27" t="s">
        <v>163</v>
      </c>
      <c r="BB122" s="30" t="n">
        <v>27.302</v>
      </c>
      <c r="BC122" s="30" t="n">
        <v>1.906</v>
      </c>
      <c r="BD122" s="30" t="n">
        <v>0.01906</v>
      </c>
      <c r="BE122" s="60" t="n">
        <v>27.302</v>
      </c>
      <c r="BF122" s="31" t="n">
        <v>1.906</v>
      </c>
      <c r="BG122" s="31" t="n">
        <v>0.01906</v>
      </c>
      <c r="BH122" s="14" t="n">
        <f aca="false">10^6/((BB122+273.15)^2)</f>
        <v>11.0777051460546</v>
      </c>
      <c r="BI122" s="14" t="n">
        <f aca="false">BH122*(2*($BF122/($BE122+273.15)))</f>
        <v>0.140548946310094</v>
      </c>
      <c r="BJ122" s="14" t="n">
        <f aca="false">BH122*(2*($BG122/($BE122+273.15)))</f>
        <v>0.00140548946310094</v>
      </c>
      <c r="BL122" s="14" t="n">
        <f aca="false">10^6/((AH122+273.15)^2)</f>
        <v>11.1293162874637</v>
      </c>
      <c r="BM122" s="14" t="n">
        <f aca="false">BL122*(2*($AI122/($AH122+273.15)))</f>
        <v>0.0383028900415564</v>
      </c>
      <c r="BN122" s="14" t="n">
        <f aca="false">10^6/((AJ122+273.15)^2)</f>
        <v>11.0209931546586</v>
      </c>
      <c r="BO122" s="14" t="n">
        <f aca="false">BN122*(2*($AK122/($AJ122+273.15)))</f>
        <v>0.017940086657807</v>
      </c>
    </row>
    <row r="123" s="14" customFormat="true" ht="16" hidden="false" customHeight="false" outlineLevel="0" collapsed="false">
      <c r="A123" s="22" t="s">
        <v>154</v>
      </c>
      <c r="B123" s="14" t="s">
        <v>493</v>
      </c>
      <c r="C123" s="14" t="s">
        <v>438</v>
      </c>
      <c r="D123" s="23" t="s">
        <v>494</v>
      </c>
      <c r="E123" s="24" t="s">
        <v>495</v>
      </c>
      <c r="F123" s="22" t="n">
        <v>23.2</v>
      </c>
      <c r="G123" s="22" t="n">
        <v>66.6</v>
      </c>
      <c r="H123" s="22" t="s">
        <v>125</v>
      </c>
      <c r="I123" s="22" t="s">
        <v>121</v>
      </c>
      <c r="J123" s="22" t="n">
        <v>299</v>
      </c>
      <c r="K123" s="27" t="s">
        <v>154</v>
      </c>
      <c r="L123" s="22" t="s">
        <v>160</v>
      </c>
      <c r="M123" s="22" t="s">
        <v>161</v>
      </c>
      <c r="N123" s="22" t="s">
        <v>162</v>
      </c>
      <c r="O123" s="22" t="s">
        <v>71</v>
      </c>
      <c r="P123" s="22" t="s">
        <v>71</v>
      </c>
      <c r="Q123" s="22" t="n">
        <v>5</v>
      </c>
      <c r="R123" s="25" t="s">
        <v>62</v>
      </c>
      <c r="S123" s="25" t="n">
        <v>36.5989090909091</v>
      </c>
      <c r="T123" s="22" t="n">
        <v>37.6778536585366</v>
      </c>
      <c r="U123" s="85" t="n">
        <v>2</v>
      </c>
      <c r="V123" s="79" t="n">
        <v>0.29</v>
      </c>
      <c r="W123" s="79" t="n">
        <v>0.169705627484771</v>
      </c>
      <c r="X123" s="79" t="n">
        <v>0.12</v>
      </c>
      <c r="Y123" s="27" t="n">
        <v>-2.145</v>
      </c>
      <c r="Z123" s="27" t="n">
        <v>0.0919238815542511</v>
      </c>
      <c r="AA123" s="27" t="n">
        <v>0.065</v>
      </c>
      <c r="AB123" s="27" t="n">
        <v>0.654865562</v>
      </c>
      <c r="AC123" s="27" t="n">
        <v>0.200135498281065</v>
      </c>
      <c r="AD123" s="27" t="n">
        <v>0.200027106999132</v>
      </c>
      <c r="AE123" s="28" t="n">
        <v>0.5734557955</v>
      </c>
      <c r="AF123" s="28" t="n">
        <v>0.0207122605</v>
      </c>
      <c r="AG123" s="61" t="n">
        <f aca="false">AF123*SQRT(U123)</f>
        <v>0.0292915597065045</v>
      </c>
      <c r="AH123" s="29" t="n">
        <v>26.1679019927978</v>
      </c>
      <c r="AI123" s="27" t="n">
        <v>0.903531893099738</v>
      </c>
      <c r="AJ123" s="27" t="n">
        <f aca="false">VLOOKUP(B123,proft,2,0)</f>
        <v>28.0740432739258</v>
      </c>
      <c r="AK123" s="27" t="n">
        <f aca="false">VLOOKUP(B123,proft,3,0)</f>
        <v>0.245167806744576</v>
      </c>
      <c r="AL123" s="27" t="s">
        <v>163</v>
      </c>
      <c r="AU123" s="46"/>
      <c r="BB123" s="30" t="n">
        <v>27.666</v>
      </c>
      <c r="BC123" s="30" t="n">
        <v>1.9</v>
      </c>
      <c r="BD123" s="30" t="n">
        <v>0.019</v>
      </c>
      <c r="BE123" s="60" t="n">
        <v>27.666</v>
      </c>
      <c r="BF123" s="31" t="n">
        <v>1.9</v>
      </c>
      <c r="BG123" s="31" t="n">
        <v>0.019</v>
      </c>
      <c r="BH123" s="14" t="n">
        <f aca="false">10^6/((BB123+273.15)^2)</f>
        <v>11.0509123886467</v>
      </c>
      <c r="BI123" s="14" t="n">
        <f aca="false">BH123*(2*($BF123/($BE123+273.15)))</f>
        <v>0.139598515627019</v>
      </c>
      <c r="BJ123" s="14" t="n">
        <f aca="false">BH123*(2*($BG123/($BE123+273.15)))</f>
        <v>0.00139598515627019</v>
      </c>
      <c r="BL123" s="14" t="n">
        <f aca="false">10^6/((AH123+273.15)^2)</f>
        <v>11.1618097309637</v>
      </c>
      <c r="BM123" s="14" t="n">
        <f aca="false">BL123*(2*($AI123/($AH123+273.15)))</f>
        <v>0.0673868887192677</v>
      </c>
      <c r="BN123" s="14" t="n">
        <f aca="false">10^6/((AJ123+273.15)^2)</f>
        <v>11.0209931546586</v>
      </c>
      <c r="BO123" s="14" t="n">
        <f aca="false">BN123*(2*($AK123/($AJ123+273.15)))</f>
        <v>0.017940086657807</v>
      </c>
    </row>
    <row r="124" s="14" customFormat="true" ht="16" hidden="false" customHeight="false" outlineLevel="0" collapsed="false">
      <c r="A124" s="22" t="s">
        <v>154</v>
      </c>
      <c r="B124" s="14" t="s">
        <v>499</v>
      </c>
      <c r="C124" s="14" t="s">
        <v>438</v>
      </c>
      <c r="D124" s="23" t="s">
        <v>500</v>
      </c>
      <c r="E124" s="79" t="s">
        <v>501</v>
      </c>
      <c r="F124" s="22" t="n">
        <v>23.1</v>
      </c>
      <c r="G124" s="22" t="n">
        <v>66.5</v>
      </c>
      <c r="H124" s="22" t="s">
        <v>125</v>
      </c>
      <c r="I124" s="22" t="s">
        <v>121</v>
      </c>
      <c r="J124" s="22" t="n">
        <v>492</v>
      </c>
      <c r="K124" s="27" t="s">
        <v>154</v>
      </c>
      <c r="L124" s="22" t="s">
        <v>160</v>
      </c>
      <c r="M124" s="22" t="s">
        <v>161</v>
      </c>
      <c r="N124" s="22" t="s">
        <v>162</v>
      </c>
      <c r="O124" s="22" t="s">
        <v>71</v>
      </c>
      <c r="P124" s="22" t="s">
        <v>71</v>
      </c>
      <c r="Q124" s="22" t="n">
        <v>5</v>
      </c>
      <c r="R124" s="25" t="s">
        <v>62</v>
      </c>
      <c r="S124" s="25" t="n">
        <v>36.5989090909091</v>
      </c>
      <c r="T124" s="22" t="n">
        <v>27.9876447368421</v>
      </c>
      <c r="U124" s="85" t="n">
        <v>2</v>
      </c>
      <c r="V124" s="79" t="n">
        <v>0.38</v>
      </c>
      <c r="W124" s="79" t="n">
        <v>0.212132034355964</v>
      </c>
      <c r="X124" s="79" t="n">
        <v>0.15</v>
      </c>
      <c r="Y124" s="27" t="n">
        <v>-2.125</v>
      </c>
      <c r="Z124" s="27" t="n">
        <v>0.134350288425444</v>
      </c>
      <c r="AA124" s="27" t="n">
        <v>0.0950000000000002</v>
      </c>
      <c r="AB124" s="27" t="n">
        <v>0.654865562</v>
      </c>
      <c r="AC124" s="27" t="n">
        <v>0.200135498281065</v>
      </c>
      <c r="AD124" s="27" t="n">
        <v>0.200027106999132</v>
      </c>
      <c r="AE124" s="28" t="n">
        <v>0.567791135</v>
      </c>
      <c r="AF124" s="28" t="n">
        <v>0.00564484100000001</v>
      </c>
      <c r="AG124" s="61" t="n">
        <f aca="false">AF124*SQRT(U124)</f>
        <v>0.00798301069963972</v>
      </c>
      <c r="AH124" s="29" t="n">
        <v>26.1679019927978</v>
      </c>
      <c r="AI124" s="27" t="n">
        <v>0.0979857999350755</v>
      </c>
      <c r="AJ124" s="27" t="n">
        <f aca="false">VLOOKUP(B124,proft,2,0)</f>
        <v>28.0740432739258</v>
      </c>
      <c r="AK124" s="27" t="n">
        <f aca="false">VLOOKUP(B124,proft,3,0)</f>
        <v>0.245167806744576</v>
      </c>
      <c r="AL124" s="27" t="s">
        <v>163</v>
      </c>
      <c r="BB124" s="30" t="n">
        <v>27.57</v>
      </c>
      <c r="BC124" s="30" t="n">
        <v>1.881</v>
      </c>
      <c r="BD124" s="30" t="n">
        <v>0.01881</v>
      </c>
      <c r="BE124" s="60" t="n">
        <v>27.57</v>
      </c>
      <c r="BF124" s="31" t="n">
        <v>1.881</v>
      </c>
      <c r="BG124" s="31" t="n">
        <v>0.01881</v>
      </c>
      <c r="BH124" s="14" t="n">
        <f aca="false">10^6/((BB124+273.15)^2)</f>
        <v>11.0579691652157</v>
      </c>
      <c r="BI124" s="14" t="n">
        <f aca="false">BH124*(2*($BF124/($BE124+273.15)))</f>
        <v>0.138334929501002</v>
      </c>
      <c r="BJ124" s="14" t="n">
        <f aca="false">BH124*(2*($BG124/($BE124+273.15)))</f>
        <v>0.00138334929501002</v>
      </c>
      <c r="BL124" s="14" t="n">
        <f aca="false">10^6/((AH124+273.15)^2)</f>
        <v>11.1618097309637</v>
      </c>
      <c r="BM124" s="14" t="n">
        <f aca="false">BL124*(2*($AI124/($AH124+273.15)))</f>
        <v>0.00730794147580187</v>
      </c>
      <c r="BN124" s="14" t="n">
        <f aca="false">10^6/((AJ124+273.15)^2)</f>
        <v>11.0209931546586</v>
      </c>
      <c r="BO124" s="14" t="n">
        <f aca="false">BN124*(2*($AK124/($AJ124+273.15)))</f>
        <v>0.017940086657807</v>
      </c>
    </row>
    <row r="125" s="14" customFormat="true" ht="16" hidden="false" customHeight="false" outlineLevel="0" collapsed="false">
      <c r="A125" s="22" t="s">
        <v>139</v>
      </c>
      <c r="B125" s="14" t="s">
        <v>502</v>
      </c>
      <c r="C125" s="14" t="s">
        <v>438</v>
      </c>
      <c r="D125" s="23" t="s">
        <v>503</v>
      </c>
      <c r="E125" s="79" t="s">
        <v>501</v>
      </c>
      <c r="F125" s="22" t="n">
        <v>23.1</v>
      </c>
      <c r="G125" s="22" t="n">
        <v>66.5</v>
      </c>
      <c r="H125" s="22" t="s">
        <v>125</v>
      </c>
      <c r="I125" s="22" t="s">
        <v>121</v>
      </c>
      <c r="J125" s="22" t="n">
        <v>492</v>
      </c>
      <c r="K125" s="27" t="s">
        <v>139</v>
      </c>
      <c r="L125" s="22" t="s">
        <v>144</v>
      </c>
      <c r="M125" s="22" t="s">
        <v>145</v>
      </c>
      <c r="N125" s="22" t="s">
        <v>146</v>
      </c>
      <c r="O125" s="22" t="s">
        <v>71</v>
      </c>
      <c r="P125" s="22" t="s">
        <v>71</v>
      </c>
      <c r="Q125" s="22" t="n">
        <v>5</v>
      </c>
      <c r="R125" s="25" t="s">
        <v>62</v>
      </c>
      <c r="S125" s="25" t="n">
        <v>36.3535</v>
      </c>
      <c r="T125" s="22" t="n">
        <v>27.9876447368421</v>
      </c>
      <c r="U125" s="85" t="n">
        <v>1</v>
      </c>
      <c r="V125" s="79" t="n">
        <v>-0.15</v>
      </c>
      <c r="W125" s="79" t="n">
        <v>0</v>
      </c>
      <c r="X125" s="85" t="n">
        <v>0</v>
      </c>
      <c r="Y125" s="27" t="n">
        <v>-1.34</v>
      </c>
      <c r="Z125" s="27" t="n">
        <v>0.01</v>
      </c>
      <c r="AA125" s="23" t="n">
        <v>0</v>
      </c>
      <c r="AB125" s="27" t="n">
        <v>0.676911625</v>
      </c>
      <c r="AC125" s="27" t="n">
        <v>0.201385947110173</v>
      </c>
      <c r="AD125" s="27" t="n">
        <v>0.200694169937073</v>
      </c>
      <c r="AE125" s="28" t="n">
        <v>0.595979502</v>
      </c>
      <c r="AF125" s="23" t="n">
        <v>0.012</v>
      </c>
      <c r="AG125" s="61" t="n">
        <f aca="false">AF125*SQRT(U125)</f>
        <v>0.012</v>
      </c>
      <c r="AH125" s="29" t="n">
        <v>21.6820392608643</v>
      </c>
      <c r="AI125" s="27" t="n">
        <v>0.837083615896682</v>
      </c>
      <c r="AJ125" s="27" t="n">
        <f aca="false">VLOOKUP(B125,proft,2,0)</f>
        <v>24.4851894378662</v>
      </c>
      <c r="AK125" s="27" t="n">
        <f aca="false">VLOOKUP(B125,proft,3,0)</f>
        <v>0.159995153546333</v>
      </c>
      <c r="AL125" s="27" t="s">
        <v>63</v>
      </c>
      <c r="BB125" s="30" t="n">
        <v>24.0596</v>
      </c>
      <c r="BC125" s="30" t="n">
        <v>2.224</v>
      </c>
      <c r="BD125" s="30" t="n">
        <v>0.02224</v>
      </c>
      <c r="BE125" s="60" t="n">
        <v>24.0596</v>
      </c>
      <c r="BF125" s="31" t="n">
        <v>2.224</v>
      </c>
      <c r="BG125" s="31" t="n">
        <v>0.02224</v>
      </c>
      <c r="BH125" s="14" t="n">
        <f aca="false">10^6/((BB125+273.15)^2)</f>
        <v>11.3207274192265</v>
      </c>
      <c r="BI125" s="14" t="n">
        <f aca="false">BH125*(2*($BF125/($BE125+273.15)))</f>
        <v>0.169424525858921</v>
      </c>
      <c r="BJ125" s="14" t="n">
        <f aca="false">BH125*(2*($BG125/($BE125+273.15)))</f>
        <v>0.00169424525858921</v>
      </c>
      <c r="BL125" s="14" t="n">
        <f aca="false">10^6/((AH125+273.15)^2)</f>
        <v>11.5040469993839</v>
      </c>
      <c r="BM125" s="14" t="n">
        <f aca="false">BL125*(2*($AI125/($AH125+273.15)))</f>
        <v>0.0653243065701506</v>
      </c>
      <c r="BN125" s="14" t="n">
        <f aca="false">10^6/((AJ125+273.15)^2)</f>
        <v>11.2883754825869</v>
      </c>
      <c r="BO125" s="14" t="n">
        <f aca="false">BN125*(2*($AK125/($AJ125+273.15)))</f>
        <v>0.0121362354500907</v>
      </c>
    </row>
    <row r="126" s="14" customFormat="true" ht="16" hidden="false" customHeight="false" outlineLevel="0" collapsed="false">
      <c r="A126" s="22" t="s">
        <v>67</v>
      </c>
      <c r="B126" s="84" t="s">
        <v>441</v>
      </c>
      <c r="C126" s="14" t="s">
        <v>438</v>
      </c>
      <c r="D126" s="23" t="s">
        <v>442</v>
      </c>
      <c r="E126" s="24" t="s">
        <v>443</v>
      </c>
      <c r="F126" s="22" t="n">
        <v>0</v>
      </c>
      <c r="G126" s="22" t="n">
        <v>158.9</v>
      </c>
      <c r="H126" s="22" t="s">
        <v>56</v>
      </c>
      <c r="I126" s="22" t="s">
        <v>57</v>
      </c>
      <c r="J126" s="22" t="n">
        <v>2301</v>
      </c>
      <c r="K126" s="25" t="s">
        <v>67</v>
      </c>
      <c r="L126" s="22" t="s">
        <v>68</v>
      </c>
      <c r="M126" s="22" t="s">
        <v>69</v>
      </c>
      <c r="N126" s="22" t="s">
        <v>70</v>
      </c>
      <c r="O126" s="22" t="s">
        <v>71</v>
      </c>
      <c r="P126" s="22" t="s">
        <v>71</v>
      </c>
      <c r="Q126" s="22" t="n">
        <v>5</v>
      </c>
      <c r="R126" s="25" t="s">
        <v>62</v>
      </c>
      <c r="S126" s="25" t="n">
        <v>35.0936363636364</v>
      </c>
      <c r="T126" s="22" t="n">
        <v>3.3782</v>
      </c>
      <c r="U126" s="26" t="n">
        <v>1</v>
      </c>
      <c r="V126" s="27" t="n">
        <v>1.74</v>
      </c>
      <c r="W126" s="27" t="n">
        <v>0</v>
      </c>
      <c r="X126" s="23" t="n">
        <v>0</v>
      </c>
      <c r="Y126" s="27" t="n">
        <v>-1.97</v>
      </c>
      <c r="Z126" s="27" t="n">
        <v>0</v>
      </c>
      <c r="AA126" s="23" t="n">
        <v>0</v>
      </c>
      <c r="AB126" s="27" t="n">
        <v>0.26352636</v>
      </c>
      <c r="AC126" s="27" t="n">
        <v>0.215443282976278</v>
      </c>
      <c r="AD126" s="27" t="n">
        <v>0.205276892821701</v>
      </c>
      <c r="AE126" s="28" t="n">
        <v>0.566573006</v>
      </c>
      <c r="AF126" s="23" t="n">
        <v>0.01</v>
      </c>
      <c r="AG126" s="61" t="n">
        <f aca="false">AF126*SQRT(U126)</f>
        <v>0.01</v>
      </c>
      <c r="AH126" s="29" t="n">
        <v>28.5254958759654</v>
      </c>
      <c r="AI126" s="27" t="n">
        <v>0.562432777016302</v>
      </c>
      <c r="AJ126" s="27" t="n">
        <f aca="false">VLOOKUP(B126,proft,2,0)</f>
        <v>25.6353273477643</v>
      </c>
      <c r="AK126" s="27" t="n">
        <f aca="false">VLOOKUP(B126,proft,3,0)</f>
        <v>4.689323425293</v>
      </c>
      <c r="AL126" s="27" t="s">
        <v>72</v>
      </c>
      <c r="BB126" s="30" t="n">
        <v>26.3484</v>
      </c>
      <c r="BC126" s="30" t="n">
        <v>2.107</v>
      </c>
      <c r="BD126" s="30" t="n">
        <v>0.0217</v>
      </c>
      <c r="BE126" s="31" t="n">
        <v>26.3484</v>
      </c>
      <c r="BF126" s="31" t="n">
        <v>2.107</v>
      </c>
      <c r="BG126" s="31" t="n">
        <v>0.0217</v>
      </c>
      <c r="BH126" s="14" t="n">
        <f aca="false">10^6/((BB126+273.15)^2)</f>
        <v>11.148360060978</v>
      </c>
      <c r="BI126" s="14" t="n">
        <f aca="false">BH126*(2*($BF126/($BE126+273.15)))</f>
        <v>0.156859566852315</v>
      </c>
      <c r="BJ126" s="14" t="n">
        <f aca="false">BH126*(2*($BG126/($BE126+273.15)))</f>
        <v>0.00161549720014012</v>
      </c>
      <c r="BL126" s="14" t="n">
        <f aca="false">10^6/((AH126+273.15)^2)</f>
        <v>10.9880323523454</v>
      </c>
      <c r="BM126" s="14" t="n">
        <f aca="false">BL126*(2*($AI126/($AH126+273.15)))</f>
        <v>0.0409713724472703</v>
      </c>
      <c r="BN126" s="14" t="n">
        <f aca="false">10^6/((AJ126+273.15)^2)</f>
        <v>11.2016362836231</v>
      </c>
      <c r="BO126" s="14" t="n">
        <f aca="false">BN126*(2*($AK126/($AJ126+273.15)))</f>
        <v>0.351610943500361</v>
      </c>
    </row>
    <row r="127" s="14" customFormat="true" ht="16" hidden="false" customHeight="false" outlineLevel="0" collapsed="false">
      <c r="A127" s="22" t="s">
        <v>154</v>
      </c>
      <c r="B127" s="84" t="s">
        <v>456</v>
      </c>
      <c r="C127" s="14" t="s">
        <v>438</v>
      </c>
      <c r="D127" s="23" t="s">
        <v>457</v>
      </c>
      <c r="E127" s="24" t="s">
        <v>458</v>
      </c>
      <c r="F127" s="22" t="n">
        <v>0.2</v>
      </c>
      <c r="G127" s="22" t="n">
        <v>159.2</v>
      </c>
      <c r="H127" s="22" t="s">
        <v>56</v>
      </c>
      <c r="I127" s="22" t="s">
        <v>57</v>
      </c>
      <c r="J127" s="22" t="n">
        <v>2520</v>
      </c>
      <c r="K127" s="25" t="s">
        <v>154</v>
      </c>
      <c r="L127" s="22" t="s">
        <v>160</v>
      </c>
      <c r="M127" s="22" t="s">
        <v>161</v>
      </c>
      <c r="N127" s="22" t="s">
        <v>162</v>
      </c>
      <c r="O127" s="22" t="s">
        <v>71</v>
      </c>
      <c r="P127" s="22" t="s">
        <v>71</v>
      </c>
      <c r="Q127" s="22" t="n">
        <v>5</v>
      </c>
      <c r="R127" s="25" t="s">
        <v>62</v>
      </c>
      <c r="S127" s="25" t="n">
        <v>34.6269090909091</v>
      </c>
      <c r="T127" s="22" t="n">
        <v>2.29508724832215</v>
      </c>
      <c r="U127" s="26" t="n">
        <v>2</v>
      </c>
      <c r="V127" s="27" t="n">
        <v>1.21</v>
      </c>
      <c r="W127" s="27" t="n">
        <v>0.0282842712474619</v>
      </c>
      <c r="X127" s="27" t="n">
        <v>0.02</v>
      </c>
      <c r="Y127" s="27" t="n">
        <v>0.185</v>
      </c>
      <c r="Z127" s="27" t="n">
        <v>0.00707106781186548</v>
      </c>
      <c r="AA127" s="27" t="n">
        <v>0.005</v>
      </c>
      <c r="AB127" s="27" t="n">
        <v>0.298531628</v>
      </c>
      <c r="AC127" s="27" t="n">
        <v>0.200827542432095</v>
      </c>
      <c r="AD127" s="27" t="n">
        <v>0.200165782190321</v>
      </c>
      <c r="AE127" s="28" t="n">
        <v>0.6623472445</v>
      </c>
      <c r="AF127" s="28" t="n">
        <v>0.00706496550000002</v>
      </c>
      <c r="AG127" s="61" t="n">
        <f aca="false">AF127*SQRT(U127)</f>
        <v>0.00999137002779804</v>
      </c>
      <c r="AH127" s="29" t="n">
        <v>29.1717536232688</v>
      </c>
      <c r="AI127" s="27" t="n">
        <v>0.0745472101679626</v>
      </c>
      <c r="AJ127" s="27" t="n">
        <f aca="false">VLOOKUP(B127,proft,2,0)</f>
        <v>16.3842537452789</v>
      </c>
      <c r="AK127" s="27" t="n">
        <f aca="false">VLOOKUP(B127,proft,3,0)</f>
        <v>1.6081829071045</v>
      </c>
      <c r="AL127" s="27" t="s">
        <v>163</v>
      </c>
      <c r="BB127" s="30" t="n">
        <v>17.362</v>
      </c>
      <c r="BC127" s="30" t="n">
        <v>1.912</v>
      </c>
      <c r="BD127" s="30" t="n">
        <v>0.01978</v>
      </c>
      <c r="BE127" s="31" t="n">
        <v>17.362</v>
      </c>
      <c r="BF127" s="31" t="n">
        <v>1.912</v>
      </c>
      <c r="BG127" s="31" t="n">
        <v>0.01978</v>
      </c>
      <c r="BH127" s="14" t="n">
        <f aca="false">10^6/((BB127+273.15)^2)</f>
        <v>11.8487312093493</v>
      </c>
      <c r="BI127" s="14" t="n">
        <f aca="false">BH127*(2*($BF127/($BE127+273.15)))</f>
        <v>0.155964463239218</v>
      </c>
      <c r="BJ127" s="14" t="n">
        <f aca="false">BH127*(2*($BG127/($BE127+273.15)))</f>
        <v>0.00161348173790363</v>
      </c>
      <c r="BL127" s="14" t="n">
        <f aca="false">10^6/((AH127+273.15)^2)</f>
        <v>10.9411054533042</v>
      </c>
      <c r="BM127" s="14" t="n">
        <f aca="false">BL127*(2*($AI127/($AH127+273.15)))</f>
        <v>0.0053957671118413</v>
      </c>
      <c r="BN127" s="14" t="n">
        <f aca="false">10^6/((AJ127+273.15)^2)</f>
        <v>11.9288917675963</v>
      </c>
      <c r="BO127" s="14" t="n">
        <f aca="false">BN127*(2*($AK127/($AJ127+273.15)))</f>
        <v>0.132515165948034</v>
      </c>
    </row>
    <row r="128" s="14" customFormat="true" ht="16" hidden="false" customHeight="false" outlineLevel="0" collapsed="false">
      <c r="A128" s="22" t="s">
        <v>67</v>
      </c>
      <c r="B128" s="84" t="s">
        <v>459</v>
      </c>
      <c r="C128" s="14" t="s">
        <v>438</v>
      </c>
      <c r="D128" s="23" t="s">
        <v>460</v>
      </c>
      <c r="E128" s="24" t="s">
        <v>458</v>
      </c>
      <c r="F128" s="22" t="n">
        <v>0.2</v>
      </c>
      <c r="G128" s="22" t="n">
        <v>159.2</v>
      </c>
      <c r="H128" s="22" t="s">
        <v>56</v>
      </c>
      <c r="I128" s="22" t="s">
        <v>57</v>
      </c>
      <c r="J128" s="22" t="n">
        <v>2520</v>
      </c>
      <c r="K128" s="25" t="s">
        <v>67</v>
      </c>
      <c r="L128" s="22" t="s">
        <v>68</v>
      </c>
      <c r="M128" s="22" t="s">
        <v>69</v>
      </c>
      <c r="N128" s="22" t="s">
        <v>70</v>
      </c>
      <c r="O128" s="22" t="s">
        <v>71</v>
      </c>
      <c r="P128" s="22" t="s">
        <v>71</v>
      </c>
      <c r="Q128" s="22" t="n">
        <v>5</v>
      </c>
      <c r="R128" s="25" t="s">
        <v>62</v>
      </c>
      <c r="S128" s="25" t="n">
        <v>35.04</v>
      </c>
      <c r="T128" s="22" t="n">
        <v>2.29508724832215</v>
      </c>
      <c r="U128" s="26" t="n">
        <v>2</v>
      </c>
      <c r="V128" s="27" t="n">
        <v>1.93</v>
      </c>
      <c r="W128" s="27" t="n">
        <v>0</v>
      </c>
      <c r="X128" s="27" t="n">
        <v>0</v>
      </c>
      <c r="Y128" s="27" t="n">
        <v>0.305</v>
      </c>
      <c r="Z128" s="27" t="n">
        <v>0.106066017177982</v>
      </c>
      <c r="AA128" s="27" t="n">
        <v>0.075</v>
      </c>
      <c r="AB128" s="27" t="n">
        <v>0.25110605</v>
      </c>
      <c r="AC128" s="27" t="n">
        <v>0.217360999299297</v>
      </c>
      <c r="AD128" s="27" t="n">
        <v>0.205949673477437</v>
      </c>
      <c r="AE128" s="28" t="n">
        <v>0.677734943</v>
      </c>
      <c r="AF128" s="28" t="n">
        <v>0.001869909</v>
      </c>
      <c r="AG128" s="61" t="n">
        <f aca="false">AF128*SQRT(U128)</f>
        <v>0.00264445066820352</v>
      </c>
      <c r="AH128" s="29" t="n">
        <v>28.4809353568337</v>
      </c>
      <c r="AI128" s="27" t="n">
        <v>0.523423315129924</v>
      </c>
      <c r="AJ128" s="27" t="n">
        <f aca="false">VLOOKUP(B128,proft,2,0)</f>
        <v>14.8422749775435</v>
      </c>
      <c r="AK128" s="27" t="n">
        <f aca="false">VLOOKUP(B128,proft,3,0)</f>
        <v>2.0996971130371</v>
      </c>
      <c r="AL128" s="27" t="s">
        <v>72</v>
      </c>
      <c r="BB128" s="30" t="n">
        <v>15.1041</v>
      </c>
      <c r="BC128" s="30" t="n">
        <v>2.155</v>
      </c>
      <c r="BD128" s="30" t="n">
        <v>0.02195</v>
      </c>
      <c r="BE128" s="31" t="n">
        <v>15.1041</v>
      </c>
      <c r="BF128" s="31" t="n">
        <v>2.155</v>
      </c>
      <c r="BG128" s="31" t="n">
        <v>0.02195</v>
      </c>
      <c r="BH128" s="14" t="n">
        <f aca="false">10^6/((BB128+273.15)^2)</f>
        <v>12.0350808887708</v>
      </c>
      <c r="BI128" s="14" t="n">
        <f aca="false">BH128*(2*($BF128/($BE128+273.15)))</f>
        <v>0.17994956058076</v>
      </c>
      <c r="BJ128" s="14" t="n">
        <f aca="false">BH128*(2*($BG128/($BE128+273.15)))</f>
        <v>0.00183289691635623</v>
      </c>
      <c r="BL128" s="14" t="n">
        <f aca="false">10^6/((AH128+273.15)^2)</f>
        <v>10.9912791585289</v>
      </c>
      <c r="BM128" s="14" t="n">
        <f aca="false">BL128*(2*($AI128/($AH128+273.15)))</f>
        <v>0.0381465632354297</v>
      </c>
      <c r="BN128" s="14" t="n">
        <f aca="false">10^6/((AJ128+273.15)^2)</f>
        <v>12.056973960115</v>
      </c>
      <c r="BO128" s="14" t="n">
        <f aca="false">BN128*(2*($AK128/($AJ128+273.15)))</f>
        <v>0.17581022559019</v>
      </c>
    </row>
    <row r="129" s="14" customFormat="true" ht="16" hidden="false" customHeight="false" outlineLevel="0" collapsed="false">
      <c r="A129" s="22" t="s">
        <v>154</v>
      </c>
      <c r="B129" s="84" t="s">
        <v>519</v>
      </c>
      <c r="C129" s="14" t="s">
        <v>438</v>
      </c>
      <c r="D129" s="23" t="s">
        <v>520</v>
      </c>
      <c r="E129" s="24" t="s">
        <v>521</v>
      </c>
      <c r="F129" s="22" t="n">
        <v>-1.3</v>
      </c>
      <c r="G129" s="22" t="n">
        <v>146.2</v>
      </c>
      <c r="H129" s="22" t="s">
        <v>56</v>
      </c>
      <c r="I129" s="22" t="s">
        <v>57</v>
      </c>
      <c r="J129" s="22" t="n">
        <v>1900</v>
      </c>
      <c r="K129" s="25" t="s">
        <v>154</v>
      </c>
      <c r="L129" s="22" t="s">
        <v>160</v>
      </c>
      <c r="M129" s="22" t="s">
        <v>161</v>
      </c>
      <c r="N129" s="22" t="s">
        <v>162</v>
      </c>
      <c r="O129" s="22" t="s">
        <v>71</v>
      </c>
      <c r="P129" s="22" t="s">
        <v>71</v>
      </c>
      <c r="Q129" s="22" t="n">
        <v>5</v>
      </c>
      <c r="R129" s="25" t="s">
        <v>62</v>
      </c>
      <c r="S129" s="25" t="n">
        <v>34.5849090909091</v>
      </c>
      <c r="T129" s="22" t="n">
        <v>16.22516</v>
      </c>
      <c r="U129" s="26" t="n">
        <v>4</v>
      </c>
      <c r="V129" s="27" t="n">
        <v>1.665</v>
      </c>
      <c r="W129" s="27" t="n">
        <v>0.0264575131106459</v>
      </c>
      <c r="X129" s="27" t="n">
        <v>0.013228756555323</v>
      </c>
      <c r="Y129" s="27" t="n">
        <v>-2.4275</v>
      </c>
      <c r="Z129" s="27" t="n">
        <v>0.0457347424467076</v>
      </c>
      <c r="AA129" s="27" t="n">
        <v>0.0228673712233538</v>
      </c>
      <c r="AB129" s="27" t="n">
        <v>0.280127248</v>
      </c>
      <c r="AC129" s="27" t="n">
        <v>0.201889231157181</v>
      </c>
      <c r="AD129" s="27" t="n">
        <v>0.200379271211988</v>
      </c>
      <c r="AE129" s="28" t="n">
        <v>0.60389132025</v>
      </c>
      <c r="AF129" s="28" t="n">
        <v>0.00404793946840154</v>
      </c>
      <c r="AG129" s="61" t="n">
        <f aca="false">AF129*SQRT(U129)</f>
        <v>0.00809587893680309</v>
      </c>
      <c r="AH129" s="29" t="n">
        <v>29.280460357666</v>
      </c>
      <c r="AI129" s="27" t="n">
        <v>0.0729726067977647</v>
      </c>
      <c r="AJ129" s="27" t="n">
        <f aca="false">VLOOKUP(B129,proft,2,0)</f>
        <v>27.772365103366</v>
      </c>
      <c r="AK129" s="27" t="n">
        <f aca="false">VLOOKUP(B129,proft,3,0)</f>
        <v>2.1738147735595</v>
      </c>
      <c r="AL129" s="27" t="s">
        <v>163</v>
      </c>
      <c r="BB129" s="30" t="n">
        <v>27.275</v>
      </c>
      <c r="BC129" s="30" t="n">
        <v>1.889</v>
      </c>
      <c r="BD129" s="30" t="n">
        <v>0.01889</v>
      </c>
      <c r="BE129" s="60" t="n">
        <v>27.275</v>
      </c>
      <c r="BF129" s="31" t="n">
        <v>1.889</v>
      </c>
      <c r="BG129" s="31" t="n">
        <v>0.01889</v>
      </c>
      <c r="BH129" s="14" t="n">
        <f aca="false">10^6/((BB129+273.15)^2)</f>
        <v>11.079696401638</v>
      </c>
      <c r="BI129" s="14" t="n">
        <f aca="false">BH129*(2*($BF129/($BE129+273.15)))</f>
        <v>0.139332921712202</v>
      </c>
      <c r="BJ129" s="14" t="n">
        <f aca="false">BH129*(2*($BG129/($BE129+273.15)))</f>
        <v>0.00139332921712202</v>
      </c>
      <c r="BL129" s="14" t="n">
        <f aca="false">10^6/((AH129+273.15)^2)</f>
        <v>10.9332414432638</v>
      </c>
      <c r="BM129" s="14" t="n">
        <f aca="false">BL129*(2*($AI129/($AH129+273.15)))</f>
        <v>0.00527610299518621</v>
      </c>
      <c r="BN129" s="14" t="n">
        <f aca="false">10^6/((AJ129+273.15)^2)</f>
        <v>11.0431015786925</v>
      </c>
      <c r="BO129" s="14" t="n">
        <f aca="false">BN129*(2*($AK129/($AJ129+273.15)))</f>
        <v>0.159547179880991</v>
      </c>
    </row>
    <row r="130" s="14" customFormat="true" ht="16" hidden="false" customHeight="false" outlineLevel="0" collapsed="false">
      <c r="A130" s="22" t="s">
        <v>154</v>
      </c>
      <c r="B130" s="84" t="s">
        <v>551</v>
      </c>
      <c r="C130" s="14" t="s">
        <v>438</v>
      </c>
      <c r="D130" s="23" t="s">
        <v>552</v>
      </c>
      <c r="E130" s="24" t="s">
        <v>553</v>
      </c>
      <c r="F130" s="22" t="n">
        <v>0.3</v>
      </c>
      <c r="G130" s="22" t="n">
        <v>158.8</v>
      </c>
      <c r="H130" s="22" t="s">
        <v>56</v>
      </c>
      <c r="I130" s="22" t="s">
        <v>57</v>
      </c>
      <c r="J130" s="22" t="n">
        <v>2367</v>
      </c>
      <c r="K130" s="25" t="s">
        <v>154</v>
      </c>
      <c r="L130" s="22" t="s">
        <v>160</v>
      </c>
      <c r="M130" s="22" t="s">
        <v>161</v>
      </c>
      <c r="N130" s="22" t="s">
        <v>162</v>
      </c>
      <c r="O130" s="22" t="s">
        <v>71</v>
      </c>
      <c r="P130" s="22" t="s">
        <v>71</v>
      </c>
      <c r="Q130" s="22" t="n">
        <v>5</v>
      </c>
      <c r="R130" s="25" t="s">
        <v>62</v>
      </c>
      <c r="S130" s="25" t="n">
        <v>34.7434545454545</v>
      </c>
      <c r="T130" s="22" t="n">
        <v>39</v>
      </c>
      <c r="U130" s="26" t="n">
        <v>1</v>
      </c>
      <c r="V130" s="27" t="n">
        <v>1.58</v>
      </c>
      <c r="W130" s="27" t="n">
        <v>0</v>
      </c>
      <c r="X130" s="23" t="n">
        <v>0</v>
      </c>
      <c r="Y130" s="27" t="n">
        <v>-2.23</v>
      </c>
      <c r="Z130" s="27" t="n">
        <v>0</v>
      </c>
      <c r="AA130" s="23" t="n">
        <v>0</v>
      </c>
      <c r="AB130" s="27" t="n">
        <v>0.245283084</v>
      </c>
      <c r="AC130" s="27" t="n">
        <v>0.200332277220548</v>
      </c>
      <c r="AD130" s="27" t="n">
        <v>0.200066499592696</v>
      </c>
      <c r="AE130" s="28" t="n">
        <v>0.593983436</v>
      </c>
      <c r="AF130" s="23" t="n">
        <v>0.008</v>
      </c>
      <c r="AG130" s="61" t="n">
        <f aca="false">AF130*SQRT(U130)</f>
        <v>0.008</v>
      </c>
      <c r="AH130" s="29" t="n">
        <v>29.1717536232688</v>
      </c>
      <c r="AI130" s="27" t="n">
        <v>0.0745472101679626</v>
      </c>
      <c r="AJ130" s="27" t="n">
        <f aca="false">VLOOKUP(B130,proft,2,0)</f>
        <v>27.0430101508925</v>
      </c>
      <c r="AK130" s="27" t="n">
        <f aca="false">VLOOKUP(B130,proft,3,0)</f>
        <v>2.877836227417</v>
      </c>
      <c r="AL130" s="27" t="s">
        <v>163</v>
      </c>
      <c r="BB130" s="30" t="n">
        <v>26.38</v>
      </c>
      <c r="BC130" s="30" t="n">
        <v>1.864</v>
      </c>
      <c r="BD130" s="30" t="n">
        <v>0.01864</v>
      </c>
      <c r="BE130" s="31" t="n">
        <v>26.38</v>
      </c>
      <c r="BF130" s="31" t="n">
        <v>1.864</v>
      </c>
      <c r="BG130" s="31" t="n">
        <v>0.01864</v>
      </c>
      <c r="BH130" s="14" t="n">
        <f aca="false">10^6/((BB130+273.15)^2)</f>
        <v>11.1460079119781</v>
      </c>
      <c r="BI130" s="14" t="n">
        <f aca="false">BH130*(2*($BF130/($BE130+273.15)))</f>
        <v>0.138725060914948</v>
      </c>
      <c r="BJ130" s="14" t="n">
        <f aca="false">BH130*(2*($BG130/($BE130+273.15)))</f>
        <v>0.00138725060914948</v>
      </c>
      <c r="BL130" s="14" t="n">
        <f aca="false">10^6/((AH130+273.15)^2)</f>
        <v>10.9411054533042</v>
      </c>
      <c r="BM130" s="14" t="n">
        <f aca="false">BL130*(2*($AI130/($AH130+273.15)))</f>
        <v>0.0053957671118413</v>
      </c>
      <c r="BN130" s="14" t="n">
        <f aca="false">10^6/((AJ130+273.15)^2)</f>
        <v>11.0968278484478</v>
      </c>
      <c r="BO130" s="14" t="n">
        <f aca="false">BN130*(2*($AK130/($AJ130+273.15)))</f>
        <v>0.212762137103864</v>
      </c>
    </row>
    <row r="131" s="14" customFormat="true" ht="16" hidden="false" customHeight="false" outlineLevel="0" collapsed="false">
      <c r="A131" s="22" t="s">
        <v>67</v>
      </c>
      <c r="B131" s="84" t="s">
        <v>554</v>
      </c>
      <c r="C131" s="14" t="s">
        <v>438</v>
      </c>
      <c r="D131" s="23" t="s">
        <v>555</v>
      </c>
      <c r="E131" s="24" t="s">
        <v>553</v>
      </c>
      <c r="F131" s="22" t="n">
        <v>0.3</v>
      </c>
      <c r="G131" s="22" t="n">
        <v>158.8</v>
      </c>
      <c r="H131" s="22" t="s">
        <v>56</v>
      </c>
      <c r="I131" s="22" t="s">
        <v>57</v>
      </c>
      <c r="J131" s="22" t="n">
        <v>2367</v>
      </c>
      <c r="K131" s="25" t="s">
        <v>67</v>
      </c>
      <c r="L131" s="22" t="s">
        <v>68</v>
      </c>
      <c r="M131" s="22" t="s">
        <v>69</v>
      </c>
      <c r="N131" s="22" t="s">
        <v>70</v>
      </c>
      <c r="O131" s="22" t="s">
        <v>71</v>
      </c>
      <c r="P131" s="22" t="s">
        <v>71</v>
      </c>
      <c r="Q131" s="22" t="n">
        <v>5</v>
      </c>
      <c r="R131" s="25" t="s">
        <v>62</v>
      </c>
      <c r="S131" s="25" t="n">
        <v>35.0936363636364</v>
      </c>
      <c r="T131" s="22" t="n">
        <v>39</v>
      </c>
      <c r="U131" s="26" t="n">
        <v>2</v>
      </c>
      <c r="V131" s="27" t="n">
        <v>1.885</v>
      </c>
      <c r="W131" s="27" t="n">
        <v>0.0212132034355963</v>
      </c>
      <c r="X131" s="27" t="n">
        <v>0.0149999999999999</v>
      </c>
      <c r="Y131" s="27" t="n">
        <v>-1.88</v>
      </c>
      <c r="Z131" s="27" t="n">
        <v>0.0282842712474618</v>
      </c>
      <c r="AA131" s="27" t="n">
        <v>0.0199999999999999</v>
      </c>
      <c r="AB131" s="27" t="n">
        <v>0.278680373333333</v>
      </c>
      <c r="AC131" s="27" t="n">
        <v>0.200502126747365</v>
      </c>
      <c r="AD131" s="27" t="n">
        <v>0.200167515538208</v>
      </c>
      <c r="AE131" s="28" t="n">
        <v>0.606579303</v>
      </c>
      <c r="AF131" s="28" t="n">
        <v>0.00234910600000005</v>
      </c>
      <c r="AG131" s="61" t="n">
        <f aca="false">AF131*SQRT(U131)</f>
        <v>0.00332213756465208</v>
      </c>
      <c r="AH131" s="29" t="n">
        <v>28.4809353568337</v>
      </c>
      <c r="AI131" s="27" t="n">
        <v>0.523423315129924</v>
      </c>
      <c r="AJ131" s="27" t="n">
        <f aca="false">VLOOKUP(B131,proft,2,0)</f>
        <v>25.3238758796692</v>
      </c>
      <c r="AK131" s="27" t="n">
        <f aca="false">VLOOKUP(B131,proft,3,0)</f>
        <v>4.0639705657959</v>
      </c>
      <c r="AL131" s="27" t="s">
        <v>72</v>
      </c>
      <c r="BB131" s="30" t="n">
        <v>26.0505</v>
      </c>
      <c r="BC131" s="30" t="n">
        <v>2.129</v>
      </c>
      <c r="BD131" s="30" t="n">
        <v>0.02129</v>
      </c>
      <c r="BE131" s="31" t="n">
        <v>26.0505</v>
      </c>
      <c r="BF131" s="31" t="n">
        <v>2.129</v>
      </c>
      <c r="BG131" s="31" t="n">
        <v>0.02129</v>
      </c>
      <c r="BH131" s="14" t="n">
        <f aca="false">10^6/((BB131+273.15)^2)</f>
        <v>11.1705709181971</v>
      </c>
      <c r="BI131" s="14" t="n">
        <f aca="false">BH131*(2*($BF131/($BE131+273.15)))</f>
        <v>0.158971295066964</v>
      </c>
      <c r="BJ131" s="14" t="n">
        <f aca="false">BH131*(2*($BG131/($BE131+273.15)))</f>
        <v>0.00158971295066964</v>
      </c>
      <c r="BL131" s="14" t="n">
        <f aca="false">10^6/((AH131+273.15)^2)</f>
        <v>10.9912791585289</v>
      </c>
      <c r="BM131" s="14" t="n">
        <f aca="false">BL131*(2*($AI131/($AH131+273.15)))</f>
        <v>0.0381465632354297</v>
      </c>
      <c r="BN131" s="14" t="n">
        <f aca="false">10^6/((AJ131+273.15)^2)</f>
        <v>11.2250258434887</v>
      </c>
      <c r="BO131" s="14" t="n">
        <f aca="false">BN131*(2*($AK131/($AJ131+273.15)))</f>
        <v>0.305676163408202</v>
      </c>
    </row>
    <row r="132" s="14" customFormat="true" ht="16" hidden="false" customHeight="false" outlineLevel="0" collapsed="false">
      <c r="A132" s="22" t="s">
        <v>542</v>
      </c>
      <c r="B132" s="84" t="s">
        <v>543</v>
      </c>
      <c r="C132" s="14" t="s">
        <v>438</v>
      </c>
      <c r="D132" s="23" t="s">
        <v>544</v>
      </c>
      <c r="E132" s="24" t="s">
        <v>545</v>
      </c>
      <c r="F132" s="22" t="n">
        <v>45.4</v>
      </c>
      <c r="G132" s="22" t="n">
        <v>-27.1</v>
      </c>
      <c r="H132" s="22" t="s">
        <v>78</v>
      </c>
      <c r="I132" s="22" t="s">
        <v>79</v>
      </c>
      <c r="J132" s="22" t="n">
        <v>2162</v>
      </c>
      <c r="K132" s="25" t="s">
        <v>542</v>
      </c>
      <c r="L132" s="22" t="s">
        <v>58</v>
      </c>
      <c r="M132" s="22" t="s">
        <v>546</v>
      </c>
      <c r="N132" s="22" t="s">
        <v>547</v>
      </c>
      <c r="O132" s="22" t="s">
        <v>485</v>
      </c>
      <c r="P132" s="22" t="s">
        <v>61</v>
      </c>
      <c r="Q132" s="22" t="n">
        <v>3</v>
      </c>
      <c r="R132" s="25" t="s">
        <v>83</v>
      </c>
      <c r="S132" s="25" t="n">
        <v>35.5621538461538</v>
      </c>
      <c r="T132" s="22" t="n">
        <v>42.8682276422764</v>
      </c>
      <c r="U132" s="26" t="n">
        <v>1</v>
      </c>
      <c r="V132" s="27" t="n">
        <v>0.69</v>
      </c>
      <c r="W132" s="27" t="n">
        <v>0</v>
      </c>
      <c r="X132" s="23" t="n">
        <v>0</v>
      </c>
      <c r="Y132" s="27" t="n">
        <v>1.2</v>
      </c>
      <c r="Z132" s="27" t="n">
        <v>0</v>
      </c>
      <c r="AA132" s="23" t="n">
        <v>0</v>
      </c>
      <c r="AB132" s="27" t="n">
        <v>0.565723448</v>
      </c>
      <c r="AC132" s="27" t="n">
        <v>0.211562192402954</v>
      </c>
      <c r="AD132" s="27" t="n">
        <v>0.202365294086879</v>
      </c>
      <c r="AE132" s="28" t="n">
        <v>0.640608986</v>
      </c>
      <c r="AF132" s="23" t="n">
        <v>0.01</v>
      </c>
      <c r="AG132" s="61" t="n">
        <f aca="false">AF132*SQRT(U132)</f>
        <v>0.01</v>
      </c>
      <c r="AH132" s="29" t="n">
        <v>12.4196441356952</v>
      </c>
      <c r="AI132" s="27" t="n">
        <v>0.748436895988383</v>
      </c>
      <c r="AJ132" s="27" t="n">
        <f aca="false">VLOOKUP(B132,proft,2,0)</f>
        <v>11.5924364026321</v>
      </c>
      <c r="AK132" s="27" t="n">
        <f aca="false">VLOOKUP(B132,proft,3,0)</f>
        <v>0.942798614501999</v>
      </c>
      <c r="AL132" s="27" t="s">
        <v>63</v>
      </c>
      <c r="BB132" s="30" t="n">
        <v>13.7368</v>
      </c>
      <c r="BC132" s="30" t="n">
        <v>2.239</v>
      </c>
      <c r="BD132" s="30" t="n">
        <v>0.02184</v>
      </c>
      <c r="BE132" s="31" t="n">
        <v>13.7368</v>
      </c>
      <c r="BF132" s="31" t="n">
        <v>2.239</v>
      </c>
      <c r="BG132" s="31" t="n">
        <v>0.02184</v>
      </c>
      <c r="BH132" s="14" t="n">
        <f aca="false">10^6/((BB132+273.15)^2)</f>
        <v>12.1500724439198</v>
      </c>
      <c r="BI132" s="14" t="n">
        <f aca="false">BH132*(2*($BF132/($BE132+273.15)))</f>
        <v>0.189649800562009</v>
      </c>
      <c r="BJ132" s="14" t="n">
        <f aca="false">BH132*(2*($BG132/($BE132+273.15)))</f>
        <v>0.00184991140878708</v>
      </c>
      <c r="BL132" s="14" t="n">
        <f aca="false">10^6/((AH132+273.15)^2)</f>
        <v>12.2624124401821</v>
      </c>
      <c r="BM132" s="14" t="n">
        <f aca="false">BL132*(2*($AI132/($AH132+273.15)))</f>
        <v>0.0642760327823796</v>
      </c>
      <c r="BN132" s="14" t="n">
        <f aca="false">10^6/((AJ132+273.15)^2)</f>
        <v>12.3337632131868</v>
      </c>
      <c r="BO132" s="14" t="n">
        <f aca="false">BN132*(2*($AK132/($AJ132+273.15)))</f>
        <v>0.0816756014024239</v>
      </c>
    </row>
    <row r="133" s="14" customFormat="true" ht="16" hidden="false" customHeight="false" outlineLevel="0" collapsed="false">
      <c r="A133" s="22" t="s">
        <v>479</v>
      </c>
      <c r="B133" s="84" t="s">
        <v>548</v>
      </c>
      <c r="C133" s="14" t="s">
        <v>438</v>
      </c>
      <c r="D133" s="23" t="s">
        <v>549</v>
      </c>
      <c r="E133" s="24" t="s">
        <v>550</v>
      </c>
      <c r="F133" s="22" t="n">
        <v>45.4</v>
      </c>
      <c r="G133" s="22" t="n">
        <v>-27.1</v>
      </c>
      <c r="H133" s="22" t="s">
        <v>78</v>
      </c>
      <c r="I133" s="22" t="s">
        <v>79</v>
      </c>
      <c r="J133" s="22" t="n">
        <v>2162</v>
      </c>
      <c r="K133" s="25" t="s">
        <v>479</v>
      </c>
      <c r="L133" s="22" t="s">
        <v>58</v>
      </c>
      <c r="M133" s="22" t="s">
        <v>483</v>
      </c>
      <c r="N133" s="22" t="s">
        <v>484</v>
      </c>
      <c r="O133" s="22" t="s">
        <v>485</v>
      </c>
      <c r="P133" s="22" t="s">
        <v>61</v>
      </c>
      <c r="Q133" s="22" t="n">
        <v>3</v>
      </c>
      <c r="R133" s="25" t="s">
        <v>486</v>
      </c>
      <c r="S133" s="25" t="n">
        <v>35.2448</v>
      </c>
      <c r="T133" s="22" t="n">
        <v>42.8682276422764</v>
      </c>
      <c r="U133" s="26" t="n">
        <v>1</v>
      </c>
      <c r="V133" s="27" t="n">
        <v>0.68</v>
      </c>
      <c r="W133" s="27" t="n">
        <v>0</v>
      </c>
      <c r="X133" s="23" t="n">
        <v>0</v>
      </c>
      <c r="Y133" s="27" t="n">
        <v>1.58</v>
      </c>
      <c r="Z133" s="27" t="n">
        <v>0</v>
      </c>
      <c r="AA133" s="23" t="n">
        <v>0</v>
      </c>
      <c r="AB133" s="27" t="n">
        <v>0.432340016666667</v>
      </c>
      <c r="AC133" s="27" t="n">
        <v>0.205355109793218</v>
      </c>
      <c r="AD133" s="27" t="n">
        <v>0.201800826822046</v>
      </c>
      <c r="AE133" s="28" t="n">
        <v>0.595270525</v>
      </c>
      <c r="AF133" s="23" t="n">
        <v>0.009</v>
      </c>
      <c r="AG133" s="61" t="n">
        <f aca="false">AF133*SQRT(U133)</f>
        <v>0.009</v>
      </c>
      <c r="AH133" s="29" t="n">
        <v>10.0684711456299</v>
      </c>
      <c r="AI133" s="27" t="n">
        <v>0.906111593702757</v>
      </c>
      <c r="AJ133" s="27" t="n">
        <f aca="false">VLOOKUP(B133,proft,2,0)</f>
        <v>9.70832713930361</v>
      </c>
      <c r="AK133" s="27" t="n">
        <f aca="false">VLOOKUP(B133,proft,3,0)</f>
        <v>0.60069751739502</v>
      </c>
      <c r="AL133" s="27" t="s">
        <v>63</v>
      </c>
      <c r="BB133" s="30" t="n">
        <v>11.7553</v>
      </c>
      <c r="BC133" s="30" t="n">
        <v>2.229</v>
      </c>
      <c r="BD133" s="30" t="n">
        <v>0.0223</v>
      </c>
      <c r="BE133" s="31" t="n">
        <v>11.7553</v>
      </c>
      <c r="BF133" s="31" t="n">
        <v>2.229</v>
      </c>
      <c r="BG133" s="31" t="n">
        <v>0.0223</v>
      </c>
      <c r="BH133" s="14" t="n">
        <f aca="false">10^6/((BB133+273.15)^2)</f>
        <v>12.3196662700119</v>
      </c>
      <c r="BI133" s="14" t="n">
        <f aca="false">BH133*(2*($BF133/($BE133+273.15)))</f>
        <v>0.192769570210568</v>
      </c>
      <c r="BJ133" s="14" t="n">
        <f aca="false">BH133*(2*($BG133/($BE133+273.15)))</f>
        <v>0.00192856052745431</v>
      </c>
      <c r="BL133" s="14" t="n">
        <f aca="false">10^6/((AH133+273.15)^2)</f>
        <v>12.4668533798717</v>
      </c>
      <c r="BM133" s="14" t="n">
        <f aca="false">BL133*(2*($AI133/($AH133+273.15)))</f>
        <v>0.079771353462929</v>
      </c>
      <c r="BN133" s="14" t="n">
        <f aca="false">10^6/((AJ133+273.15)^2)</f>
        <v>12.4986199598706</v>
      </c>
      <c r="BO133" s="14" t="n">
        <f aca="false">BN133*(2*($AK133/($AJ133+273.15)))</f>
        <v>0.0530858685101435</v>
      </c>
    </row>
    <row r="134" s="14" customFormat="true" ht="16" hidden="false" customHeight="false" outlineLevel="0" collapsed="false">
      <c r="A134" s="22" t="s">
        <v>51</v>
      </c>
      <c r="B134" s="84" t="s">
        <v>511</v>
      </c>
      <c r="C134" s="14" t="s">
        <v>438</v>
      </c>
      <c r="D134" s="23" t="s">
        <v>512</v>
      </c>
      <c r="E134" s="24" t="s">
        <v>513</v>
      </c>
      <c r="F134" s="22" t="n">
        <v>4.1</v>
      </c>
      <c r="G134" s="22" t="n">
        <v>-43.3</v>
      </c>
      <c r="H134" s="22" t="s">
        <v>78</v>
      </c>
      <c r="I134" s="22" t="s">
        <v>391</v>
      </c>
      <c r="J134" s="22" t="n">
        <v>0</v>
      </c>
      <c r="K134" s="25" t="s">
        <v>51</v>
      </c>
      <c r="L134" s="22" t="s">
        <v>58</v>
      </c>
      <c r="M134" s="22" t="s">
        <v>59</v>
      </c>
      <c r="N134" s="22" t="s">
        <v>60</v>
      </c>
      <c r="O134" s="22" t="s">
        <v>61</v>
      </c>
      <c r="P134" s="22" t="s">
        <v>61</v>
      </c>
      <c r="Q134" s="22" t="n">
        <v>3</v>
      </c>
      <c r="R134" s="25" t="s">
        <v>62</v>
      </c>
      <c r="S134" s="25" t="n">
        <v>36.111705882353</v>
      </c>
      <c r="T134" s="22" t="n">
        <v>224</v>
      </c>
      <c r="U134" s="26" t="n">
        <v>1</v>
      </c>
      <c r="V134" s="27" t="n">
        <v>1.94</v>
      </c>
      <c r="W134" s="27" t="n">
        <v>0</v>
      </c>
      <c r="X134" s="23" t="n">
        <v>0</v>
      </c>
      <c r="Y134" s="27" t="n">
        <v>-0.7</v>
      </c>
      <c r="Z134" s="27" t="n">
        <v>0.01</v>
      </c>
      <c r="AA134" s="23" t="n">
        <v>0</v>
      </c>
      <c r="AB134" s="27" t="n">
        <v>0.853673016</v>
      </c>
      <c r="AC134" s="27" t="n">
        <v>0.201131013076091</v>
      </c>
      <c r="AD134" s="27" t="n">
        <v>0.200226713712739</v>
      </c>
      <c r="AE134" s="28" t="n">
        <v>0.570979446</v>
      </c>
      <c r="AF134" s="23" t="n">
        <v>0.006</v>
      </c>
      <c r="AG134" s="61" t="n">
        <f aca="false">AF134*SQRT(U134)</f>
        <v>0.006</v>
      </c>
      <c r="AH134" s="29" t="n">
        <v>26.8023844326244</v>
      </c>
      <c r="AI134" s="27" t="n">
        <v>0.895215847833901</v>
      </c>
      <c r="AJ134" s="27" t="n">
        <f aca="false">VLOOKUP(B134,proft,2,0)</f>
        <v>21.6971105350146</v>
      </c>
      <c r="AK134" s="27" t="n">
        <f aca="false">VLOOKUP(B134,proft,3,0)</f>
        <v>5.7951431274414</v>
      </c>
      <c r="AL134" s="27" t="s">
        <v>63</v>
      </c>
      <c r="BB134" s="30" t="n">
        <v>22.2635</v>
      </c>
      <c r="BC134" s="30" t="n">
        <v>2.233</v>
      </c>
      <c r="BD134" s="30" t="n">
        <v>0.02233</v>
      </c>
      <c r="BE134" s="60" t="n">
        <v>22.2635</v>
      </c>
      <c r="BF134" s="31" t="n">
        <v>2.233</v>
      </c>
      <c r="BG134" s="31" t="n">
        <v>0.02233</v>
      </c>
      <c r="BH134" s="14" t="n">
        <f aca="false">10^6/((BB134+273.15)^2)</f>
        <v>11.4588048654841</v>
      </c>
      <c r="BI134" s="14" t="n">
        <f aca="false">BH134*(2*($BF134/($BE134+273.15)))</f>
        <v>0.173231834460009</v>
      </c>
      <c r="BJ134" s="14" t="n">
        <f aca="false">BH134*(2*($BG134/($BE134+273.15)))</f>
        <v>0.00173231834460009</v>
      </c>
      <c r="BL134" s="14" t="n">
        <f aca="false">10^6/((AH134+273.15)^2)</f>
        <v>11.1146390300731</v>
      </c>
      <c r="BM134" s="14" t="n">
        <f aca="false">BL134*(2*($AI134/($AH134+273.15)))</f>
        <v>0.0663438700212074</v>
      </c>
      <c r="BN134" s="14" t="n">
        <f aca="false">10^6/((AJ134+273.15)^2)</f>
        <v>11.502870957912</v>
      </c>
      <c r="BO134" s="14" t="n">
        <f aca="false">BN134*(2*($AK134/($AJ134+273.15)))</f>
        <v>0.452171862607909</v>
      </c>
    </row>
    <row r="135" s="14" customFormat="true" ht="16" hidden="false" customHeight="false" outlineLevel="0" collapsed="false">
      <c r="A135" s="22" t="s">
        <v>479</v>
      </c>
      <c r="B135" s="84" t="s">
        <v>480</v>
      </c>
      <c r="C135" s="14" t="s">
        <v>438</v>
      </c>
      <c r="D135" s="23" t="s">
        <v>481</v>
      </c>
      <c r="E135" s="24" t="s">
        <v>482</v>
      </c>
      <c r="F135" s="22" t="n">
        <v>23.3</v>
      </c>
      <c r="G135" s="22" t="n">
        <v>66.7</v>
      </c>
      <c r="H135" s="22" t="s">
        <v>125</v>
      </c>
      <c r="I135" s="22" t="s">
        <v>121</v>
      </c>
      <c r="J135" s="22" t="n">
        <v>151</v>
      </c>
      <c r="K135" s="25" t="s">
        <v>479</v>
      </c>
      <c r="L135" s="22" t="s">
        <v>58</v>
      </c>
      <c r="M135" s="22" t="s">
        <v>483</v>
      </c>
      <c r="N135" s="22" t="s">
        <v>484</v>
      </c>
      <c r="O135" s="22" t="s">
        <v>485</v>
      </c>
      <c r="P135" s="22" t="s">
        <v>61</v>
      </c>
      <c r="Q135" s="22" t="n">
        <v>3</v>
      </c>
      <c r="R135" s="25" t="s">
        <v>486</v>
      </c>
      <c r="S135" s="25" t="n">
        <v>35.742</v>
      </c>
      <c r="T135" s="22" t="n">
        <v>62.2654680851064</v>
      </c>
      <c r="U135" s="26" t="n">
        <v>1</v>
      </c>
      <c r="V135" s="27" t="n">
        <v>0.76</v>
      </c>
      <c r="W135" s="27" t="n">
        <v>0</v>
      </c>
      <c r="X135" s="23" t="n">
        <v>0</v>
      </c>
      <c r="Y135" s="27" t="n">
        <v>1.67</v>
      </c>
      <c r="Z135" s="27" t="n">
        <v>0</v>
      </c>
      <c r="AA135" s="23" t="n">
        <v>0</v>
      </c>
      <c r="AB135" s="27" t="n">
        <v>0.447350916666667</v>
      </c>
      <c r="AC135" s="27" t="n">
        <v>0.202262707990026</v>
      </c>
      <c r="AD135" s="27" t="n">
        <v>0.200757069650078</v>
      </c>
      <c r="AE135" s="28" t="n">
        <v>0.61785188</v>
      </c>
      <c r="AF135" s="23" t="n">
        <v>0.01</v>
      </c>
      <c r="AG135" s="61" t="n">
        <f aca="false">AF135*SQRT(U135)</f>
        <v>0.01</v>
      </c>
      <c r="AH135" s="29" t="n">
        <v>12.0539562225342</v>
      </c>
      <c r="AI135" s="27" t="n">
        <v>0.61967899934956</v>
      </c>
      <c r="AJ135" s="27" t="n">
        <f aca="false">VLOOKUP(B135,proft,2,0)</f>
        <v>8.96780067474895</v>
      </c>
      <c r="AK135" s="27" t="n">
        <f aca="false">VLOOKUP(B135,proft,3,0)</f>
        <v>0.336747169494629</v>
      </c>
      <c r="AL135" s="27" t="s">
        <v>63</v>
      </c>
      <c r="BB135" s="30" t="n">
        <v>11.4591</v>
      </c>
      <c r="BC135" s="30" t="n">
        <v>2.233</v>
      </c>
      <c r="BD135" s="30" t="n">
        <v>0.02233</v>
      </c>
      <c r="BE135" s="60" t="n">
        <v>11.4591</v>
      </c>
      <c r="BF135" s="31" t="n">
        <v>2.233</v>
      </c>
      <c r="BG135" s="31" t="n">
        <v>0.02233</v>
      </c>
      <c r="BH135" s="14" t="n">
        <f aca="false">10^6/((BB135+273.15)^2)</f>
        <v>12.3453223997526</v>
      </c>
      <c r="BI135" s="14" t="n">
        <f aca="false">BH135*(2*($BF135/($BE135+273.15)))</f>
        <v>0.193719068846692</v>
      </c>
      <c r="BJ135" s="14" t="n">
        <f aca="false">BH135*(2*($BG135/($BE135+273.15)))</f>
        <v>0.00193719068846692</v>
      </c>
      <c r="BL135" s="14" t="n">
        <f aca="false">10^6/((AH135+273.15)^2)</f>
        <v>12.2938782788835</v>
      </c>
      <c r="BM135" s="14" t="n">
        <f aca="false">BL135*(2*($AI135/($AH135+273.15)))</f>
        <v>0.0534232294031682</v>
      </c>
      <c r="BN135" s="14" t="n">
        <f aca="false">10^6/((AJ135+273.15)^2)</f>
        <v>12.5643209274246</v>
      </c>
      <c r="BO135" s="14" t="n">
        <f aca="false">BN135*(2*($AK135/($AJ135+273.15)))</f>
        <v>0.0299945590020407</v>
      </c>
    </row>
    <row r="136" s="14" customFormat="true" ht="16" hidden="false" customHeight="false" outlineLevel="0" collapsed="false">
      <c r="A136" s="22" t="s">
        <v>229</v>
      </c>
      <c r="B136" s="84" t="s">
        <v>437</v>
      </c>
      <c r="C136" s="14" t="s">
        <v>438</v>
      </c>
      <c r="D136" s="23" t="s">
        <v>439</v>
      </c>
      <c r="E136" s="24" t="s">
        <v>440</v>
      </c>
      <c r="F136" s="22" t="n">
        <v>0</v>
      </c>
      <c r="G136" s="22" t="n">
        <v>159.5</v>
      </c>
      <c r="H136" s="22" t="s">
        <v>56</v>
      </c>
      <c r="I136" s="22" t="s">
        <v>57</v>
      </c>
      <c r="J136" s="22" t="n">
        <v>2445</v>
      </c>
      <c r="K136" s="25" t="s">
        <v>229</v>
      </c>
      <c r="L136" s="22" t="s">
        <v>58</v>
      </c>
      <c r="M136" s="22" t="s">
        <v>232</v>
      </c>
      <c r="N136" s="22" t="s">
        <v>233</v>
      </c>
      <c r="O136" s="22" t="s">
        <v>61</v>
      </c>
      <c r="P136" s="22" t="s">
        <v>61</v>
      </c>
      <c r="Q136" s="22" t="n">
        <v>3</v>
      </c>
      <c r="R136" s="25" t="s">
        <v>234</v>
      </c>
      <c r="S136" s="25" t="n">
        <v>35.0695</v>
      </c>
      <c r="T136" s="22" t="n">
        <v>2.9821677852349</v>
      </c>
      <c r="U136" s="26" t="n">
        <v>1</v>
      </c>
      <c r="V136" s="27" t="n">
        <v>1.71</v>
      </c>
      <c r="W136" s="27" t="n">
        <v>0</v>
      </c>
      <c r="X136" s="23" t="n">
        <v>0</v>
      </c>
      <c r="Y136" s="27" t="n">
        <v>-0.71</v>
      </c>
      <c r="Z136" s="27" t="n">
        <v>0</v>
      </c>
      <c r="AA136" s="23" t="n">
        <v>0</v>
      </c>
      <c r="AB136" s="27" t="n">
        <v>0.229350568</v>
      </c>
      <c r="AC136" s="27" t="n">
        <v>0.222063598809596</v>
      </c>
      <c r="AD136" s="27" t="n">
        <v>0.20460314851745</v>
      </c>
      <c r="AE136" s="28" t="n">
        <v>0.621926005</v>
      </c>
      <c r="AF136" s="23" t="n">
        <v>0.009</v>
      </c>
      <c r="AG136" s="61" t="n">
        <f aca="false">AF136*SQRT(U136)</f>
        <v>0.009</v>
      </c>
      <c r="AH136" s="29" t="n">
        <v>17.2583122253418</v>
      </c>
      <c r="AI136" s="27" t="n">
        <v>4.81785628436477</v>
      </c>
      <c r="AJ136" s="27" t="n">
        <f aca="false">VLOOKUP(B136,proft,2,0)</f>
        <v>19.514605930899</v>
      </c>
      <c r="AK136" s="27" t="n">
        <f aca="false">VLOOKUP(B136,proft,3,0)</f>
        <v>2.4528865814209</v>
      </c>
      <c r="AL136" s="27" t="s">
        <v>63</v>
      </c>
      <c r="BB136" s="30" t="n">
        <v>19.8522</v>
      </c>
      <c r="BC136" s="30" t="n">
        <v>2.229</v>
      </c>
      <c r="BD136" s="30" t="n">
        <v>0.02229</v>
      </c>
      <c r="BE136" s="31" t="n">
        <v>19.8522</v>
      </c>
      <c r="BF136" s="31" t="n">
        <v>2.229</v>
      </c>
      <c r="BG136" s="31" t="n">
        <v>0.02229</v>
      </c>
      <c r="BH136" s="14" t="n">
        <f aca="false">10^6/((BB136+273.15)^2)</f>
        <v>11.6481844063913</v>
      </c>
      <c r="BI136" s="14" t="n">
        <f aca="false">BH136*(2*($BF136/($BE136+273.15)))</f>
        <v>0.177225993810601</v>
      </c>
      <c r="BJ136" s="14" t="n">
        <f aca="false">BH136*(2*($BG136/($BE136+273.15)))</f>
        <v>0.00177225993810601</v>
      </c>
      <c r="BL136" s="14" t="n">
        <f aca="false">10^6/((AH136+273.15)^2)</f>
        <v>11.8571936936845</v>
      </c>
      <c r="BM136" s="14" t="n">
        <f aca="false">BL136*(2*($AI136/($AH136+273.15)))</f>
        <v>0.393420248300064</v>
      </c>
      <c r="BN136" s="14" t="n">
        <f aca="false">10^6/((AJ136+273.15)^2)</f>
        <v>11.6750727004706</v>
      </c>
      <c r="BO136" s="14" t="n">
        <f aca="false">BN136*(2*($AK136/($AJ136+273.15)))</f>
        <v>0.195702716240716</v>
      </c>
    </row>
    <row r="137" s="14" customFormat="true" ht="16" hidden="false" customHeight="false" outlineLevel="0" collapsed="false">
      <c r="A137" s="22" t="s">
        <v>229</v>
      </c>
      <c r="B137" s="84" t="s">
        <v>444</v>
      </c>
      <c r="C137" s="14" t="s">
        <v>438</v>
      </c>
      <c r="D137" s="23" t="s">
        <v>445</v>
      </c>
      <c r="E137" s="24" t="s">
        <v>446</v>
      </c>
      <c r="F137" s="22" t="n">
        <v>0</v>
      </c>
      <c r="G137" s="22" t="n">
        <v>160.5</v>
      </c>
      <c r="H137" s="22" t="s">
        <v>56</v>
      </c>
      <c r="I137" s="22" t="s">
        <v>57</v>
      </c>
      <c r="J137" s="22" t="n">
        <v>2959</v>
      </c>
      <c r="K137" s="25" t="s">
        <v>229</v>
      </c>
      <c r="L137" s="22" t="s">
        <v>58</v>
      </c>
      <c r="M137" s="22" t="s">
        <v>232</v>
      </c>
      <c r="N137" s="22" t="s">
        <v>233</v>
      </c>
      <c r="O137" s="22" t="s">
        <v>61</v>
      </c>
      <c r="P137" s="22" t="s">
        <v>61</v>
      </c>
      <c r="Q137" s="22" t="n">
        <v>3</v>
      </c>
      <c r="R137" s="25" t="s">
        <v>234</v>
      </c>
      <c r="S137" s="25" t="n">
        <v>35.062625</v>
      </c>
      <c r="T137" s="22" t="n">
        <v>-2.17345945945946</v>
      </c>
      <c r="U137" s="26" t="n">
        <v>1</v>
      </c>
      <c r="V137" s="27" t="n">
        <v>1.8</v>
      </c>
      <c r="W137" s="27" t="n">
        <v>0</v>
      </c>
      <c r="X137" s="23" t="n">
        <v>0</v>
      </c>
      <c r="Y137" s="27" t="n">
        <v>-0.77</v>
      </c>
      <c r="Z137" s="27" t="n">
        <v>0</v>
      </c>
      <c r="AA137" s="23" t="n">
        <v>0</v>
      </c>
      <c r="AB137" s="27" t="n">
        <v>0.229749928</v>
      </c>
      <c r="AC137" s="27" t="n">
        <v>0.222082321788729</v>
      </c>
      <c r="AD137" s="27" t="n">
        <v>0.204607212801051</v>
      </c>
      <c r="AE137" s="28" t="n">
        <v>0.62286467</v>
      </c>
      <c r="AF137" s="23" t="n">
        <v>0.004</v>
      </c>
      <c r="AG137" s="61" t="n">
        <f aca="false">AF137*SQRT(U137)</f>
        <v>0.004</v>
      </c>
      <c r="AH137" s="29" t="n">
        <v>17.1850528717041</v>
      </c>
      <c r="AI137" s="27" t="n">
        <v>4.89682398535433</v>
      </c>
      <c r="AJ137" s="27" t="n">
        <f aca="false">VLOOKUP(B137,proft,2,0)</f>
        <v>19.8331865451445</v>
      </c>
      <c r="AK137" s="27" t="n">
        <f aca="false">VLOOKUP(B137,proft,3,0)</f>
        <v>2.9044647216797</v>
      </c>
      <c r="AL137" s="27" t="s">
        <v>63</v>
      </c>
      <c r="BB137" s="30" t="n">
        <v>20.1176</v>
      </c>
      <c r="BC137" s="30" t="n">
        <v>2.244</v>
      </c>
      <c r="BD137" s="30" t="n">
        <v>0.02244</v>
      </c>
      <c r="BE137" s="31" t="n">
        <v>20.1176</v>
      </c>
      <c r="BF137" s="31" t="n">
        <v>2.244</v>
      </c>
      <c r="BG137" s="31" t="n">
        <v>0.02244</v>
      </c>
      <c r="BH137" s="14" t="n">
        <f aca="false">10^6/((BB137+273.15)^2)</f>
        <v>11.6271113024545</v>
      </c>
      <c r="BI137" s="14" t="n">
        <f aca="false">BH137*(2*($BF137/($BE137+273.15)))</f>
        <v>0.177934676470962</v>
      </c>
      <c r="BJ137" s="14" t="n">
        <f aca="false">BH137*(2*($BG137/($BE137+273.15)))</f>
        <v>0.00177934676470962</v>
      </c>
      <c r="BL137" s="14" t="n">
        <f aca="false">10^6/((AH137+273.15)^2)</f>
        <v>11.8631782272729</v>
      </c>
      <c r="BM137" s="14" t="n">
        <f aca="false">BL137*(2*($AI137/($AH137+273.15)))</f>
        <v>0.400171423403796</v>
      </c>
      <c r="BN137" s="14" t="n">
        <f aca="false">10^6/((AJ137+273.15)^2)</f>
        <v>11.6496962980279</v>
      </c>
      <c r="BO137" s="14" t="n">
        <f aca="false">BN137*(2*($AK137/($AJ137+273.15)))</f>
        <v>0.230976612104606</v>
      </c>
    </row>
    <row r="138" s="14" customFormat="true" ht="16" hidden="false" customHeight="false" outlineLevel="0" collapsed="false">
      <c r="A138" s="22" t="s">
        <v>229</v>
      </c>
      <c r="B138" s="84" t="s">
        <v>447</v>
      </c>
      <c r="C138" s="14" t="s">
        <v>438</v>
      </c>
      <c r="D138" s="23" t="s">
        <v>448</v>
      </c>
      <c r="E138" s="24" t="s">
        <v>449</v>
      </c>
      <c r="F138" s="22" t="n">
        <v>0</v>
      </c>
      <c r="G138" s="22" t="n">
        <v>161</v>
      </c>
      <c r="H138" s="22" t="s">
        <v>56</v>
      </c>
      <c r="I138" s="22" t="s">
        <v>57</v>
      </c>
      <c r="J138" s="22" t="n">
        <v>3411</v>
      </c>
      <c r="K138" s="25" t="s">
        <v>229</v>
      </c>
      <c r="L138" s="22" t="s">
        <v>58</v>
      </c>
      <c r="M138" s="22" t="s">
        <v>232</v>
      </c>
      <c r="N138" s="22" t="s">
        <v>233</v>
      </c>
      <c r="O138" s="22" t="s">
        <v>61</v>
      </c>
      <c r="P138" s="22" t="s">
        <v>61</v>
      </c>
      <c r="Q138" s="22" t="n">
        <v>3</v>
      </c>
      <c r="R138" s="25" t="s">
        <v>234</v>
      </c>
      <c r="S138" s="25" t="n">
        <v>35.087625</v>
      </c>
      <c r="T138" s="22" t="n">
        <v>-6.51070068027211</v>
      </c>
      <c r="U138" s="26" t="n">
        <v>1</v>
      </c>
      <c r="V138" s="27" t="n">
        <v>1.84</v>
      </c>
      <c r="W138" s="27" t="n">
        <v>0</v>
      </c>
      <c r="X138" s="23" t="n">
        <v>0</v>
      </c>
      <c r="Y138" s="27" t="n">
        <v>-0.7</v>
      </c>
      <c r="Z138" s="27" t="n">
        <v>0</v>
      </c>
      <c r="AA138" s="23" t="n">
        <v>0</v>
      </c>
      <c r="AB138" s="27" t="n">
        <v>0.229749928</v>
      </c>
      <c r="AC138" s="27" t="n">
        <v>0.222082321788729</v>
      </c>
      <c r="AD138" s="27" t="n">
        <v>0.204607212801051</v>
      </c>
      <c r="AE138" s="28" t="n">
        <v>0.603054603</v>
      </c>
      <c r="AF138" s="23" t="n">
        <v>0.009</v>
      </c>
      <c r="AG138" s="61" t="n">
        <f aca="false">AF138*SQRT(U138)</f>
        <v>0.009</v>
      </c>
      <c r="AH138" s="29" t="n">
        <v>17.1850528717041</v>
      </c>
      <c r="AI138" s="27" t="n">
        <v>4.89682398535433</v>
      </c>
      <c r="AJ138" s="27" t="n">
        <f aca="false">VLOOKUP(B138,proft,2,0)</f>
        <v>19.4798553820405</v>
      </c>
      <c r="AK138" s="27" t="n">
        <f aca="false">VLOOKUP(B138,proft,3,0)</f>
        <v>2.6444129943847</v>
      </c>
      <c r="AL138" s="27" t="s">
        <v>63</v>
      </c>
      <c r="BB138" s="30" t="n">
        <v>19.8812</v>
      </c>
      <c r="BC138" s="30" t="n">
        <v>2.235</v>
      </c>
      <c r="BD138" s="30" t="n">
        <v>0.02235</v>
      </c>
      <c r="BE138" s="31" t="n">
        <v>19.8812</v>
      </c>
      <c r="BF138" s="31" t="n">
        <v>2.235</v>
      </c>
      <c r="BG138" s="31" t="n">
        <v>0.02235</v>
      </c>
      <c r="BH138" s="14" t="n">
        <f aca="false">10^6/((BB138+273.15)^2)</f>
        <v>11.6458789820363</v>
      </c>
      <c r="BI138" s="14" t="n">
        <f aca="false">BH138*(2*($BF138/($BE138+273.15)))</f>
        <v>0.177650294745754</v>
      </c>
      <c r="BJ138" s="14" t="n">
        <f aca="false">BH138*(2*($BG138/($BE138+273.15)))</f>
        <v>0.00177650294745754</v>
      </c>
      <c r="BL138" s="14" t="n">
        <f aca="false">10^6/((AH138+273.15)^2)</f>
        <v>11.8631782272729</v>
      </c>
      <c r="BM138" s="14" t="n">
        <f aca="false">BL138*(2*($AI138/($AH138+273.15)))</f>
        <v>0.400171423403796</v>
      </c>
      <c r="BN138" s="14" t="n">
        <f aca="false">10^6/((AJ138+273.15)^2)</f>
        <v>11.6778457550083</v>
      </c>
      <c r="BO138" s="14" t="n">
        <f aca="false">BN138*(2*($AK138/($AJ138+273.15)))</f>
        <v>0.211058758995371</v>
      </c>
    </row>
    <row r="139" s="14" customFormat="true" ht="16" hidden="false" customHeight="false" outlineLevel="0" collapsed="false">
      <c r="A139" s="22" t="s">
        <v>229</v>
      </c>
      <c r="B139" s="84" t="s">
        <v>450</v>
      </c>
      <c r="C139" s="14" t="s">
        <v>438</v>
      </c>
      <c r="D139" s="23" t="s">
        <v>451</v>
      </c>
      <c r="E139" s="24" t="s">
        <v>452</v>
      </c>
      <c r="F139" s="22" t="n">
        <v>0</v>
      </c>
      <c r="G139" s="22" t="n">
        <v>162.2</v>
      </c>
      <c r="H139" s="22" t="s">
        <v>56</v>
      </c>
      <c r="I139" s="22" t="s">
        <v>57</v>
      </c>
      <c r="J139" s="22" t="n">
        <v>4341</v>
      </c>
      <c r="K139" s="25" t="s">
        <v>229</v>
      </c>
      <c r="L139" s="22" t="s">
        <v>58</v>
      </c>
      <c r="M139" s="22" t="s">
        <v>232</v>
      </c>
      <c r="N139" s="22" t="s">
        <v>233</v>
      </c>
      <c r="O139" s="22" t="s">
        <v>61</v>
      </c>
      <c r="P139" s="22" t="s">
        <v>61</v>
      </c>
      <c r="Q139" s="22" t="n">
        <v>3</v>
      </c>
      <c r="R139" s="25" t="s">
        <v>234</v>
      </c>
      <c r="S139" s="25" t="n">
        <v>35.096375</v>
      </c>
      <c r="T139" s="22" t="n">
        <v>-26.9500560747664</v>
      </c>
      <c r="U139" s="26" t="n">
        <v>1</v>
      </c>
      <c r="V139" s="27" t="n">
        <v>1.92</v>
      </c>
      <c r="W139" s="27" t="n">
        <v>0</v>
      </c>
      <c r="X139" s="23" t="n">
        <v>0</v>
      </c>
      <c r="Y139" s="27" t="n">
        <v>-0.22</v>
      </c>
      <c r="Z139" s="27" t="n">
        <v>0</v>
      </c>
      <c r="AA139" s="23" t="n">
        <v>0</v>
      </c>
      <c r="AB139" s="27" t="n">
        <v>0.229580832</v>
      </c>
      <c r="AC139" s="27" t="n">
        <v>0.222182666991312</v>
      </c>
      <c r="AD139" s="27" t="n">
        <v>0.204628999661032</v>
      </c>
      <c r="AE139" s="28" t="n">
        <v>0.630270277</v>
      </c>
      <c r="AF139" s="23" t="n">
        <v>0.012</v>
      </c>
      <c r="AG139" s="61" t="n">
        <f aca="false">AF139*SQRT(U139)</f>
        <v>0.012</v>
      </c>
      <c r="AH139" s="29" t="n">
        <v>17.312336564064</v>
      </c>
      <c r="AI139" s="27" t="n">
        <v>4.98144429220822</v>
      </c>
      <c r="AJ139" s="27" t="n">
        <f aca="false">VLOOKUP(B139,proft,2,0)</f>
        <v>16.9999607059675</v>
      </c>
      <c r="AK139" s="27" t="n">
        <f aca="false">VLOOKUP(B139,proft,3,0)</f>
        <v>4.6881437301636</v>
      </c>
      <c r="AL139" s="27" t="s">
        <v>63</v>
      </c>
      <c r="BB139" s="30" t="n">
        <v>17.9761</v>
      </c>
      <c r="BC139" s="30" t="n">
        <v>2.233</v>
      </c>
      <c r="BD139" s="30" t="n">
        <v>0.02233</v>
      </c>
      <c r="BE139" s="31" t="n">
        <v>17.9761</v>
      </c>
      <c r="BF139" s="31" t="n">
        <v>2.233</v>
      </c>
      <c r="BG139" s="31" t="n">
        <v>0.02233</v>
      </c>
      <c r="BH139" s="14" t="n">
        <f aca="false">10^6/((BB139+273.15)^2)</f>
        <v>11.7987966172029</v>
      </c>
      <c r="BI139" s="14" t="n">
        <f aca="false">BH139*(2*($BF139/($BE139+273.15)))</f>
        <v>0.180998631494834</v>
      </c>
      <c r="BJ139" s="14" t="n">
        <f aca="false">BH139*(2*($BG139/($BE139+273.15)))</f>
        <v>0.00180998631494834</v>
      </c>
      <c r="BL139" s="14" t="n">
        <f aca="false">10^6/((AH139+273.15)^2)</f>
        <v>11.8527833630087</v>
      </c>
      <c r="BM139" s="14" t="n">
        <f aca="false">BL139*(2*($AI139/($AH139+273.15)))</f>
        <v>0.406551711515392</v>
      </c>
      <c r="BN139" s="14" t="n">
        <f aca="false">10^6/((AJ139+273.15)^2)</f>
        <v>11.8783185478889</v>
      </c>
      <c r="BO139" s="14" t="n">
        <f aca="false">BN139*(2*($AK139/($AJ139+273.15)))</f>
        <v>0.383851608938204</v>
      </c>
    </row>
    <row r="140" s="14" customFormat="true" ht="16" hidden="false" customHeight="false" outlineLevel="0" collapsed="false">
      <c r="A140" s="22" t="s">
        <v>229</v>
      </c>
      <c r="B140" s="84" t="s">
        <v>453</v>
      </c>
      <c r="C140" s="14" t="s">
        <v>438</v>
      </c>
      <c r="D140" s="23" t="s">
        <v>454</v>
      </c>
      <c r="E140" s="24" t="s">
        <v>455</v>
      </c>
      <c r="F140" s="22" t="n">
        <v>0</v>
      </c>
      <c r="G140" s="22" t="n">
        <v>161.8</v>
      </c>
      <c r="H140" s="22" t="s">
        <v>56</v>
      </c>
      <c r="I140" s="22" t="s">
        <v>57</v>
      </c>
      <c r="J140" s="22" t="n">
        <v>4025</v>
      </c>
      <c r="K140" s="25" t="s">
        <v>229</v>
      </c>
      <c r="L140" s="22" t="s">
        <v>58</v>
      </c>
      <c r="M140" s="22" t="s">
        <v>232</v>
      </c>
      <c r="N140" s="22" t="s">
        <v>233</v>
      </c>
      <c r="O140" s="22" t="s">
        <v>61</v>
      </c>
      <c r="P140" s="22" t="s">
        <v>61</v>
      </c>
      <c r="Q140" s="22" t="n">
        <v>3</v>
      </c>
      <c r="R140" s="25" t="s">
        <v>234</v>
      </c>
      <c r="S140" s="25" t="n">
        <v>35.096375</v>
      </c>
      <c r="T140" s="22" t="n">
        <v>-16.6244949152542</v>
      </c>
      <c r="U140" s="26" t="n">
        <v>1</v>
      </c>
      <c r="V140" s="27" t="n">
        <v>2.03</v>
      </c>
      <c r="W140" s="27" t="n">
        <v>0</v>
      </c>
      <c r="X140" s="23" t="n">
        <v>0</v>
      </c>
      <c r="Y140" s="27" t="n">
        <v>-0.25</v>
      </c>
      <c r="Z140" s="27" t="n">
        <v>0.01</v>
      </c>
      <c r="AA140" s="23" t="n">
        <v>0</v>
      </c>
      <c r="AB140" s="27" t="n">
        <v>0.229580832</v>
      </c>
      <c r="AC140" s="27" t="n">
        <v>0.222182666991312</v>
      </c>
      <c r="AD140" s="27" t="n">
        <v>0.204628999661032</v>
      </c>
      <c r="AE140" s="28" t="n">
        <v>0.660411089</v>
      </c>
      <c r="AF140" s="23" t="n">
        <v>0.009</v>
      </c>
      <c r="AG140" s="61" t="n">
        <f aca="false">AF140*SQRT(U140)</f>
        <v>0.009</v>
      </c>
      <c r="AH140" s="29" t="n">
        <v>17.312336564064</v>
      </c>
      <c r="AI140" s="27" t="n">
        <v>4.98144429220822</v>
      </c>
      <c r="AJ140" s="27" t="n">
        <f aca="false">VLOOKUP(B140,proft,2,0)</f>
        <v>17.2150274327722</v>
      </c>
      <c r="AK140" s="27" t="n">
        <f aca="false">VLOOKUP(B140,proft,3,0)</f>
        <v>2.7173557281494</v>
      </c>
      <c r="AL140" s="27" t="s">
        <v>63</v>
      </c>
      <c r="BB140" s="30" t="n">
        <v>18.0881</v>
      </c>
      <c r="BC140" s="30" t="n">
        <v>2.248</v>
      </c>
      <c r="BD140" s="30" t="n">
        <v>0.02248</v>
      </c>
      <c r="BE140" s="31" t="n">
        <v>18.0881</v>
      </c>
      <c r="BF140" s="31" t="n">
        <v>2.248</v>
      </c>
      <c r="BG140" s="31" t="n">
        <v>0.02248</v>
      </c>
      <c r="BH140" s="14" t="n">
        <f aca="false">10^6/((BB140+273.15)^2)</f>
        <v>11.7897235520618</v>
      </c>
      <c r="BI140" s="14" t="n">
        <f aca="false">BH140*(2*($BF140/($BE140+273.15)))</f>
        <v>0.182004336280417</v>
      </c>
      <c r="BJ140" s="14" t="n">
        <f aca="false">BH140*(2*($BG140/($BE140+273.15)))</f>
        <v>0.00182004336280417</v>
      </c>
      <c r="BL140" s="14" t="n">
        <f aca="false">10^6/((AH140+273.15)^2)</f>
        <v>11.8527833630087</v>
      </c>
      <c r="BM140" s="14" t="n">
        <f aca="false">BL140*(2*($AI140/($AH140+273.15)))</f>
        <v>0.406551711515392</v>
      </c>
      <c r="BN140" s="14" t="n">
        <f aca="false">10^6/((AJ140+273.15)^2)</f>
        <v>11.8607290672669</v>
      </c>
      <c r="BO140" s="14" t="n">
        <f aca="false">BN140*(2*($AK140/($AJ140+273.15)))</f>
        <v>0.221995192437064</v>
      </c>
    </row>
    <row r="141" s="14" customFormat="true" ht="16" hidden="false" customHeight="false" outlineLevel="0" collapsed="false">
      <c r="A141" s="22" t="s">
        <v>372</v>
      </c>
      <c r="B141" s="87" t="s">
        <v>373</v>
      </c>
      <c r="C141" s="14" t="s">
        <v>53</v>
      </c>
      <c r="D141" s="51" t="s">
        <v>374</v>
      </c>
      <c r="E141" s="24" t="s">
        <v>358</v>
      </c>
      <c r="F141" s="57" t="n">
        <v>6.640667</v>
      </c>
      <c r="G141" s="53" t="n">
        <v>-21.897333</v>
      </c>
      <c r="H141" s="22" t="s">
        <v>78</v>
      </c>
      <c r="I141" s="22" t="s">
        <v>359</v>
      </c>
      <c r="J141" s="22" t="n">
        <v>3527</v>
      </c>
      <c r="K141" s="88" t="s">
        <v>372</v>
      </c>
      <c r="L141" s="22" t="s">
        <v>372</v>
      </c>
      <c r="M141" s="22"/>
      <c r="N141" s="22" t="n">
        <v>3527</v>
      </c>
      <c r="O141" s="22" t="s">
        <v>375</v>
      </c>
      <c r="P141" s="22" t="s">
        <v>375</v>
      </c>
      <c r="Q141" s="22" t="n">
        <v>6</v>
      </c>
      <c r="R141" s="25" t="s">
        <v>234</v>
      </c>
      <c r="S141" s="25" t="n">
        <v>34.93</v>
      </c>
      <c r="T141" s="22" t="n">
        <v>17.7187</v>
      </c>
      <c r="U141" s="89" t="n">
        <v>5</v>
      </c>
      <c r="V141" s="42" t="n">
        <v>-0.072</v>
      </c>
      <c r="W141" s="42" t="n">
        <v>0.11144505372604</v>
      </c>
      <c r="X141" s="90" t="n">
        <f aca="false">W141/SQRT(U141)</f>
        <v>0.0498397431775084</v>
      </c>
      <c r="Y141" s="27" t="n">
        <v>3.556</v>
      </c>
      <c r="Z141" s="42" t="n">
        <v>0.0665582451691749</v>
      </c>
      <c r="AA141" s="27" t="n">
        <f aca="false">Z141/SQRT(U141)</f>
        <v>0.0297657521322744</v>
      </c>
      <c r="AB141" s="27" t="n">
        <v>0.212126981</v>
      </c>
      <c r="AC141" s="27" t="n">
        <v>0.2</v>
      </c>
      <c r="AD141" s="27" t="n">
        <v>0.2</v>
      </c>
      <c r="AE141" s="43" t="n">
        <v>0.654</v>
      </c>
      <c r="AF141" s="43" t="n">
        <v>0.00375499667110372</v>
      </c>
      <c r="AG141" s="61" t="n">
        <f aca="false">AF141*SQRT(U141)</f>
        <v>0.00839642781187334</v>
      </c>
      <c r="AH141" s="29" t="n">
        <v>2.43076222896576</v>
      </c>
      <c r="AI141" s="55" t="n">
        <v>0.0385740510993511</v>
      </c>
      <c r="AJ141" s="44" t="n">
        <v>2.43076222896576</v>
      </c>
      <c r="AK141" s="44" t="n">
        <v>0.0385740510993511</v>
      </c>
      <c r="AL141" s="27" t="s">
        <v>63</v>
      </c>
      <c r="AM141" s="14" t="n">
        <f aca="false">IF(AND(O141="Benthic, infaunal",M141="elegans"),(0.243-SQRT(((Y141)-(AB141))*0.0012+0.053337))/0.0006,IF(O141="Benthic",(0.245-SQRT(((Y141)-(AB141))*0.0044+0.045461))/0.0022,IF(O141="Benthic, infaunal",(0.245-(SQRT(0.045461+0.0044*((Y141-0.47)-(AB141)))))/0.0022,IF(O141="Benthic, epifaunal",(0.245-SQRT(((Y141)-(AB141))*0.0044+0.045461))/0.0022))))</f>
        <v>-0.138171504077588</v>
      </c>
      <c r="AN141" s="45" t="n">
        <f aca="false">Y141-AB141</f>
        <v>3.343873019</v>
      </c>
      <c r="AO141" s="45" t="n">
        <f aca="false">SQRT((Z141^2)+(AC141^2))</f>
        <v>0.210784249885991</v>
      </c>
      <c r="AP141" s="46" t="n">
        <f aca="false">IF(NOT($M141="elegans"),(0.045461+0.0044*((AN141))),IF($M141="elegans",(0.053337+0.0012*((AN141)))))</f>
        <v>0.0601740412836</v>
      </c>
      <c r="AQ141" s="46" t="n">
        <f aca="false">IF(NOT($M141="elegans"),(0.0044*((AO141))),IF($M141="elegans",(0.0012*((AO141)))))</f>
        <v>0.000927450699498362</v>
      </c>
      <c r="AR141" s="46" t="n">
        <f aca="false">SQRT(AP141)</f>
        <v>0.245303977308971</v>
      </c>
      <c r="AS141" s="46" t="n">
        <f aca="false">AR141*(0.5*(AQ141/AP141))</f>
        <v>0.00189041105177475</v>
      </c>
      <c r="AT141" s="46" t="n">
        <f aca="false">IF(NOT($M141="elegans"),AS141/0.0022,IF($M141="elegans",AS141/0.0006))</f>
        <v>0.859277750806705</v>
      </c>
      <c r="AU141" s="45" t="n">
        <f aca="false">Y141-AB141</f>
        <v>3.343873019</v>
      </c>
      <c r="AV141" s="45" t="n">
        <f aca="false">SQRT((AA141^2)+(AD141^2))</f>
        <v>0.202202868426736</v>
      </c>
      <c r="AW141" s="46" t="n">
        <f aca="false">IF(NOT($M141="elegans"),(0.045461+0.0044*((AU141))),IF($M141="elegans",(0.053337+0.0012*((AU141)))))</f>
        <v>0.0601740412836</v>
      </c>
      <c r="AX141" s="46" t="n">
        <f aca="false">IF(NOT($M141="elegans"),(0.0044*((AV141))),IF($M141="elegans",(0.0012*((AV141)))))</f>
        <v>0.000889692621077639</v>
      </c>
      <c r="AY141" s="46" t="n">
        <f aca="false">SQRT(AW141)</f>
        <v>0.245303977308971</v>
      </c>
      <c r="AZ141" s="46" t="n">
        <f aca="false">AY141*(0.5*(AX141/AW141))</f>
        <v>0.0018134492372234</v>
      </c>
      <c r="BA141" s="46" t="n">
        <f aca="false">IF(NOT($M141="elegans"),AZ141/0.0022,IF($M141="elegans",AZ141/0.0006))</f>
        <v>0.824295107828819</v>
      </c>
      <c r="BE141" s="31" t="n">
        <f aca="false">AM141</f>
        <v>-0.138171504077588</v>
      </c>
      <c r="BF141" s="31" t="n">
        <f aca="false">AT141</f>
        <v>0.859277750806705</v>
      </c>
      <c r="BG141" s="31" t="n">
        <f aca="false">BA141</f>
        <v>0.824295107828819</v>
      </c>
      <c r="BH141" s="14" t="n">
        <f aca="false">10^6/((BE141+273.15)^2)</f>
        <v>13.4164332002817</v>
      </c>
      <c r="BI141" s="14" t="n">
        <f aca="false">BH141*(2*($BF141/($BE141+273.15)))</f>
        <v>0.084453795336993</v>
      </c>
      <c r="BJ141" s="14" t="n">
        <f aca="false">BH141*(2*($BG141/($BE141+273.15)))</f>
        <v>0.0810155392345538</v>
      </c>
      <c r="BL141" s="14" t="n">
        <f aca="false">10^6/((AH141+273.15)^2)</f>
        <v>13.1674660101009</v>
      </c>
      <c r="BM141" s="14" t="n">
        <f aca="false">BL141*(2*($AI141/($AH141+273.15)))</f>
        <v>0.00368619712504165</v>
      </c>
      <c r="BN141" s="14" t="n">
        <f aca="false">10^6/((AJ141+273.15)^2)</f>
        <v>13.1674660101009</v>
      </c>
      <c r="BO141" s="14" t="n">
        <f aca="false">BN141*(2*($AK141/($AJ141+273.15)))</f>
        <v>0.00368619712504165</v>
      </c>
    </row>
    <row r="142" s="14" customFormat="true" ht="16" hidden="false" customHeight="false" outlineLevel="0" collapsed="false">
      <c r="A142" s="22" t="s">
        <v>372</v>
      </c>
      <c r="B142" s="87" t="s">
        <v>376</v>
      </c>
      <c r="C142" s="14" t="s">
        <v>53</v>
      </c>
      <c r="D142" s="51" t="s">
        <v>377</v>
      </c>
      <c r="E142" s="24" t="s">
        <v>362</v>
      </c>
      <c r="F142" s="57" t="n">
        <v>5.4547</v>
      </c>
      <c r="G142" s="53" t="n">
        <v>-21.144</v>
      </c>
      <c r="H142" s="22" t="s">
        <v>78</v>
      </c>
      <c r="I142" s="22" t="s">
        <v>359</v>
      </c>
      <c r="J142" s="22" t="n">
        <v>3160</v>
      </c>
      <c r="K142" s="88" t="s">
        <v>372</v>
      </c>
      <c r="L142" s="22" t="s">
        <v>372</v>
      </c>
      <c r="M142" s="22"/>
      <c r="N142" s="22" t="n">
        <v>3160</v>
      </c>
      <c r="O142" s="22" t="s">
        <v>375</v>
      </c>
      <c r="P142" s="22" t="s">
        <v>375</v>
      </c>
      <c r="Q142" s="22" t="n">
        <v>6</v>
      </c>
      <c r="R142" s="25" t="s">
        <v>234</v>
      </c>
      <c r="S142" s="25" t="n">
        <v>34.91</v>
      </c>
      <c r="T142" s="22" t="n">
        <v>24.408464</v>
      </c>
      <c r="U142" s="89" t="n">
        <v>6</v>
      </c>
      <c r="V142" s="42" t="n">
        <v>0.101666666666667</v>
      </c>
      <c r="W142" s="42" t="n">
        <v>0.0386867763798778</v>
      </c>
      <c r="X142" s="90" t="n">
        <f aca="false">W142/SQRT(U142)</f>
        <v>0.0157938103206429</v>
      </c>
      <c r="Y142" s="27" t="n">
        <v>3.92833333333333</v>
      </c>
      <c r="Z142" s="42" t="n">
        <v>0.112679486450137</v>
      </c>
      <c r="AA142" s="27" t="n">
        <f aca="false">Z142/SQRT(U142)</f>
        <v>0.0460012077136146</v>
      </c>
      <c r="AB142" s="27" t="n">
        <v>0.218226655</v>
      </c>
      <c r="AC142" s="27" t="n">
        <v>0.2</v>
      </c>
      <c r="AD142" s="27" t="n">
        <v>0.2</v>
      </c>
      <c r="AE142" s="43" t="n">
        <v>0.6755</v>
      </c>
      <c r="AF142" s="43" t="n">
        <v>0.016748631784915</v>
      </c>
      <c r="AG142" s="61" t="n">
        <f aca="false">AF142*SQRT(U142)</f>
        <v>0.0410256017628017</v>
      </c>
      <c r="AH142" s="29" t="n">
        <v>2.56100034713745</v>
      </c>
      <c r="AI142" s="55" t="n">
        <v>0.0721398255519682</v>
      </c>
      <c r="AJ142" s="44" t="n">
        <v>2.56100034713745</v>
      </c>
      <c r="AK142" s="44" t="n">
        <v>0.0721398255519682</v>
      </c>
      <c r="AL142" s="27" t="s">
        <v>63</v>
      </c>
      <c r="AM142" s="14" t="n">
        <f aca="false">IF(AND(O142="Benthic, infaunal",M142="elegans"),(0.243-SQRT(((Y142)-(AB142))*0.0012+0.053337))/0.0006,IF(O142="Benthic",(0.245-SQRT(((Y142)-(AB142))*0.0044+0.045461))/0.0022,IF(O142="Benthic, infaunal",(0.245-(SQRT(0.045461+0.0044*((Y142-0.47)-(AB142)))))/0.0022,IF(O142="Benthic, epifaunal",(0.245-SQRT(((Y142)-(AB142))*0.0044+0.045461))/0.0022))))</f>
        <v>-1.62128673706599</v>
      </c>
      <c r="AN142" s="45" t="n">
        <f aca="false">Y142-AB142</f>
        <v>3.71010667833333</v>
      </c>
      <c r="AO142" s="45" t="n">
        <f aca="false">SQRT((Z142^2)+(AC142^2))</f>
        <v>0.229557545436143</v>
      </c>
      <c r="AP142" s="46" t="n">
        <f aca="false">IF(NOT($M142="elegans"),(0.045461+0.0044*((AN142))),IF($M142="elegans",(0.053337+0.0012*((AN142)))))</f>
        <v>0.0617854693846667</v>
      </c>
      <c r="AQ142" s="46" t="n">
        <f aca="false">IF(NOT($M142="elegans"),(0.0044*((AO142))),IF($M142="elegans",(0.0012*((AO142)))))</f>
        <v>0.00101005319991903</v>
      </c>
      <c r="AR142" s="46" t="n">
        <f aca="false">SQRT(AP142)</f>
        <v>0.248566830821545</v>
      </c>
      <c r="AS142" s="46" t="n">
        <f aca="false">AR142*(0.5*(AQ142/AP142))</f>
        <v>0.00203175378746366</v>
      </c>
      <c r="AT142" s="46" t="n">
        <f aca="false">IF(NOT($M142="elegans"),AS142/0.0022,IF($M142="elegans",AS142/0.0006))</f>
        <v>0.923524448847119</v>
      </c>
      <c r="AU142" s="45" t="n">
        <f aca="false">Y142-AB142</f>
        <v>3.71010667833333</v>
      </c>
      <c r="AV142" s="45" t="n">
        <f aca="false">SQRT((AA142^2)+(AD142^2))</f>
        <v>0.205222101906961</v>
      </c>
      <c r="AW142" s="46" t="n">
        <f aca="false">IF(NOT($M142="elegans"),(0.045461+0.0044*((AU142))),IF($M142="elegans",(0.053337+0.0012*((AU142)))))</f>
        <v>0.0617854693846667</v>
      </c>
      <c r="AX142" s="46" t="n">
        <f aca="false">IF(NOT($M142="elegans"),(0.0044*((AV142))),IF($M142="elegans",(0.0012*((AV142)))))</f>
        <v>0.000902977248390629</v>
      </c>
      <c r="AY142" s="46" t="n">
        <f aca="false">SQRT(AW142)</f>
        <v>0.248566830821545</v>
      </c>
      <c r="AZ142" s="46" t="n">
        <f aca="false">AY142*(0.5*(AX142/AW142))</f>
        <v>0.00181636714240225</v>
      </c>
      <c r="BA142" s="46" t="n">
        <f aca="false">IF(NOT($M142="elegans"),AZ142/0.0022,IF($M142="elegans",AZ142/0.0006))</f>
        <v>0.825621428364661</v>
      </c>
      <c r="BE142" s="31" t="n">
        <f aca="false">AM142</f>
        <v>-1.62128673706599</v>
      </c>
      <c r="BF142" s="31" t="n">
        <f aca="false">AT142</f>
        <v>0.923524448847119</v>
      </c>
      <c r="BG142" s="31" t="n">
        <f aca="false">BA142</f>
        <v>0.825621428364661</v>
      </c>
      <c r="BH142" s="14" t="n">
        <f aca="false">10^6/((BE142+273.15)^2)</f>
        <v>13.5633970988594</v>
      </c>
      <c r="BI142" s="14" t="n">
        <f aca="false">BH142*(2*($BF142/($BE142+273.15)))</f>
        <v>0.0922637512599938</v>
      </c>
      <c r="BJ142" s="14" t="n">
        <f aca="false">BH142*(2*($BG142/($BE142+273.15)))</f>
        <v>0.0824828516415031</v>
      </c>
      <c r="BL142" s="14" t="n">
        <f aca="false">10^6/((AH142+273.15)^2)</f>
        <v>13.1550290673933</v>
      </c>
      <c r="BM142" s="14" t="n">
        <f aca="false">BL142*(2*($AI142/($AH142+273.15)))</f>
        <v>0.00688403074855899</v>
      </c>
      <c r="BN142" s="14" t="n">
        <f aca="false">10^6/((AJ142+273.15)^2)</f>
        <v>13.1550290673933</v>
      </c>
      <c r="BO142" s="14" t="n">
        <f aca="false">BN142*(2*($AK142/($AJ142+273.15)))</f>
        <v>0.00688403074855899</v>
      </c>
    </row>
    <row r="143" s="14" customFormat="true" ht="16" hidden="false" customHeight="false" outlineLevel="0" collapsed="false">
      <c r="A143" s="22" t="s">
        <v>372</v>
      </c>
      <c r="B143" s="87" t="s">
        <v>378</v>
      </c>
      <c r="C143" s="14" t="s">
        <v>53</v>
      </c>
      <c r="D143" s="51" t="s">
        <v>379</v>
      </c>
      <c r="E143" s="24" t="s">
        <v>368</v>
      </c>
      <c r="F143" s="52" t="n">
        <v>4.9198</v>
      </c>
      <c r="G143" s="52" t="n">
        <v>-20.499</v>
      </c>
      <c r="H143" s="22" t="s">
        <v>78</v>
      </c>
      <c r="I143" s="22" t="s">
        <v>359</v>
      </c>
      <c r="J143" s="22" t="n">
        <v>2937</v>
      </c>
      <c r="K143" s="88" t="s">
        <v>372</v>
      </c>
      <c r="L143" s="22" t="s">
        <v>372</v>
      </c>
      <c r="M143" s="22"/>
      <c r="N143" s="22" t="n">
        <v>2937</v>
      </c>
      <c r="O143" s="22" t="s">
        <v>375</v>
      </c>
      <c r="P143" s="22" t="s">
        <v>375</v>
      </c>
      <c r="Q143" s="22" t="n">
        <v>6</v>
      </c>
      <c r="R143" s="25" t="s">
        <v>234</v>
      </c>
      <c r="S143" s="25" t="n">
        <v>34.91</v>
      </c>
      <c r="T143" s="22" t="n">
        <v>28.3941887550201</v>
      </c>
      <c r="U143" s="89" t="n">
        <v>5</v>
      </c>
      <c r="V143" s="42" t="n">
        <v>0.196</v>
      </c>
      <c r="W143" s="42" t="n">
        <v>0.0304959013639538</v>
      </c>
      <c r="X143" s="90" t="n">
        <f aca="false">W143/SQRT(U143)</f>
        <v>0.0136381816969859</v>
      </c>
      <c r="Y143" s="27" t="n">
        <v>3.656</v>
      </c>
      <c r="Z143" s="42" t="n">
        <v>0.0296647939483828</v>
      </c>
      <c r="AA143" s="27" t="n">
        <f aca="false">Z143/SQRT(U143)</f>
        <v>0.0132664991614216</v>
      </c>
      <c r="AB143" s="27" t="n">
        <v>0.222318113</v>
      </c>
      <c r="AC143" s="27" t="n">
        <v>0.2</v>
      </c>
      <c r="AD143" s="27" t="n">
        <v>0.2</v>
      </c>
      <c r="AE143" s="43" t="n">
        <v>0.6588</v>
      </c>
      <c r="AF143" s="43" t="n">
        <v>0.00936696322187718</v>
      </c>
      <c r="AG143" s="61" t="n">
        <f aca="false">AF143*SQRT(U143)</f>
        <v>0.0209451665068578</v>
      </c>
      <c r="AH143" s="29" t="n">
        <v>2.66815428733826</v>
      </c>
      <c r="AI143" s="55" t="n">
        <v>0.0556307156697254</v>
      </c>
      <c r="AJ143" s="44" t="n">
        <v>2.66815428733826</v>
      </c>
      <c r="AK143" s="44" t="n">
        <v>0.0556307156697254</v>
      </c>
      <c r="AL143" s="27" t="s">
        <v>63</v>
      </c>
      <c r="AM143" s="14" t="n">
        <f aca="false">IF(AND(O143="Benthic, infaunal",M143="elegans"),(0.243-SQRT(((Y143)-(AB143))*0.0012+0.053337))/0.0006,IF(O143="Benthic",(0.245-SQRT(((Y143)-(AB143))*0.0044+0.045461))/0.0022,IF(O143="Benthic, infaunal",(0.245-(SQRT(0.045461+0.0044*((Y143-0.47)-(AB143)))))/0.0022,IF(O143="Benthic, epifaunal",(0.245-SQRT(((Y143)-(AB143))*0.0044+0.045461))/0.0022))))</f>
        <v>-0.503684973844229</v>
      </c>
      <c r="AN143" s="45" t="n">
        <f aca="false">Y143-AB143</f>
        <v>3.433681887</v>
      </c>
      <c r="AO143" s="45" t="n">
        <f aca="false">SQRT((Z143^2)+(AC143^2))</f>
        <v>0.202188031297602</v>
      </c>
      <c r="AP143" s="46" t="n">
        <f aca="false">IF(NOT($M143="elegans"),(0.045461+0.0044*((AN143))),IF($M143="elegans",(0.053337+0.0012*((AN143)))))</f>
        <v>0.0605692003028</v>
      </c>
      <c r="AQ143" s="46" t="n">
        <f aca="false">IF(NOT($M143="elegans"),(0.0044*((AO143))),IF($M143="elegans",(0.0012*((AO143)))))</f>
        <v>0.000889627337709448</v>
      </c>
      <c r="AR143" s="46" t="n">
        <f aca="false">SQRT(AP143)</f>
        <v>0.246108106942457</v>
      </c>
      <c r="AS143" s="46" t="n">
        <f aca="false">AR143*(0.5*(AQ143/AP143))</f>
        <v>0.00180739137113726</v>
      </c>
      <c r="AT143" s="46" t="n">
        <f aca="false">IF(NOT($M143="elegans"),AS143/0.0022,IF($M143="elegans",AS143/0.0006))</f>
        <v>0.821541532335119</v>
      </c>
      <c r="AU143" s="45" t="n">
        <f aca="false">Y143-AB143</f>
        <v>3.433681887</v>
      </c>
      <c r="AV143" s="45" t="n">
        <f aca="false">SQRT((AA143^2)+(AD143^2))</f>
        <v>0.200439517061881</v>
      </c>
      <c r="AW143" s="46" t="n">
        <f aca="false">IF(NOT($M143="elegans"),(0.045461+0.0044*((AU143))),IF($M143="elegans",(0.053337+0.0012*((AU143)))))</f>
        <v>0.0605692003028</v>
      </c>
      <c r="AX143" s="46" t="n">
        <f aca="false">IF(NOT($M143="elegans"),(0.0044*((AV143))),IF($M143="elegans",(0.0012*((AV143)))))</f>
        <v>0.000881933875072276</v>
      </c>
      <c r="AY143" s="46" t="n">
        <f aca="false">SQRT(AW143)</f>
        <v>0.246108106942457</v>
      </c>
      <c r="AZ143" s="46" t="n">
        <f aca="false">AY143*(0.5*(AX143/AW143))</f>
        <v>0.001791761120812</v>
      </c>
      <c r="BA143" s="46" t="n">
        <f aca="false">IF(NOT($M143="elegans"),AZ143/0.0022,IF($M143="elegans",AZ143/0.0006))</f>
        <v>0.814436873096365</v>
      </c>
      <c r="BE143" s="31" t="n">
        <f aca="false">AM143</f>
        <v>-0.503684973844229</v>
      </c>
      <c r="BF143" s="31" t="n">
        <f aca="false">AT143</f>
        <v>0.821541532335119</v>
      </c>
      <c r="BG143" s="31" t="n">
        <f aca="false">BA143</f>
        <v>0.814436873096365</v>
      </c>
      <c r="BH143" s="14" t="n">
        <f aca="false">10^6/((BE143+273.15)^2)</f>
        <v>13.4524298295433</v>
      </c>
      <c r="BI143" s="14" t="n">
        <f aca="false">BH143*(2*($BF143/($BE143+273.15)))</f>
        <v>0.0810700838904309</v>
      </c>
      <c r="BJ143" s="14" t="n">
        <f aca="false">BH143*(2*($BG143/($BE143+273.15)))</f>
        <v>0.0803689929560973</v>
      </c>
      <c r="BL143" s="14" t="n">
        <f aca="false">10^6/((AH143+273.15)^2)</f>
        <v>13.1448097300338</v>
      </c>
      <c r="BM143" s="14" t="n">
        <f aca="false">BL143*(2*($AI143/($AH143+273.15)))</f>
        <v>0.00530244410135783</v>
      </c>
      <c r="BN143" s="14" t="n">
        <f aca="false">10^6/((AJ143+273.15)^2)</f>
        <v>13.1448097300338</v>
      </c>
      <c r="BO143" s="14" t="n">
        <f aca="false">BN143*(2*($AK143/($AJ143+273.15)))</f>
        <v>0.00530244410135783</v>
      </c>
    </row>
    <row r="144" s="14" customFormat="true" ht="16" hidden="false" customHeight="false" outlineLevel="0" collapsed="false">
      <c r="A144" s="22" t="s">
        <v>372</v>
      </c>
      <c r="B144" s="87" t="s">
        <v>392</v>
      </c>
      <c r="C144" s="14" t="s">
        <v>53</v>
      </c>
      <c r="D144" s="51" t="s">
        <v>393</v>
      </c>
      <c r="E144" s="24" t="s">
        <v>390</v>
      </c>
      <c r="F144" s="57" t="n">
        <v>26.2508</v>
      </c>
      <c r="G144" s="59" t="n">
        <v>-77.7037</v>
      </c>
      <c r="H144" s="22" t="s">
        <v>78</v>
      </c>
      <c r="I144" s="22" t="s">
        <v>391</v>
      </c>
      <c r="J144" s="22" t="n">
        <v>479</v>
      </c>
      <c r="K144" s="88" t="s">
        <v>372</v>
      </c>
      <c r="L144" s="22" t="s">
        <v>372</v>
      </c>
      <c r="M144" s="22"/>
      <c r="N144" s="22" t="n">
        <v>479</v>
      </c>
      <c r="O144" s="22" t="s">
        <v>375</v>
      </c>
      <c r="P144" s="22" t="s">
        <v>375</v>
      </c>
      <c r="Q144" s="22" t="n">
        <v>6</v>
      </c>
      <c r="R144" s="25" t="s">
        <v>234</v>
      </c>
      <c r="S144" s="25" t="n">
        <v>36.31</v>
      </c>
      <c r="T144" s="22" t="n">
        <v>121.684253968254</v>
      </c>
      <c r="U144" s="89" t="n">
        <v>3</v>
      </c>
      <c r="V144" s="42" t="n">
        <v>1.22333333333333</v>
      </c>
      <c r="W144" s="42" t="n">
        <v>0.0929157324317758</v>
      </c>
      <c r="X144" s="90" t="n">
        <f aca="false">W144/SQRT(U144)</f>
        <v>0.053644923131437</v>
      </c>
      <c r="Y144" s="27" t="n">
        <v>1.11666666666667</v>
      </c>
      <c r="Z144" s="42" t="n">
        <v>0.0351188458428424</v>
      </c>
      <c r="AA144" s="27" t="n">
        <f aca="false">Z144/SQRT(U144)</f>
        <v>0.020275875100994</v>
      </c>
      <c r="AB144" s="27" t="n">
        <v>0.8292917558</v>
      </c>
      <c r="AC144" s="27" t="n">
        <v>0.2</v>
      </c>
      <c r="AD144" s="27" t="n">
        <v>0.2</v>
      </c>
      <c r="AE144" s="43" t="n">
        <v>0.653333333333333</v>
      </c>
      <c r="AF144" s="43" t="n">
        <v>0.0112891294812507</v>
      </c>
      <c r="AG144" s="61" t="n">
        <f aca="false">AF144*SQRT(U144)</f>
        <v>0.01955334583475</v>
      </c>
      <c r="AH144" s="29" t="n">
        <v>16.4746356964111</v>
      </c>
      <c r="AI144" s="55" t="n">
        <v>0.0757131330668926</v>
      </c>
      <c r="AJ144" s="44" t="n">
        <v>16.4746356964111</v>
      </c>
      <c r="AK144" s="44" t="n">
        <v>0.0757131330668926</v>
      </c>
      <c r="AL144" s="27" t="s">
        <v>63</v>
      </c>
      <c r="AM144" s="14" t="n">
        <f aca="false">IF(AND(O144="Benthic, infaunal",M144="elegans"),(0.243-SQRT(((Y144)-(AB144))*0.0012+0.053337))/0.0006,IF(O144="Benthic",(0.245-SQRT(((Y144)-(AB144))*0.0044+0.045461))/0.0022,IF(O144="Benthic, infaunal",(0.245-(SQRT(0.045461+0.0044*((Y144-0.47)-(AB144)))))/0.0022,IF(O144="Benthic, epifaunal",(0.245-SQRT(((Y144)-(AB144))*0.0044+0.045461))/0.0022))))</f>
        <v>13.1087712728378</v>
      </c>
      <c r="AN144" s="45" t="n">
        <f aca="false">Y144-AB144</f>
        <v>0.287374910866667</v>
      </c>
      <c r="AO144" s="45" t="n">
        <f aca="false">SQRT((Z144^2)+(AC144^2))</f>
        <v>0.203059925473574</v>
      </c>
      <c r="AP144" s="46" t="n">
        <f aca="false">IF(NOT($M144="elegans"),(0.045461+0.0044*((AN144))),IF($M144="elegans",(0.053337+0.0012*((AN144)))))</f>
        <v>0.0467254496078133</v>
      </c>
      <c r="AQ144" s="46" t="n">
        <f aca="false">IF(NOT($M144="elegans"),(0.0044*((AO144))),IF($M144="elegans",(0.0012*((AO144)))))</f>
        <v>0.000893463672083725</v>
      </c>
      <c r="AR144" s="46" t="n">
        <f aca="false">SQRT(AP144)</f>
        <v>0.216160703199757</v>
      </c>
      <c r="AS144" s="46" t="n">
        <f aca="false">AR144*(0.5*(AQ144/AP144))</f>
        <v>0.00206666535327206</v>
      </c>
      <c r="AT144" s="46" t="n">
        <f aca="false">IF(NOT($M144="elegans"),AS144/0.0022,IF($M144="elegans",AS144/0.0006))</f>
        <v>0.939393342396391</v>
      </c>
      <c r="AU144" s="45" t="n">
        <f aca="false">Y144-AB144</f>
        <v>0.287374910866667</v>
      </c>
      <c r="AV144" s="45" t="n">
        <f aca="false">SQRT((AA144^2)+(AD144^2))</f>
        <v>0.201025150444195</v>
      </c>
      <c r="AW144" s="46" t="n">
        <f aca="false">IF(NOT($M144="elegans"),(0.045461+0.0044*((AU144))),IF($M144="elegans",(0.053337+0.0012*((AU144)))))</f>
        <v>0.0467254496078133</v>
      </c>
      <c r="AX144" s="46" t="n">
        <f aca="false">IF(NOT($M144="elegans"),(0.0044*((AV144))),IF($M144="elegans",(0.0012*((AV144)))))</f>
        <v>0.000884510661954457</v>
      </c>
      <c r="AY144" s="46" t="n">
        <f aca="false">SQRT(AW144)</f>
        <v>0.216160703199757</v>
      </c>
      <c r="AZ144" s="46" t="n">
        <f aca="false">AY144*(0.5*(AX144/AW144))</f>
        <v>0.00204595620032072</v>
      </c>
      <c r="BA144" s="46" t="n">
        <f aca="false">IF(NOT($M144="elegans"),AZ144/0.0022,IF($M144="elegans",AZ144/0.0006))</f>
        <v>0.929980091054871</v>
      </c>
      <c r="BE144" s="31" t="n">
        <f aca="false">AM144</f>
        <v>13.1087712728378</v>
      </c>
      <c r="BF144" s="31" t="n">
        <f aca="false">AT144</f>
        <v>0.939393342396391</v>
      </c>
      <c r="BG144" s="31" t="n">
        <f aca="false">BA144</f>
        <v>0.929980091054871</v>
      </c>
      <c r="BH144" s="14" t="n">
        <f aca="false">10^6/((BE144+273.15)^2)</f>
        <v>12.2034434896582</v>
      </c>
      <c r="BI144" s="14" t="n">
        <f aca="false">BH144*(2*($BF144/($BE144+273.15)))</f>
        <v>0.0800941995071245</v>
      </c>
      <c r="BJ144" s="14" t="n">
        <f aca="false">BH144*(2*($BG144/($BE144+273.15)))</f>
        <v>0.0792916104350803</v>
      </c>
      <c r="BL144" s="14" t="n">
        <f aca="false">10^6/((AH144+273.15)^2)</f>
        <v>11.9214477303699</v>
      </c>
      <c r="BM144" s="14" t="n">
        <f aca="false">BL144*(2*($AI144/($AH144+273.15)))</f>
        <v>0.00623296534280758</v>
      </c>
      <c r="BN144" s="14" t="n">
        <f aca="false">10^6/((AJ144+273.15)^2)</f>
        <v>11.9214477303699</v>
      </c>
      <c r="BO144" s="14" t="n">
        <f aca="false">BN144*(2*($AK144/($AJ144+273.15)))</f>
        <v>0.00623296534280758</v>
      </c>
    </row>
    <row r="145" s="14" customFormat="true" ht="16" hidden="false" customHeight="false" outlineLevel="0" collapsed="false">
      <c r="A145" s="22" t="s">
        <v>372</v>
      </c>
      <c r="B145" s="87" t="s">
        <v>397</v>
      </c>
      <c r="C145" s="14" t="s">
        <v>53</v>
      </c>
      <c r="D145" s="51" t="s">
        <v>398</v>
      </c>
      <c r="E145" s="24" t="s">
        <v>396</v>
      </c>
      <c r="F145" s="57" t="n">
        <v>26.2258</v>
      </c>
      <c r="G145" s="59" t="n">
        <v>-77.7018</v>
      </c>
      <c r="H145" s="22" t="s">
        <v>78</v>
      </c>
      <c r="I145" s="22" t="s">
        <v>391</v>
      </c>
      <c r="J145" s="22" t="n">
        <v>830</v>
      </c>
      <c r="K145" s="88" t="s">
        <v>372</v>
      </c>
      <c r="L145" s="22" t="s">
        <v>372</v>
      </c>
      <c r="M145" s="22"/>
      <c r="N145" s="22" t="n">
        <v>830</v>
      </c>
      <c r="O145" s="22" t="s">
        <v>375</v>
      </c>
      <c r="P145" s="22" t="s">
        <v>375</v>
      </c>
      <c r="Q145" s="22" t="n">
        <v>6</v>
      </c>
      <c r="R145" s="25" t="s">
        <v>234</v>
      </c>
      <c r="S145" s="25" t="n">
        <v>35.17</v>
      </c>
      <c r="T145" s="22" t="n">
        <v>53.9396640316206</v>
      </c>
      <c r="U145" s="89" t="n">
        <v>3</v>
      </c>
      <c r="V145" s="42" t="n">
        <v>0.62</v>
      </c>
      <c r="W145" s="42" t="n">
        <v>0.0173205080756888</v>
      </c>
      <c r="X145" s="90" t="n">
        <f aca="false">W145/SQRT(U145)</f>
        <v>0.01</v>
      </c>
      <c r="Y145" s="27" t="n">
        <v>2.3</v>
      </c>
      <c r="Z145" s="42" t="n">
        <v>0.0458257569495583</v>
      </c>
      <c r="AA145" s="27" t="n">
        <f aca="false">Z145/SQRT(U145)</f>
        <v>0.0264575131106459</v>
      </c>
      <c r="AB145" s="27" t="n">
        <v>0.377079863</v>
      </c>
      <c r="AC145" s="27" t="n">
        <v>0.2</v>
      </c>
      <c r="AD145" s="27" t="n">
        <v>0.2</v>
      </c>
      <c r="AE145" s="43" t="n">
        <v>0.653333333333333</v>
      </c>
      <c r="AF145" s="43" t="n">
        <v>0.0108371788046726</v>
      </c>
      <c r="AG145" s="61" t="n">
        <f aca="false">AF145*SQRT(U145)</f>
        <v>0.0187705443004015</v>
      </c>
      <c r="AH145" s="29" t="n">
        <v>8.60078086853028</v>
      </c>
      <c r="AI145" s="55" t="n">
        <v>0.0757131330668926</v>
      </c>
      <c r="AJ145" s="44" t="n">
        <v>8.60078086853028</v>
      </c>
      <c r="AK145" s="44" t="n">
        <v>0.0757131330668926</v>
      </c>
      <c r="AL145" s="27" t="s">
        <v>63</v>
      </c>
      <c r="AM145" s="14" t="n">
        <f aca="false">IF(AND(O145="Benthic, infaunal",M145="elegans"),(0.243-SQRT(((Y145)-(AB145))*0.0012+0.053337))/0.0006,IF(O145="Benthic",(0.245-SQRT(((Y145)-(AB145))*0.0044+0.045461))/0.0022,IF(O145="Benthic, infaunal",(0.245-(SQRT(0.045461+0.0044*((Y145-0.47)-(AB145)))))/0.0022,IF(O145="Benthic, epifaunal",(0.245-SQRT(((Y145)-(AB145))*0.0044+0.045461))/0.0022))))</f>
        <v>5.813279611535</v>
      </c>
      <c r="AN145" s="45" t="n">
        <f aca="false">Y145-AB145</f>
        <v>1.922920137</v>
      </c>
      <c r="AO145" s="45" t="n">
        <f aca="false">SQRT((Z145^2)+(AC145^2))</f>
        <v>0.205182845286832</v>
      </c>
      <c r="AP145" s="46" t="n">
        <f aca="false">IF(NOT($M145="elegans"),(0.045461+0.0044*((AN145))),IF($M145="elegans",(0.053337+0.0012*((AN145)))))</f>
        <v>0.0539218486028</v>
      </c>
      <c r="AQ145" s="46" t="n">
        <f aca="false">IF(NOT($M145="elegans"),(0.0044*((AO145))),IF($M145="elegans",(0.0012*((AO145)))))</f>
        <v>0.000902804519262061</v>
      </c>
      <c r="AR145" s="46" t="n">
        <f aca="false">SQRT(AP145)</f>
        <v>0.232210784854623</v>
      </c>
      <c r="AS145" s="46" t="n">
        <f aca="false">AR145*(0.5*(AQ145/AP145))</f>
        <v>0.00194393322391823</v>
      </c>
      <c r="AT145" s="46" t="n">
        <f aca="false">IF(NOT($M145="elegans"),AS145/0.0022,IF($M145="elegans",AS145/0.0006))</f>
        <v>0.883606010871924</v>
      </c>
      <c r="AU145" s="45" t="n">
        <f aca="false">Y145-AB145</f>
        <v>1.922920137</v>
      </c>
      <c r="AV145" s="45" t="n">
        <f aca="false">SQRT((AA145^2)+(AD145^2))</f>
        <v>0.20174241001832</v>
      </c>
      <c r="AW145" s="46" t="n">
        <f aca="false">IF(NOT($M145="elegans"),(0.045461+0.0044*((AU145))),IF($M145="elegans",(0.053337+0.0012*((AU145)))))</f>
        <v>0.0539218486028</v>
      </c>
      <c r="AX145" s="46" t="n">
        <f aca="false">IF(NOT($M145="elegans"),(0.0044*((AV145))),IF($M145="elegans",(0.0012*((AV145)))))</f>
        <v>0.000887666604080609</v>
      </c>
      <c r="AY145" s="46" t="n">
        <f aca="false">SQRT(AW145)</f>
        <v>0.232210784854623</v>
      </c>
      <c r="AZ145" s="46" t="n">
        <f aca="false">AY145*(0.5*(AX145/AW145))</f>
        <v>0.00191133802126447</v>
      </c>
      <c r="BA145" s="46" t="n">
        <f aca="false">IF(NOT($M145="elegans"),AZ145/0.0022,IF($M145="elegans",AZ145/0.0006))</f>
        <v>0.868790009665667</v>
      </c>
      <c r="BE145" s="31" t="n">
        <f aca="false">AM145</f>
        <v>5.813279611535</v>
      </c>
      <c r="BF145" s="31" t="n">
        <f aca="false">AT145</f>
        <v>0.883606010871924</v>
      </c>
      <c r="BG145" s="31" t="n">
        <f aca="false">BA145</f>
        <v>0.868790009665667</v>
      </c>
      <c r="BH145" s="14" t="n">
        <f aca="false">10^6/((BE145+273.15)^2)</f>
        <v>12.8500826115702</v>
      </c>
      <c r="BI145" s="14" t="n">
        <f aca="false">BH145*(2*($BF145/($BE145+273.15)))</f>
        <v>0.0814043357361986</v>
      </c>
      <c r="BJ145" s="14" t="n">
        <f aca="false">BH145*(2*($BG145/($BE145+273.15)))</f>
        <v>0.0800393758766885</v>
      </c>
      <c r="BL145" s="14" t="n">
        <f aca="false">10^6/((AH145+273.15)^2)</f>
        <v>12.5970758187159</v>
      </c>
      <c r="BM145" s="14" t="n">
        <f aca="false">BL145*(2*($AI145/($AH145+273.15)))</f>
        <v>0.00677026750219525</v>
      </c>
      <c r="BN145" s="14" t="n">
        <f aca="false">10^6/((AJ145+273.15)^2)</f>
        <v>12.5970758187159</v>
      </c>
      <c r="BO145" s="14" t="n">
        <f aca="false">BN145*(2*($AK145/($AJ145+273.15)))</f>
        <v>0.00677026750219525</v>
      </c>
    </row>
    <row r="146" s="14" customFormat="true" ht="16" hidden="false" customHeight="false" outlineLevel="0" collapsed="false">
      <c r="A146" s="22" t="s">
        <v>372</v>
      </c>
      <c r="B146" s="87" t="s">
        <v>399</v>
      </c>
      <c r="C146" s="14" t="s">
        <v>53</v>
      </c>
      <c r="D146" s="51" t="s">
        <v>400</v>
      </c>
      <c r="E146" s="24" t="s">
        <v>401</v>
      </c>
      <c r="F146" s="57" t="n">
        <v>26.1928</v>
      </c>
      <c r="G146" s="57" t="n">
        <v>-77.7092</v>
      </c>
      <c r="H146" s="22" t="s">
        <v>78</v>
      </c>
      <c r="I146" s="22" t="s">
        <v>391</v>
      </c>
      <c r="J146" s="22" t="n">
        <v>1038</v>
      </c>
      <c r="K146" s="88" t="s">
        <v>372</v>
      </c>
      <c r="L146" s="22" t="s">
        <v>372</v>
      </c>
      <c r="M146" s="22"/>
      <c r="N146" s="22" t="n">
        <v>1038</v>
      </c>
      <c r="O146" s="22" t="s">
        <v>375</v>
      </c>
      <c r="P146" s="22" t="s">
        <v>375</v>
      </c>
      <c r="Q146" s="22" t="n">
        <v>6</v>
      </c>
      <c r="R146" s="25" t="s">
        <v>234</v>
      </c>
      <c r="S146" s="25" t="n">
        <v>35.07</v>
      </c>
      <c r="T146" s="22" t="n">
        <v>47.6362786561265</v>
      </c>
      <c r="U146" s="89" t="n">
        <v>5</v>
      </c>
      <c r="V146" s="42" t="n">
        <v>1.124</v>
      </c>
      <c r="W146" s="42" t="n">
        <v>0.0841427358718505</v>
      </c>
      <c r="X146" s="90" t="n">
        <f aca="false">W146/SQRT(U146)</f>
        <v>0.0376297754444535</v>
      </c>
      <c r="Y146" s="27" t="n">
        <v>2.756</v>
      </c>
      <c r="Z146" s="42" t="n">
        <v>0.0581377674149945</v>
      </c>
      <c r="AA146" s="27" t="n">
        <f aca="false">Z146/SQRT(U146)</f>
        <v>0.026</v>
      </c>
      <c r="AB146" s="27" t="n">
        <v>0.2958504282</v>
      </c>
      <c r="AC146" s="27" t="n">
        <v>0.2</v>
      </c>
      <c r="AD146" s="27" t="n">
        <v>0.2</v>
      </c>
      <c r="AE146" s="43" t="n">
        <v>0.653</v>
      </c>
      <c r="AF146" s="43" t="n">
        <v>0.0113357840487546</v>
      </c>
      <c r="AG146" s="61" t="n">
        <f aca="false">AF146*SQRT(U146)</f>
        <v>0.0253475837112732</v>
      </c>
      <c r="AH146" s="29" t="n">
        <v>5.50696525573731</v>
      </c>
      <c r="AI146" s="55" t="n">
        <v>0.0757131330668926</v>
      </c>
      <c r="AJ146" s="44" t="n">
        <v>5.50696525573731</v>
      </c>
      <c r="AK146" s="44" t="n">
        <v>0.0757131330668926</v>
      </c>
      <c r="AL146" s="27" t="s">
        <v>63</v>
      </c>
      <c r="AM146" s="14" t="n">
        <f aca="false">IF(AND(O146="Benthic, infaunal",M146="elegans"),(0.243-SQRT(((Y146)-(AB146))*0.0012+0.053337))/0.0006,IF(O146="Benthic",(0.245-SQRT(((Y146)-(AB146))*0.0044+0.045461))/0.0022,IF(O146="Benthic, infaunal",(0.245-(SQRT(0.045461+0.0044*((Y146-0.47)-(AB146)))))/0.0022,IF(O146="Benthic, epifaunal",(0.245-SQRT(((Y146)-(AB146))*0.0044+0.045461))/0.0022))))</f>
        <v>3.52455158558108</v>
      </c>
      <c r="AN146" s="45" t="n">
        <f aca="false">Y146-AB146</f>
        <v>2.4601495718</v>
      </c>
      <c r="AO146" s="45" t="n">
        <f aca="false">SQRT((Z146^2)+(AC146^2))</f>
        <v>0.208278659492517</v>
      </c>
      <c r="AP146" s="46" t="n">
        <f aca="false">IF(NOT($M146="elegans"),(0.045461+0.0044*((AN146))),IF($M146="elegans",(0.053337+0.0012*((AN146)))))</f>
        <v>0.05628565811592</v>
      </c>
      <c r="AQ146" s="46" t="n">
        <f aca="false">IF(NOT($M146="elegans"),(0.0044*((AO146))),IF($M146="elegans",(0.0012*((AO146)))))</f>
        <v>0.000916426101767077</v>
      </c>
      <c r="AR146" s="46" t="n">
        <f aca="false">SQRT(AP146)</f>
        <v>0.237245986511722</v>
      </c>
      <c r="AS146" s="46" t="n">
        <f aca="false">AR146*(0.5*(AQ146/AP146))</f>
        <v>0.00193138378280173</v>
      </c>
      <c r="AT146" s="46" t="n">
        <f aca="false">IF(NOT($M146="elegans"),AS146/0.0022,IF($M146="elegans",AS146/0.0006))</f>
        <v>0.877901719455334</v>
      </c>
      <c r="AU146" s="45" t="n">
        <f aca="false">Y146-AB146</f>
        <v>2.4601495718</v>
      </c>
      <c r="AV146" s="45" t="n">
        <f aca="false">SQRT((AA146^2)+(AD146^2))</f>
        <v>0.201682919455268</v>
      </c>
      <c r="AW146" s="46" t="n">
        <f aca="false">IF(NOT($M146="elegans"),(0.045461+0.0044*((AU146))),IF($M146="elegans",(0.053337+0.0012*((AU146)))))</f>
        <v>0.05628565811592</v>
      </c>
      <c r="AX146" s="46" t="n">
        <f aca="false">IF(NOT($M146="elegans"),(0.0044*((AV146))),IF($M146="elegans",(0.0012*((AV146)))))</f>
        <v>0.000887404845603178</v>
      </c>
      <c r="AY146" s="46" t="n">
        <f aca="false">SQRT(AW146)</f>
        <v>0.237245986511722</v>
      </c>
      <c r="AZ146" s="46" t="n">
        <f aca="false">AY146*(0.5*(AX146/AW146))</f>
        <v>0.00187022098592874</v>
      </c>
      <c r="BA146" s="46" t="n">
        <f aca="false">IF(NOT($M146="elegans"),AZ146/0.0022,IF($M146="elegans",AZ146/0.0006))</f>
        <v>0.850100448149428</v>
      </c>
      <c r="BE146" s="31" t="n">
        <f aca="false">AM146</f>
        <v>3.52455158558108</v>
      </c>
      <c r="BF146" s="31" t="n">
        <f aca="false">AT146</f>
        <v>0.877901719455334</v>
      </c>
      <c r="BG146" s="31" t="n">
        <f aca="false">BA146</f>
        <v>0.850100448149428</v>
      </c>
      <c r="BH146" s="14" t="n">
        <f aca="false">10^6/((BE146+273.15)^2)</f>
        <v>13.0635607885105</v>
      </c>
      <c r="BI146" s="14" t="n">
        <f aca="false">BH146*(2*($BF146/($BE146+273.15)))</f>
        <v>0.0829026190715284</v>
      </c>
      <c r="BJ146" s="14" t="n">
        <f aca="false">BH146*(2*($BG146/($BE146+273.15)))</f>
        <v>0.0802772702953492</v>
      </c>
      <c r="BL146" s="14" t="n">
        <f aca="false">10^6/((AH146+273.15)^2)</f>
        <v>12.8783491090031</v>
      </c>
      <c r="BM146" s="14" t="n">
        <f aca="false">BL146*(2*($AI146/($AH146+273.15)))</f>
        <v>0.00699828306015596</v>
      </c>
      <c r="BN146" s="14" t="n">
        <f aca="false">10^6/((AJ146+273.15)^2)</f>
        <v>12.8783491090031</v>
      </c>
      <c r="BO146" s="14" t="n">
        <f aca="false">BN146*(2*($AK146/($AJ146+273.15)))</f>
        <v>0.00699828306015596</v>
      </c>
    </row>
    <row r="147" s="14" customFormat="true" ht="16" hidden="false" customHeight="false" outlineLevel="0" collapsed="false">
      <c r="A147" s="22" t="s">
        <v>372</v>
      </c>
      <c r="B147" s="87" t="s">
        <v>404</v>
      </c>
      <c r="C147" s="14" t="s">
        <v>53</v>
      </c>
      <c r="D147" s="51" t="s">
        <v>405</v>
      </c>
      <c r="E147" s="24" t="s">
        <v>406</v>
      </c>
      <c r="F147" s="57" t="n">
        <v>26.1685</v>
      </c>
      <c r="G147" s="59" t="n">
        <v>-77.7075</v>
      </c>
      <c r="H147" s="22" t="s">
        <v>78</v>
      </c>
      <c r="I147" s="22" t="s">
        <v>391</v>
      </c>
      <c r="J147" s="22" t="n">
        <v>1140</v>
      </c>
      <c r="K147" s="88" t="s">
        <v>372</v>
      </c>
      <c r="L147" s="22" t="s">
        <v>372</v>
      </c>
      <c r="M147" s="22"/>
      <c r="N147" s="22" t="n">
        <v>1140</v>
      </c>
      <c r="O147" s="22" t="s">
        <v>375</v>
      </c>
      <c r="P147" s="22" t="s">
        <v>375</v>
      </c>
      <c r="Q147" s="22" t="n">
        <v>6</v>
      </c>
      <c r="R147" s="25" t="s">
        <v>234</v>
      </c>
      <c r="S147" s="25" t="n">
        <v>35.04</v>
      </c>
      <c r="T147" s="22" t="n">
        <v>47.3961956521739</v>
      </c>
      <c r="U147" s="89" t="n">
        <v>4</v>
      </c>
      <c r="V147" s="42" t="n">
        <v>0.845</v>
      </c>
      <c r="W147" s="42" t="n">
        <v>0.0412310562561766</v>
      </c>
      <c r="X147" s="90" t="n">
        <f aca="false">W147/SQRT(U147)</f>
        <v>0.0206155281280883</v>
      </c>
      <c r="Y147" s="27" t="n">
        <v>2.6975</v>
      </c>
      <c r="Z147" s="42" t="n">
        <v>0.0464578662158878</v>
      </c>
      <c r="AA147" s="27" t="n">
        <f aca="false">Z147/SQRT(U147)</f>
        <v>0.0232289331079439</v>
      </c>
      <c r="AB147" s="27" t="n">
        <v>0.2936</v>
      </c>
      <c r="AC147" s="27" t="n">
        <v>0.2</v>
      </c>
      <c r="AD147" s="27" t="n">
        <v>0.2</v>
      </c>
      <c r="AE147" s="43" t="n">
        <v>0.659</v>
      </c>
      <c r="AF147" s="43" t="n">
        <v>0.011098047876391</v>
      </c>
      <c r="AG147" s="61" t="n">
        <f aca="false">AF147*SQRT(U147)</f>
        <v>0.022196095752782</v>
      </c>
      <c r="AH147" s="29" t="n">
        <v>4.73677349090576</v>
      </c>
      <c r="AI147" s="55" t="n">
        <v>0.0757131330668926</v>
      </c>
      <c r="AJ147" s="44" t="n">
        <v>4.73677349090576</v>
      </c>
      <c r="AK147" s="44" t="n">
        <v>0.0757131330668926</v>
      </c>
      <c r="AL147" s="27" t="s">
        <v>63</v>
      </c>
      <c r="AM147" s="14" t="n">
        <f aca="false">IF(AND(O147="Benthic, infaunal",M147="elegans"),(0.243-SQRT(((Y147)-(AB147))*0.0012+0.053337))/0.0006,IF(O147="Benthic",(0.245-SQRT(((Y147)-(AB147))*0.0044+0.045461))/0.0022,IF(O147="Benthic, infaunal",(0.245-(SQRT(0.045461+0.0044*((Y147-0.47)-(AB147)))))/0.0022,IF(O147="Benthic, epifaunal",(0.245-SQRT(((Y147)-(AB147))*0.0044+0.045461))/0.0022))))</f>
        <v>3.76190667770167</v>
      </c>
      <c r="AN147" s="45" t="n">
        <f aca="false">Y147-AB147</f>
        <v>2.4039</v>
      </c>
      <c r="AO147" s="45" t="n">
        <f aca="false">SQRT((Z147^2)+(AC147^2))</f>
        <v>0.205324945716134</v>
      </c>
      <c r="AP147" s="46" t="n">
        <f aca="false">IF(NOT($M147="elegans"),(0.045461+0.0044*((AN147))),IF($M147="elegans",(0.053337+0.0012*((AN147)))))</f>
        <v>0.05603816</v>
      </c>
      <c r="AQ147" s="46" t="n">
        <f aca="false">IF(NOT($M147="elegans"),(0.0044*((AO147))),IF($M147="elegans",(0.0012*((AO147)))))</f>
        <v>0.000903429761150989</v>
      </c>
      <c r="AR147" s="46" t="n">
        <f aca="false">SQRT(AP147)</f>
        <v>0.236723805309056</v>
      </c>
      <c r="AS147" s="46" t="n">
        <f aca="false">AR147*(0.5*(AQ147/AP147))</f>
        <v>0.00190819372806953</v>
      </c>
      <c r="AT147" s="46" t="n">
        <f aca="false">IF(NOT($M147="elegans"),AS147/0.0022,IF($M147="elegans",AS147/0.0006))</f>
        <v>0.867360785486151</v>
      </c>
      <c r="AU147" s="45" t="n">
        <f aca="false">Y147-AB147</f>
        <v>2.4039</v>
      </c>
      <c r="AV147" s="45" t="n">
        <f aca="false">SQRT((AA147^2)+(AD147^2))</f>
        <v>0.201344439539147</v>
      </c>
      <c r="AW147" s="46" t="n">
        <f aca="false">IF(NOT($M147="elegans"),(0.045461+0.0044*((AU147))),IF($M147="elegans",(0.053337+0.0012*((AU147)))))</f>
        <v>0.05603816</v>
      </c>
      <c r="AX147" s="46" t="n">
        <f aca="false">IF(NOT($M147="elegans"),(0.0044*((AV147))),IF($M147="elegans",(0.0012*((AV147)))))</f>
        <v>0.000885915533972248</v>
      </c>
      <c r="AY147" s="46" t="n">
        <f aca="false">SQRT(AW147)</f>
        <v>0.236723805309056</v>
      </c>
      <c r="AZ147" s="46" t="n">
        <f aca="false">AY147*(0.5*(AX147/AW147))</f>
        <v>0.00187120077090607</v>
      </c>
      <c r="BA147" s="46" t="n">
        <f aca="false">IF(NOT($M147="elegans"),AZ147/0.0022,IF($M147="elegans",AZ147/0.0006))</f>
        <v>0.850545804957303</v>
      </c>
      <c r="BE147" s="31" t="n">
        <f aca="false">AM147</f>
        <v>3.76190667770167</v>
      </c>
      <c r="BF147" s="31" t="n">
        <f aca="false">AT147</f>
        <v>0.867360785486151</v>
      </c>
      <c r="BG147" s="31" t="n">
        <f aca="false">BA147</f>
        <v>0.850545804957303</v>
      </c>
      <c r="BH147" s="14" t="n">
        <f aca="false">10^6/((BE147+273.15)^2)</f>
        <v>13.0411755192917</v>
      </c>
      <c r="BI147" s="14" t="n">
        <f aca="false">BH147*(2*($BF147/($BE147+273.15)))</f>
        <v>0.0816967704840585</v>
      </c>
      <c r="BJ147" s="14" t="n">
        <f aca="false">BH147*(2*($BG147/($BE147+273.15)))</f>
        <v>0.0801129663417151</v>
      </c>
      <c r="BL147" s="14" t="n">
        <f aca="false">10^6/((AH147+273.15)^2)</f>
        <v>12.9498353750707</v>
      </c>
      <c r="BM147" s="14" t="n">
        <f aca="false">BL147*(2*($AI147/($AH147+273.15)))</f>
        <v>0.00705663387019152</v>
      </c>
      <c r="BN147" s="14" t="n">
        <f aca="false">10^6/((AJ147+273.15)^2)</f>
        <v>12.9498353750707</v>
      </c>
      <c r="BO147" s="14" t="n">
        <f aca="false">BN147*(2*($AK147/($AJ147+273.15)))</f>
        <v>0.00705663387019152</v>
      </c>
    </row>
    <row r="148" s="14" customFormat="true" ht="16" hidden="false" customHeight="false" outlineLevel="0" collapsed="false">
      <c r="A148" s="22" t="s">
        <v>372</v>
      </c>
      <c r="B148" s="87" t="s">
        <v>417</v>
      </c>
      <c r="C148" s="14" t="s">
        <v>53</v>
      </c>
      <c r="D148" s="51" t="s">
        <v>418</v>
      </c>
      <c r="E148" s="24" t="s">
        <v>413</v>
      </c>
      <c r="F148" s="59" t="n">
        <v>23.3</v>
      </c>
      <c r="G148" s="59" t="n">
        <v>66.7</v>
      </c>
      <c r="H148" s="22" t="s">
        <v>125</v>
      </c>
      <c r="I148" s="22" t="s">
        <v>121</v>
      </c>
      <c r="J148" s="22" t="n">
        <v>151</v>
      </c>
      <c r="K148" s="88" t="s">
        <v>372</v>
      </c>
      <c r="L148" s="22" t="s">
        <v>372</v>
      </c>
      <c r="M148" s="22"/>
      <c r="N148" s="22" t="n">
        <v>151</v>
      </c>
      <c r="O148" s="22" t="s">
        <v>375</v>
      </c>
      <c r="P148" s="22" t="s">
        <v>375</v>
      </c>
      <c r="Q148" s="22" t="n">
        <v>6</v>
      </c>
      <c r="R148" s="25" t="s">
        <v>234</v>
      </c>
      <c r="S148" s="25" t="n">
        <v>35.742</v>
      </c>
      <c r="T148" s="22" t="n">
        <v>62.2654680851064</v>
      </c>
      <c r="U148" s="89" t="n">
        <v>3</v>
      </c>
      <c r="V148" s="42" t="n">
        <v>-0.166666666666667</v>
      </c>
      <c r="W148" s="42" t="n">
        <v>0.185831464863551</v>
      </c>
      <c r="X148" s="90" t="n">
        <f aca="false">W148/SQRT(U148)</f>
        <v>0.107289846262874</v>
      </c>
      <c r="Y148" s="27" t="n">
        <v>-0.55</v>
      </c>
      <c r="Z148" s="42" t="n">
        <v>0.151327459504216</v>
      </c>
      <c r="AA148" s="27" t="n">
        <f aca="false">Z148/SQRT(U148)</f>
        <v>0.0873689494805411</v>
      </c>
      <c r="AB148" s="27" t="n">
        <v>0.6055</v>
      </c>
      <c r="AC148" s="27" t="n">
        <v>0.2</v>
      </c>
      <c r="AD148" s="27" t="n">
        <v>0.2</v>
      </c>
      <c r="AE148" s="43" t="n">
        <v>0.608333333333333</v>
      </c>
      <c r="AF148" s="43" t="n">
        <v>0.00497772817435603</v>
      </c>
      <c r="AG148" s="61" t="n">
        <f aca="false">AF148*SQRT(U148)</f>
        <v>0.00862167810425172</v>
      </c>
      <c r="AH148" s="29" t="n">
        <v>19.9146427154541</v>
      </c>
      <c r="AI148" s="55" t="n">
        <v>0.0979857999350755</v>
      </c>
      <c r="AJ148" s="44" t="n">
        <v>19.9146427154541</v>
      </c>
      <c r="AK148" s="44" t="n">
        <v>0.0979857999350755</v>
      </c>
      <c r="AL148" s="27" t="s">
        <v>63</v>
      </c>
      <c r="AM148" s="14" t="n">
        <f aca="false">IF(AND(O148="Benthic, infaunal",M148="elegans"),(0.243-SQRT(((Y148)-(AB148))*0.0012+0.053337))/0.0006,IF(O148="Benthic",(0.245-SQRT(((Y148)-(AB148))*0.0044+0.045461))/0.0022,IF(O148="Benthic, infaunal",(0.245-(SQRT(0.045461+0.0044*((Y148-0.47)-(AB148)))))/0.0022,IF(O148="Benthic, epifaunal",(0.245-SQRT(((Y148)-(AB148))*0.0044+0.045461))/0.0022))))</f>
        <v>20.0273672829104</v>
      </c>
      <c r="AN148" s="45" t="n">
        <f aca="false">Y148-AB148</f>
        <v>-1.1555</v>
      </c>
      <c r="AO148" s="45" t="n">
        <f aca="false">SQRT((Z148^2)+(AC148^2))</f>
        <v>0.250798724079689</v>
      </c>
      <c r="AP148" s="46" t="n">
        <f aca="false">IF(NOT($M148="elegans"),(0.045461+0.0044*((AN148))),IF($M148="elegans",(0.053337+0.0012*((AN148)))))</f>
        <v>0.0403768</v>
      </c>
      <c r="AQ148" s="46" t="n">
        <f aca="false">IF(NOT($M148="elegans"),(0.0044*((AO148))),IF($M148="elegans",(0.0012*((AO148)))))</f>
        <v>0.00110351438595063</v>
      </c>
      <c r="AR148" s="46" t="n">
        <f aca="false">SQRT(AP148)</f>
        <v>0.200939791977597</v>
      </c>
      <c r="AS148" s="46" t="n">
        <f aca="false">AR148*(0.5*(AQ148/AP148))</f>
        <v>0.00274588317000364</v>
      </c>
      <c r="AT148" s="46" t="n">
        <f aca="false">IF(NOT($M148="elegans"),AS148/0.0022,IF($M148="elegans",AS148/0.0006))</f>
        <v>1.24812871363802</v>
      </c>
      <c r="AU148" s="45" t="n">
        <f aca="false">Y148-AB148</f>
        <v>-1.1555</v>
      </c>
      <c r="AV148" s="45" t="n">
        <f aca="false">SQRT((AA148^2)+(AD148^2))</f>
        <v>0.218250620464945</v>
      </c>
      <c r="AW148" s="46" t="n">
        <f aca="false">IF(NOT($M148="elegans"),(0.045461+0.0044*((AU148))),IF($M148="elegans",(0.053337+0.0012*((AU148)))))</f>
        <v>0.0403768</v>
      </c>
      <c r="AX148" s="46" t="n">
        <f aca="false">IF(NOT($M148="elegans"),(0.0044*((AV148))),IF($M148="elegans",(0.0012*((AV148)))))</f>
        <v>0.000960302730045757</v>
      </c>
      <c r="AY148" s="46" t="n">
        <f aca="false">SQRT(AW148)</f>
        <v>0.200939791977597</v>
      </c>
      <c r="AZ148" s="46" t="n">
        <f aca="false">AY148*(0.5*(AX148/AW148))</f>
        <v>0.00238952852641756</v>
      </c>
      <c r="BA148" s="46" t="n">
        <f aca="false">IF(NOT($M148="elegans"),AZ148/0.0022,IF($M148="elegans",AZ148/0.0006))</f>
        <v>1.0861493301898</v>
      </c>
      <c r="BE148" s="31" t="n">
        <f aca="false">AM148</f>
        <v>20.0273672829104</v>
      </c>
      <c r="BF148" s="31" t="n">
        <f aca="false">AT148</f>
        <v>1.24812871363802</v>
      </c>
      <c r="BG148" s="31" t="n">
        <f aca="false">BA148</f>
        <v>1.0861493301898</v>
      </c>
      <c r="BH148" s="14" t="n">
        <f aca="false">10^6/((BE148+273.15)^2)</f>
        <v>11.6342694763952</v>
      </c>
      <c r="BI148" s="14" t="n">
        <f aca="false">BH148*(2*($BF148/($BE148+273.15)))</f>
        <v>0.0990599371995767</v>
      </c>
      <c r="BJ148" s="14" t="n">
        <f aca="false">BH148*(2*($BG148/($BE148+273.15)))</f>
        <v>0.0862041576820644</v>
      </c>
      <c r="BL148" s="14" t="n">
        <f aca="false">10^6/((AH148+273.15)^2)</f>
        <v>11.6432212230418</v>
      </c>
      <c r="BM148" s="14" t="n">
        <f aca="false">BL148*(2*($AI148/($AH148+273.15)))</f>
        <v>0.00778579316010158</v>
      </c>
      <c r="BN148" s="14" t="n">
        <f aca="false">10^6/((AJ148+273.15)^2)</f>
        <v>11.6432212230418</v>
      </c>
      <c r="BO148" s="14" t="n">
        <f aca="false">BN148*(2*($AK148/($AJ148+273.15)))</f>
        <v>0.00778579316010158</v>
      </c>
    </row>
    <row r="149" s="14" customFormat="true" ht="16" hidden="false" customHeight="false" outlineLevel="0" collapsed="false">
      <c r="A149" s="22" t="s">
        <v>372</v>
      </c>
      <c r="B149" s="87" t="s">
        <v>419</v>
      </c>
      <c r="C149" s="14" t="s">
        <v>53</v>
      </c>
      <c r="D149" s="51" t="s">
        <v>420</v>
      </c>
      <c r="E149" s="24" t="s">
        <v>421</v>
      </c>
      <c r="F149" s="52" t="n">
        <v>19.9993</v>
      </c>
      <c r="G149" s="52" t="n">
        <v>65.5833</v>
      </c>
      <c r="H149" s="22" t="s">
        <v>120</v>
      </c>
      <c r="I149" s="22" t="s">
        <v>121</v>
      </c>
      <c r="J149" s="22" t="n">
        <v>3190</v>
      </c>
      <c r="K149" s="88" t="s">
        <v>372</v>
      </c>
      <c r="L149" s="22" t="s">
        <v>372</v>
      </c>
      <c r="M149" s="22"/>
      <c r="N149" s="22" t="n">
        <v>3190</v>
      </c>
      <c r="O149" s="22" t="s">
        <v>375</v>
      </c>
      <c r="P149" s="22" t="s">
        <v>375</v>
      </c>
      <c r="Q149" s="22" t="n">
        <v>6</v>
      </c>
      <c r="R149" s="25" t="s">
        <v>234</v>
      </c>
      <c r="S149" s="25" t="n">
        <v>36.4762352941176</v>
      </c>
      <c r="T149" s="22" t="n">
        <v>-3.12037638376384</v>
      </c>
      <c r="U149" s="89" t="n">
        <v>6</v>
      </c>
      <c r="V149" s="42" t="n">
        <v>-0.478333333333333</v>
      </c>
      <c r="W149" s="42" t="n">
        <v>0.057067211835402</v>
      </c>
      <c r="X149" s="90" t="n">
        <f aca="false">W149/SQRT(U149)</f>
        <v>0.023297591673342</v>
      </c>
      <c r="Y149" s="27" t="n">
        <v>3.53</v>
      </c>
      <c r="Z149" s="42" t="n">
        <v>0.0569209978830308</v>
      </c>
      <c r="AA149" s="27" t="n">
        <f aca="false">Z149/SQRT(U149)</f>
        <v>0.0232379000772445</v>
      </c>
      <c r="AB149" s="27" t="n">
        <v>-0.095</v>
      </c>
      <c r="AC149" s="27" t="n">
        <v>0.2</v>
      </c>
      <c r="AD149" s="27" t="n">
        <v>0.2</v>
      </c>
      <c r="AE149" s="43" t="n">
        <v>0.646666666666667</v>
      </c>
      <c r="AF149" s="43" t="n">
        <v>0.00668164982952897</v>
      </c>
      <c r="AG149" s="61" t="n">
        <f aca="false">AF149*SQRT(U149)</f>
        <v>0.0163666327223002</v>
      </c>
      <c r="AH149" s="29" t="n">
        <v>1.74441664218903</v>
      </c>
      <c r="AI149" s="55" t="n">
        <v>0.057252682452208</v>
      </c>
      <c r="AJ149" s="44" t="n">
        <v>1.74441664218903</v>
      </c>
      <c r="AK149" s="44" t="n">
        <v>0.057252682452208</v>
      </c>
      <c r="AL149" s="27" t="s">
        <v>63</v>
      </c>
      <c r="AM149" s="14" t="n">
        <f aca="false">IF(AND(O149="Benthic, infaunal",M149="elegans"),(0.243-SQRT(((Y149)-(AB149))*0.0012+0.053337))/0.0006,IF(O149="Benthic",(0.245-SQRT(((Y149)-(AB149))*0.0044+0.045461))/0.0022,IF(O149="Benthic, infaunal",(0.245-(SQRT(0.045461+0.0044*((Y149-0.47)-(AB149)))))/0.0022,IF(O149="Benthic, epifaunal",(0.245-SQRT(((Y149)-(AB149))*0.0044+0.045461))/0.0022))))</f>
        <v>-1.27837684855666</v>
      </c>
      <c r="AN149" s="45" t="n">
        <f aca="false">Y149-AB149</f>
        <v>3.625</v>
      </c>
      <c r="AO149" s="45" t="n">
        <f aca="false">SQRT((Z149^2)+(AC149^2))</f>
        <v>0.20794229968912</v>
      </c>
      <c r="AP149" s="46" t="n">
        <f aca="false">IF(NOT($M149="elegans"),(0.045461+0.0044*((AN149))),IF($M149="elegans",(0.053337+0.0012*((AN149)))))</f>
        <v>0.061411</v>
      </c>
      <c r="AQ149" s="46" t="n">
        <f aca="false">IF(NOT($M149="elegans"),(0.0044*((AO149))),IF($M149="elegans",(0.0012*((AO149)))))</f>
        <v>0.00091494611863213</v>
      </c>
      <c r="AR149" s="46" t="n">
        <f aca="false">SQRT(AP149)</f>
        <v>0.247812429066825</v>
      </c>
      <c r="AS149" s="46" t="n">
        <f aca="false">AR149*(0.5*(AQ149/AP149))</f>
        <v>0.00184604566057784</v>
      </c>
      <c r="AT149" s="46" t="n">
        <f aca="false">IF(NOT($M149="elegans"),AS149/0.0022,IF($M149="elegans",AS149/0.0006))</f>
        <v>0.839111663899018</v>
      </c>
      <c r="AU149" s="45" t="n">
        <f aca="false">Y149-AB149</f>
        <v>3.625</v>
      </c>
      <c r="AV149" s="45" t="n">
        <f aca="false">SQRT((AA149^2)+(AD149^2))</f>
        <v>0.201345474247622</v>
      </c>
      <c r="AW149" s="46" t="n">
        <f aca="false">IF(NOT($M149="elegans"),(0.045461+0.0044*((AU149))),IF($M149="elegans",(0.053337+0.0012*((AU149)))))</f>
        <v>0.061411</v>
      </c>
      <c r="AX149" s="46" t="n">
        <f aca="false">IF(NOT($M149="elegans"),(0.0044*((AV149))),IF($M149="elegans",(0.0012*((AV149)))))</f>
        <v>0.000885920086689539</v>
      </c>
      <c r="AY149" s="46" t="n">
        <f aca="false">SQRT(AW149)</f>
        <v>0.247812429066825</v>
      </c>
      <c r="AZ149" s="46" t="n">
        <f aca="false">AY149*(0.5*(AX149/AW149))</f>
        <v>0.00178748114052553</v>
      </c>
      <c r="BA149" s="46" t="n">
        <f aca="false">IF(NOT($M149="elegans"),AZ149/0.0022,IF($M149="elegans",AZ149/0.0006))</f>
        <v>0.812491427511604</v>
      </c>
      <c r="BE149" s="31" t="n">
        <f aca="false">AM149</f>
        <v>-1.27837684855666</v>
      </c>
      <c r="BF149" s="31" t="n">
        <f aca="false">AT149</f>
        <v>0.839111663899018</v>
      </c>
      <c r="BG149" s="31" t="n">
        <f aca="false">BA149</f>
        <v>0.812491427511604</v>
      </c>
      <c r="BH149" s="14" t="n">
        <f aca="false">10^6/((BE149+273.15)^2)</f>
        <v>13.5292038293982</v>
      </c>
      <c r="BI149" s="14" t="n">
        <f aca="false">BH149*(2*($BF149/($BE149+273.15)))</f>
        <v>0.0835137746626206</v>
      </c>
      <c r="BJ149" s="14" t="n">
        <f aca="false">BH149*(2*($BG149/($BE149+273.15)))</f>
        <v>0.0808643580012027</v>
      </c>
      <c r="BL149" s="14" t="n">
        <f aca="false">10^6/((AH149+273.15)^2)</f>
        <v>13.2333001179633</v>
      </c>
      <c r="BM149" s="14" t="n">
        <f aca="false">BL149*(2*($AI149/($AH149+273.15)))</f>
        <v>0.00551223948964149</v>
      </c>
      <c r="BN149" s="14" t="n">
        <f aca="false">10^6/((AJ149+273.15)^2)</f>
        <v>13.2333001179633</v>
      </c>
      <c r="BO149" s="14" t="n">
        <f aca="false">BN149*(2*($AK149/($AJ149+273.15)))</f>
        <v>0.00551223948964149</v>
      </c>
    </row>
    <row r="150" s="14" customFormat="true" ht="16" hidden="false" customHeight="false" outlineLevel="0" collapsed="false">
      <c r="A150" s="22" t="s">
        <v>372</v>
      </c>
      <c r="B150" s="87" t="s">
        <v>422</v>
      </c>
      <c r="C150" s="14" t="s">
        <v>53</v>
      </c>
      <c r="D150" s="51" t="s">
        <v>423</v>
      </c>
      <c r="E150" s="24" t="s">
        <v>292</v>
      </c>
      <c r="F150" s="22" t="n">
        <v>0</v>
      </c>
      <c r="G150" s="22" t="n">
        <v>161</v>
      </c>
      <c r="H150" s="22" t="s">
        <v>56</v>
      </c>
      <c r="I150" s="22" t="s">
        <v>57</v>
      </c>
      <c r="J150" s="22" t="n">
        <v>3411</v>
      </c>
      <c r="K150" s="88" t="s">
        <v>372</v>
      </c>
      <c r="L150" s="22" t="s">
        <v>372</v>
      </c>
      <c r="M150" s="22"/>
      <c r="N150" s="22" t="n">
        <v>3411</v>
      </c>
      <c r="O150" s="22" t="s">
        <v>375</v>
      </c>
      <c r="P150" s="22" t="s">
        <v>375</v>
      </c>
      <c r="Q150" s="22" t="n">
        <v>6</v>
      </c>
      <c r="R150" s="25" t="s">
        <v>234</v>
      </c>
      <c r="S150" s="25" t="n">
        <v>34.68</v>
      </c>
      <c r="T150" s="22" t="n">
        <v>-6.51070068027211</v>
      </c>
      <c r="U150" s="89" t="n">
        <v>3</v>
      </c>
      <c r="V150" s="42" t="n">
        <v>-0.343333333333333</v>
      </c>
      <c r="W150" s="42" t="n">
        <v>0.635164020811423</v>
      </c>
      <c r="X150" s="90" t="n">
        <f aca="false">W150/SQRT(U150)</f>
        <v>0.36671211839504</v>
      </c>
      <c r="Y150" s="27" t="n">
        <v>3.20666666666667</v>
      </c>
      <c r="Z150" s="42" t="n">
        <v>0.161658075373095</v>
      </c>
      <c r="AA150" s="27" t="n">
        <f aca="false">Z150/SQRT(U150)</f>
        <v>0.0933333333333333</v>
      </c>
      <c r="AB150" s="27" t="n">
        <v>-0.067949408</v>
      </c>
      <c r="AC150" s="27" t="n">
        <v>0.2</v>
      </c>
      <c r="AD150" s="27" t="n">
        <v>0.2</v>
      </c>
      <c r="AE150" s="43" t="n">
        <v>0.684666666666667</v>
      </c>
      <c r="AF150" s="43" t="n">
        <v>0.00779601037568431</v>
      </c>
      <c r="AG150" s="61" t="n">
        <f aca="false">AF150*SQRT(U150)</f>
        <v>0.0135030860670194</v>
      </c>
      <c r="AH150" s="29" t="n">
        <v>1.50518795847893</v>
      </c>
      <c r="AI150" s="55" t="n">
        <v>0.044405774781626</v>
      </c>
      <c r="AJ150" s="44" t="n">
        <v>1.50518795847893</v>
      </c>
      <c r="AK150" s="44" t="n">
        <v>0.044405774781626</v>
      </c>
      <c r="AL150" s="27" t="s">
        <v>63</v>
      </c>
      <c r="AM150" s="14" t="n">
        <f aca="false">IF(AND(O150="Benthic, infaunal",M150="elegans"),(0.243-SQRT(((Y150)-(AB150))*0.0012+0.053337))/0.0006,IF(O150="Benthic",(0.245-SQRT(((Y150)-(AB150))*0.0044+0.045461))/0.0022,IF(O150="Benthic, infaunal",(0.245-(SQRT(0.045461+0.0044*((Y150-0.47)-(AB150)))))/0.0022,IF(O150="Benthic, epifaunal",(0.245-SQRT(((Y150)-(AB150))*0.0044+0.045461))/0.0022))))</f>
        <v>0.144517956396021</v>
      </c>
      <c r="AN150" s="45" t="n">
        <f aca="false">Y150-AB150</f>
        <v>3.27461607466667</v>
      </c>
      <c r="AO150" s="45" t="n">
        <f aca="false">SQRT((Z150^2)+(AC150^2))</f>
        <v>0.257164020293145</v>
      </c>
      <c r="AP150" s="46" t="n">
        <f aca="false">IF(NOT($M150="elegans"),(0.045461+0.0044*((AN150))),IF($M150="elegans",(0.053337+0.0012*((AN150)))))</f>
        <v>0.0598693107285333</v>
      </c>
      <c r="AQ150" s="46" t="n">
        <f aca="false">IF(NOT($M150="elegans"),(0.0044*((AO150))),IF($M150="elegans",(0.0012*((AO150)))))</f>
        <v>0.00113152168928984</v>
      </c>
      <c r="AR150" s="46" t="n">
        <f aca="false">SQRT(AP150)</f>
        <v>0.244682060495929</v>
      </c>
      <c r="AS150" s="46" t="n">
        <f aca="false">AR150*(0.5*(AQ150/AP150))</f>
        <v>0.00231222854466003</v>
      </c>
      <c r="AT150" s="46" t="n">
        <f aca="false">IF(NOT($M150="elegans"),AS150/0.0022,IF($M150="elegans",AS150/0.0006))</f>
        <v>1.05101297484547</v>
      </c>
      <c r="AU150" s="45" t="n">
        <f aca="false">Y150-AB150</f>
        <v>3.27461607466667</v>
      </c>
      <c r="AV150" s="45" t="n">
        <f aca="false">SQRT((AA150^2)+(AD150^2))</f>
        <v>0.220705938096625</v>
      </c>
      <c r="AW150" s="46" t="n">
        <f aca="false">IF(NOT($M150="elegans"),(0.045461+0.0044*((AU150))),IF($M150="elegans",(0.053337+0.0012*((AU150)))))</f>
        <v>0.0598693107285333</v>
      </c>
      <c r="AX150" s="46" t="n">
        <f aca="false">IF(NOT($M150="elegans"),(0.0044*((AV150))),IF($M150="elegans",(0.0012*((AV150)))))</f>
        <v>0.000971106127625149</v>
      </c>
      <c r="AY150" s="46" t="n">
        <f aca="false">SQRT(AW150)</f>
        <v>0.244682060495929</v>
      </c>
      <c r="AZ150" s="46" t="n">
        <f aca="false">AY150*(0.5*(AX150/AW150))</f>
        <v>0.00198442445199473</v>
      </c>
      <c r="BA150" s="46" t="n">
        <f aca="false">IF(NOT($M150="elegans"),AZ150/0.0022,IF($M150="elegans",AZ150/0.0006))</f>
        <v>0.902011114543058</v>
      </c>
      <c r="BE150" s="31" t="n">
        <f aca="false">AM150</f>
        <v>0.144517956396021</v>
      </c>
      <c r="BF150" s="31" t="n">
        <f aca="false">AT150</f>
        <v>1.05101297484547</v>
      </c>
      <c r="BG150" s="31" t="n">
        <f aca="false">BA150</f>
        <v>0.902011114543058</v>
      </c>
      <c r="BH150" s="14" t="n">
        <f aca="false">10^6/((BE150+273.15)^2)</f>
        <v>13.3886922652695</v>
      </c>
      <c r="BI150" s="14" t="n">
        <f aca="false">BH150*(2*($BF150/($BE150+273.15)))</f>
        <v>0.102978203823734</v>
      </c>
      <c r="BJ150" s="14" t="n">
        <f aca="false">BH150*(2*($BG150/($BE150+273.15)))</f>
        <v>0.0883790082785096</v>
      </c>
      <c r="BL150" s="14" t="n">
        <f aca="false">10^6/((AH150+273.15)^2)</f>
        <v>13.2563629533271</v>
      </c>
      <c r="BM150" s="14" t="n">
        <f aca="false">BL150*(2*($AI150/($AH150+273.15)))</f>
        <v>0.00428653157513212</v>
      </c>
      <c r="BN150" s="14" t="n">
        <f aca="false">10^6/((AJ150+273.15)^2)</f>
        <v>13.2563629533271</v>
      </c>
      <c r="BO150" s="14" t="n">
        <f aca="false">BN150*(2*($AK150/($AJ150+273.15)))</f>
        <v>0.00428653157513212</v>
      </c>
    </row>
    <row r="151" s="14" customFormat="true" ht="16" hidden="false" customHeight="false" outlineLevel="0" collapsed="false">
      <c r="A151" s="22" t="s">
        <v>372</v>
      </c>
      <c r="B151" s="87" t="s">
        <v>424</v>
      </c>
      <c r="C151" s="14" t="s">
        <v>53</v>
      </c>
      <c r="D151" s="51" t="s">
        <v>425</v>
      </c>
      <c r="E151" s="24" t="s">
        <v>264</v>
      </c>
      <c r="F151" s="22" t="n">
        <v>0</v>
      </c>
      <c r="G151" s="22" t="n">
        <v>159</v>
      </c>
      <c r="H151" s="22" t="s">
        <v>56</v>
      </c>
      <c r="I151" s="22" t="s">
        <v>57</v>
      </c>
      <c r="J151" s="22" t="n">
        <v>2445</v>
      </c>
      <c r="K151" s="88" t="s">
        <v>372</v>
      </c>
      <c r="L151" s="22" t="s">
        <v>372</v>
      </c>
      <c r="M151" s="22"/>
      <c r="N151" s="22" t="n">
        <v>2445</v>
      </c>
      <c r="O151" s="22" t="s">
        <v>375</v>
      </c>
      <c r="P151" s="22" t="s">
        <v>375</v>
      </c>
      <c r="Q151" s="22" t="n">
        <v>6</v>
      </c>
      <c r="R151" s="25" t="s">
        <v>234</v>
      </c>
      <c r="S151" s="25" t="n">
        <v>34.65</v>
      </c>
      <c r="T151" s="22" t="n">
        <v>2.9821677852349</v>
      </c>
      <c r="U151" s="89" t="n">
        <v>4</v>
      </c>
      <c r="V151" s="42" t="n">
        <v>-0.085</v>
      </c>
      <c r="W151" s="42" t="n">
        <v>0.548361194834208</v>
      </c>
      <c r="X151" s="90" t="n">
        <f aca="false">W151/SQRT(U151)</f>
        <v>0.274180597417104</v>
      </c>
      <c r="Y151" s="27" t="n">
        <v>3.21</v>
      </c>
      <c r="Z151" s="42" t="n">
        <v>0.218632111090754</v>
      </c>
      <c r="AA151" s="27" t="n">
        <f aca="false">Z151/SQRT(U151)</f>
        <v>0.109316055545377</v>
      </c>
      <c r="AB151" s="27" t="n">
        <v>0.039215903</v>
      </c>
      <c r="AC151" s="27" t="n">
        <v>0.2</v>
      </c>
      <c r="AD151" s="27" t="n">
        <v>0.2</v>
      </c>
      <c r="AE151" s="43" t="n">
        <v>0.68175</v>
      </c>
      <c r="AF151" s="43" t="n">
        <v>0.0103309809150277</v>
      </c>
      <c r="AG151" s="61" t="n">
        <f aca="false">AF151*SQRT(U151)</f>
        <v>0.0206619618300554</v>
      </c>
      <c r="AH151" s="29" t="n">
        <v>1.88665445446968</v>
      </c>
      <c r="AI151" s="55" t="n">
        <v>0.0384517334944879</v>
      </c>
      <c r="AJ151" s="44" t="n">
        <v>1.88665445446968</v>
      </c>
      <c r="AK151" s="44" t="n">
        <v>0.0384517334944879</v>
      </c>
      <c r="AL151" s="27" t="s">
        <v>63</v>
      </c>
      <c r="AM151" s="14" t="n">
        <f aca="false">IF(AND(O151="Benthic, infaunal",M151="elegans"),(0.243-SQRT(((Y151)-(AB151))*0.0012+0.053337))/0.0006,IF(O151="Benthic",(0.245-SQRT(((Y151)-(AB151))*0.0044+0.045461))/0.0022,IF(O151="Benthic, infaunal",(0.245-(SQRT(0.045461+0.0044*((Y151-0.47)-(AB151)))))/0.0022,IF(O151="Benthic, epifaunal",(0.245-SQRT(((Y151)-(AB151))*0.0044+0.045461))/0.0022))))</f>
        <v>0.569685299898002</v>
      </c>
      <c r="AN151" s="45" t="n">
        <f aca="false">Y151-AB151</f>
        <v>3.170784097</v>
      </c>
      <c r="AO151" s="45" t="n">
        <f aca="false">SQRT((Z151^2)+(AC151^2))</f>
        <v>0.296310647800581</v>
      </c>
      <c r="AP151" s="46" t="n">
        <f aca="false">IF(NOT($M151="elegans"),(0.045461+0.0044*((AN151))),IF($M151="elegans",(0.053337+0.0012*((AN151)))))</f>
        <v>0.0594124500268</v>
      </c>
      <c r="AQ151" s="46" t="n">
        <f aca="false">IF(NOT($M151="elegans"),(0.0044*((AO151))),IF($M151="elegans",(0.0012*((AO151)))))</f>
        <v>0.00130376685032256</v>
      </c>
      <c r="AR151" s="46" t="n">
        <f aca="false">SQRT(AP151)</f>
        <v>0.243746692340224</v>
      </c>
      <c r="AS151" s="46" t="n">
        <f aca="false">AR151*(0.5*(AQ151/AP151))</f>
        <v>0.0026744298308318</v>
      </c>
      <c r="AT151" s="46" t="n">
        <f aca="false">IF(NOT($M151="elegans"),AS151/0.0022,IF($M151="elegans",AS151/0.0006))</f>
        <v>1.21564992310537</v>
      </c>
      <c r="AU151" s="45" t="n">
        <f aca="false">Y151-AB151</f>
        <v>3.170784097</v>
      </c>
      <c r="AV151" s="45" t="n">
        <f aca="false">SQRT((AA151^2)+(AD151^2))</f>
        <v>0.22792542640083</v>
      </c>
      <c r="AW151" s="46" t="n">
        <f aca="false">IF(NOT($M151="elegans"),(0.045461+0.0044*((AU151))),IF($M151="elegans",(0.053337+0.0012*((AU151)))))</f>
        <v>0.0594124500268</v>
      </c>
      <c r="AX151" s="46" t="n">
        <f aca="false">IF(NOT($M151="elegans"),(0.0044*((AV151))),IF($M151="elegans",(0.0012*((AV151)))))</f>
        <v>0.00100287187616365</v>
      </c>
      <c r="AY151" s="46" t="n">
        <f aca="false">SQRT(AW151)</f>
        <v>0.243746692340224</v>
      </c>
      <c r="AZ151" s="46" t="n">
        <f aca="false">AY151*(0.5*(AX151/AW151))</f>
        <v>0.00205720099529357</v>
      </c>
      <c r="BA151" s="46" t="n">
        <f aca="false">IF(NOT($M151="elegans"),AZ151/0.0022,IF($M151="elegans",AZ151/0.0006))</f>
        <v>0.935091361497077</v>
      </c>
      <c r="BE151" s="31" t="n">
        <f aca="false">AM151</f>
        <v>0.569685299898002</v>
      </c>
      <c r="BF151" s="31" t="n">
        <f aca="false">AT151</f>
        <v>1.21564992310537</v>
      </c>
      <c r="BG151" s="31" t="n">
        <f aca="false">BA151</f>
        <v>0.935091361497077</v>
      </c>
      <c r="BH151" s="14" t="n">
        <f aca="false">10^6/((BE151+273.15)^2)</f>
        <v>13.3471313983356</v>
      </c>
      <c r="BI151" s="14" t="n">
        <f aca="false">BH151*(2*($BF151/($BE151+273.15)))</f>
        <v>0.118555150611741</v>
      </c>
      <c r="BJ151" s="14" t="n">
        <f aca="false">BH151*(2*($BG151/($BE151+273.15)))</f>
        <v>0.0911939326371473</v>
      </c>
      <c r="BL151" s="14" t="n">
        <f aca="false">10^6/((AH151+273.15)^2)</f>
        <v>13.2196162041343</v>
      </c>
      <c r="BM151" s="14" t="n">
        <f aca="false">BL151*(2*($AI151/($AH151+273.15)))</f>
        <v>0.0036963593829995</v>
      </c>
      <c r="BN151" s="14" t="n">
        <f aca="false">10^6/((AJ151+273.15)^2)</f>
        <v>13.2196162041343</v>
      </c>
      <c r="BO151" s="14" t="n">
        <f aca="false">BN151*(2*($AK151/($AJ151+273.15)))</f>
        <v>0.0036963593829995</v>
      </c>
    </row>
    <row r="152" s="14" customFormat="true" ht="16" hidden="false" customHeight="false" outlineLevel="0" collapsed="false">
      <c r="A152" s="22" t="s">
        <v>372</v>
      </c>
      <c r="B152" s="87" t="s">
        <v>426</v>
      </c>
      <c r="C152" s="14" t="s">
        <v>53</v>
      </c>
      <c r="D152" s="51" t="s">
        <v>427</v>
      </c>
      <c r="E152" s="24" t="s">
        <v>222</v>
      </c>
      <c r="F152" s="22" t="n">
        <v>-2.18</v>
      </c>
      <c r="G152" s="22" t="n">
        <v>157</v>
      </c>
      <c r="H152" s="22" t="s">
        <v>56</v>
      </c>
      <c r="I152" s="22" t="s">
        <v>57</v>
      </c>
      <c r="J152" s="22" t="n">
        <v>1614</v>
      </c>
      <c r="K152" s="88" t="s">
        <v>372</v>
      </c>
      <c r="L152" s="22" t="s">
        <v>372</v>
      </c>
      <c r="M152" s="22"/>
      <c r="N152" s="22" t="n">
        <v>1614</v>
      </c>
      <c r="O152" s="22" t="s">
        <v>375</v>
      </c>
      <c r="P152" s="22" t="s">
        <v>375</v>
      </c>
      <c r="Q152" s="22" t="n">
        <v>6</v>
      </c>
      <c r="R152" s="25" t="s">
        <v>234</v>
      </c>
      <c r="S152" s="25" t="n">
        <v>34.55</v>
      </c>
      <c r="T152" s="22" t="n">
        <v>11.0624545454545</v>
      </c>
      <c r="U152" s="89" t="n">
        <v>5</v>
      </c>
      <c r="V152" s="42" t="n">
        <v>0.336</v>
      </c>
      <c r="W152" s="42" t="n">
        <v>0.185013513019996</v>
      </c>
      <c r="X152" s="90" t="n">
        <f aca="false">W152/SQRT(U152)</f>
        <v>0.0827405583737505</v>
      </c>
      <c r="Y152" s="27" t="n">
        <v>3.482</v>
      </c>
      <c r="Z152" s="42" t="n">
        <v>0.165438810440598</v>
      </c>
      <c r="AA152" s="27" t="n">
        <f aca="false">Z152/SQRT(U152)</f>
        <v>0.0739864852523756</v>
      </c>
      <c r="AB152" s="27" t="n">
        <v>0.018102786</v>
      </c>
      <c r="AC152" s="27" t="n">
        <v>0.2</v>
      </c>
      <c r="AD152" s="27" t="n">
        <v>0.2</v>
      </c>
      <c r="AE152" s="43" t="n">
        <v>0.648</v>
      </c>
      <c r="AF152" s="43" t="n">
        <v>0.0156875747010174</v>
      </c>
      <c r="AG152" s="61" t="n">
        <f aca="false">AF152*SQRT(U152)</f>
        <v>0.0350784834335808</v>
      </c>
      <c r="AH152" s="29" t="n">
        <v>2.68996190071106</v>
      </c>
      <c r="AI152" s="55" t="n">
        <v>0.0391532715533445</v>
      </c>
      <c r="AJ152" s="44" t="n">
        <v>2.68996190071106</v>
      </c>
      <c r="AK152" s="44" t="n">
        <v>0.0391532715533445</v>
      </c>
      <c r="AL152" s="27" t="s">
        <v>63</v>
      </c>
      <c r="AM152" s="14" t="n">
        <f aca="false">IF(AND(O152="Benthic, infaunal",M152="elegans"),(0.243-SQRT(((Y152)-(AB152))*0.0012+0.053337))/0.0006,IF(O152="Benthic",(0.245-SQRT(((Y152)-(AB152))*0.0044+0.045461))/0.0022,IF(O152="Benthic, infaunal",(0.245-(SQRT(0.045461+0.0044*((Y152-0.47)-(AB152)))))/0.0022,IF(O152="Benthic, epifaunal",(0.245-SQRT(((Y152)-(AB152))*0.0044+0.045461))/0.0022))))</f>
        <v>-0.626390256210678</v>
      </c>
      <c r="AN152" s="45" t="n">
        <f aca="false">Y152-AB152</f>
        <v>3.463897214</v>
      </c>
      <c r="AO152" s="45" t="n">
        <f aca="false">SQRT((Z152^2)+(AC152^2))</f>
        <v>0.259557315443044</v>
      </c>
      <c r="AP152" s="46" t="n">
        <f aca="false">IF(NOT($M152="elegans"),(0.045461+0.0044*((AN152))),IF($M152="elegans",(0.053337+0.0012*((AN152)))))</f>
        <v>0.0607021477416</v>
      </c>
      <c r="AQ152" s="46" t="n">
        <f aca="false">IF(NOT($M152="elegans"),(0.0044*((AO152))),IF($M152="elegans",(0.0012*((AO152)))))</f>
        <v>0.00114205218794939</v>
      </c>
      <c r="AR152" s="46" t="n">
        <f aca="false">SQRT(AP152)</f>
        <v>0.246378058563663</v>
      </c>
      <c r="AS152" s="46" t="n">
        <f aca="false">AR152*(0.5*(AQ152/AP152))</f>
        <v>0.00231768241581117</v>
      </c>
      <c r="AT152" s="46" t="n">
        <f aca="false">IF(NOT($M152="elegans"),AS152/0.0022,IF($M152="elegans",AS152/0.0006))</f>
        <v>1.0534920071869</v>
      </c>
      <c r="AU152" s="45" t="n">
        <f aca="false">Y152-AB152</f>
        <v>3.463897214</v>
      </c>
      <c r="AV152" s="45" t="n">
        <f aca="false">SQRT((AA152^2)+(AD152^2))</f>
        <v>0.213246336428085</v>
      </c>
      <c r="AW152" s="46" t="n">
        <f aca="false">IF(NOT($M152="elegans"),(0.045461+0.0044*((AU152))),IF($M152="elegans",(0.053337+0.0012*((AU152)))))</f>
        <v>0.0607021477416</v>
      </c>
      <c r="AX152" s="46" t="n">
        <f aca="false">IF(NOT($M152="elegans"),(0.0044*((AV152))),IF($M152="elegans",(0.0012*((AV152)))))</f>
        <v>0.000938283880283574</v>
      </c>
      <c r="AY152" s="46" t="n">
        <f aca="false">SQRT(AW152)</f>
        <v>0.246378058563663</v>
      </c>
      <c r="AZ152" s="46" t="n">
        <f aca="false">AY152*(0.5*(AX152/AW152))</f>
        <v>0.00190415470791837</v>
      </c>
      <c r="BA152" s="46" t="n">
        <f aca="false">IF(NOT($M152="elegans"),AZ152/0.0022,IF($M152="elegans",AZ152/0.0006))</f>
        <v>0.865524867235621</v>
      </c>
      <c r="BE152" s="31" t="n">
        <f aca="false">AM152</f>
        <v>-0.626390256210678</v>
      </c>
      <c r="BF152" s="31" t="n">
        <f aca="false">AT152</f>
        <v>1.0534920071869</v>
      </c>
      <c r="BG152" s="31" t="n">
        <f aca="false">BA152</f>
        <v>0.865524867235621</v>
      </c>
      <c r="BH152" s="14" t="n">
        <f aca="false">10^6/((BE152+273.15)^2)</f>
        <v>13.4645466205781</v>
      </c>
      <c r="BI152" s="14" t="n">
        <f aca="false">BH152*(2*($BF152/($BE152+273.15)))</f>
        <v>0.10409954762092</v>
      </c>
      <c r="BJ152" s="14" t="n">
        <f aca="false">BH152*(2*($BG152/($BE152+273.15)))</f>
        <v>0.0855258004040088</v>
      </c>
      <c r="BL152" s="14" t="n">
        <f aca="false">10^6/((AH152+273.15)^2)</f>
        <v>13.1427313829003</v>
      </c>
      <c r="BM152" s="14" t="n">
        <f aca="false">BL152*(2*($AI152/($AH152+273.15)))</f>
        <v>0.00373101074435752</v>
      </c>
      <c r="BN152" s="14" t="n">
        <f aca="false">10^6/((AJ152+273.15)^2)</f>
        <v>13.1427313829003</v>
      </c>
      <c r="BO152" s="14" t="n">
        <f aca="false">BN152*(2*($AK152/($AJ152+273.15)))</f>
        <v>0.00373101074435752</v>
      </c>
    </row>
    <row r="153" s="14" customFormat="true" ht="16" hidden="false" customHeight="false" outlineLevel="0" collapsed="false">
      <c r="A153" s="22" t="s">
        <v>372</v>
      </c>
      <c r="B153" s="87" t="s">
        <v>428</v>
      </c>
      <c r="C153" s="14" t="s">
        <v>53</v>
      </c>
      <c r="D153" s="51" t="s">
        <v>429</v>
      </c>
      <c r="E153" s="24" t="s">
        <v>430</v>
      </c>
      <c r="F153" s="52" t="n">
        <v>0</v>
      </c>
      <c r="G153" s="52" t="n">
        <v>162.22</v>
      </c>
      <c r="H153" s="22" t="s">
        <v>56</v>
      </c>
      <c r="I153" s="22" t="s">
        <v>57</v>
      </c>
      <c r="J153" s="22" t="n">
        <v>4325</v>
      </c>
      <c r="K153" s="88" t="s">
        <v>372</v>
      </c>
      <c r="L153" s="22" t="s">
        <v>372</v>
      </c>
      <c r="M153" s="22"/>
      <c r="N153" s="22" t="n">
        <v>4325</v>
      </c>
      <c r="O153" s="22" t="s">
        <v>375</v>
      </c>
      <c r="P153" s="22" t="s">
        <v>375</v>
      </c>
      <c r="Q153" s="22" t="n">
        <v>6</v>
      </c>
      <c r="R153" s="25" t="s">
        <v>234</v>
      </c>
      <c r="S153" s="25" t="n">
        <v>34.7</v>
      </c>
      <c r="T153" s="22" t="n">
        <v>-24.2166481256969</v>
      </c>
      <c r="U153" s="89" t="n">
        <v>4</v>
      </c>
      <c r="V153" s="42" t="n">
        <v>-0.9</v>
      </c>
      <c r="W153" s="42" t="n">
        <v>0.620537401505072</v>
      </c>
      <c r="X153" s="90" t="n">
        <f aca="false">W153/SQRT(U153)</f>
        <v>0.310268700752536</v>
      </c>
      <c r="Y153" s="27" t="n">
        <v>3.43</v>
      </c>
      <c r="Z153" s="42" t="n">
        <v>0.135646599662505</v>
      </c>
      <c r="AA153" s="27" t="n">
        <f aca="false">Z153/SQRT(U153)</f>
        <v>0.0678232998312526</v>
      </c>
      <c r="AB153" s="27" t="n">
        <v>-0.073464381</v>
      </c>
      <c r="AC153" s="27" t="n">
        <v>0.2</v>
      </c>
      <c r="AD153" s="27" t="n">
        <v>0.2</v>
      </c>
      <c r="AE153" s="43" t="n">
        <v>0.6685</v>
      </c>
      <c r="AF153" s="43" t="n">
        <v>0.00707695791518739</v>
      </c>
      <c r="AG153" s="61" t="n">
        <f aca="false">AF153*SQRT(U153)</f>
        <v>0.0141539158303748</v>
      </c>
      <c r="AH153" s="29" t="n">
        <v>1.33974376320839</v>
      </c>
      <c r="AI153" s="55" t="n">
        <v>0.0391532715533445</v>
      </c>
      <c r="AJ153" s="44" t="n">
        <v>1.33974376320839</v>
      </c>
      <c r="AK153" s="44" t="n">
        <v>0.0391532715533445</v>
      </c>
      <c r="AL153" s="27" t="s">
        <v>63</v>
      </c>
      <c r="AM153" s="14" t="n">
        <f aca="false">IF(AND(O153="Benthic, infaunal",M153="elegans"),(0.243-SQRT(((Y153)-(AB153))*0.0012+0.053337))/0.0006,IF(O153="Benthic",(0.245-SQRT(((Y153)-(AB153))*0.0044+0.045461))/0.0022,IF(O153="Benthic, infaunal",(0.245-(SQRT(0.045461+0.0044*((Y153-0.47)-(AB153)))))/0.0022,IF(O153="Benthic, epifaunal",(0.245-SQRT(((Y153)-(AB153))*0.0044+0.045461))/0.0022))))</f>
        <v>-0.78687060861156</v>
      </c>
      <c r="AN153" s="45" t="n">
        <f aca="false">Y153-AB153</f>
        <v>3.503464381</v>
      </c>
      <c r="AO153" s="45" t="n">
        <f aca="false">SQRT((Z153^2)+(AC153^2))</f>
        <v>0.241660919471891</v>
      </c>
      <c r="AP153" s="46" t="n">
        <f aca="false">IF(NOT($M153="elegans"),(0.045461+0.0044*((AN153))),IF($M153="elegans",(0.053337+0.0012*((AN153)))))</f>
        <v>0.0608762432764</v>
      </c>
      <c r="AQ153" s="46" t="n">
        <f aca="false">IF(NOT($M153="elegans"),(0.0044*((AO153))),IF($M153="elegans",(0.0012*((AO153)))))</f>
        <v>0.00106330804567632</v>
      </c>
      <c r="AR153" s="46" t="n">
        <f aca="false">SQRT(AP153)</f>
        <v>0.246731115338945</v>
      </c>
      <c r="AS153" s="46" t="n">
        <f aca="false">AR153*(0.5*(AQ153/AP153))</f>
        <v>0.00215479114625573</v>
      </c>
      <c r="AT153" s="46" t="n">
        <f aca="false">IF(NOT($M153="elegans"),AS153/0.0022,IF($M153="elegans",AS153/0.0006))</f>
        <v>0.979450521025332</v>
      </c>
      <c r="AU153" s="45" t="n">
        <f aca="false">Y153-AB153</f>
        <v>3.503464381</v>
      </c>
      <c r="AV153" s="45" t="n">
        <f aca="false">SQRT((AA153^2)+(AD153^2))</f>
        <v>0.211187120819429</v>
      </c>
      <c r="AW153" s="46" t="n">
        <f aca="false">IF(NOT($M153="elegans"),(0.045461+0.0044*((AU153))),IF($M153="elegans",(0.053337+0.0012*((AU153)))))</f>
        <v>0.0608762432764</v>
      </c>
      <c r="AX153" s="46" t="n">
        <f aca="false">IF(NOT($M153="elegans"),(0.0044*((AV153))),IF($M153="elegans",(0.0012*((AV153)))))</f>
        <v>0.000929223331605487</v>
      </c>
      <c r="AY153" s="46" t="n">
        <f aca="false">SQRT(AW153)</f>
        <v>0.246731115338945</v>
      </c>
      <c r="AZ153" s="46" t="n">
        <f aca="false">AY153*(0.5*(AX153/AW153))</f>
        <v>0.00188306880210259</v>
      </c>
      <c r="BA153" s="46" t="n">
        <f aca="false">IF(NOT($M153="elegans"),AZ153/0.0022,IF($M153="elegans",AZ153/0.0006))</f>
        <v>0.855940364592085</v>
      </c>
      <c r="BE153" s="31" t="n">
        <f aca="false">AM153</f>
        <v>-0.78687060861156</v>
      </c>
      <c r="BF153" s="31" t="n">
        <f aca="false">AT153</f>
        <v>0.979450521025332</v>
      </c>
      <c r="BG153" s="31" t="n">
        <f aca="false">BA153</f>
        <v>0.855940364592085</v>
      </c>
      <c r="BH153" s="14" t="n">
        <f aca="false">10^6/((BE153+273.15)^2)</f>
        <v>13.4804183120036</v>
      </c>
      <c r="BI153" s="14" t="n">
        <f aca="false">BH153*(2*($BF153/($BE153+273.15)))</f>
        <v>0.0969544061917278</v>
      </c>
      <c r="BJ153" s="14" t="n">
        <f aca="false">BH153*(2*($BG153/($BE153+273.15)))</f>
        <v>0.0847283124600127</v>
      </c>
      <c r="BL153" s="14" t="n">
        <f aca="false">10^6/((AH153+273.15)^2)</f>
        <v>13.2723478803055</v>
      </c>
      <c r="BM153" s="14" t="n">
        <f aca="false">BL153*(2*($AI153/($AH153+273.15)))</f>
        <v>0.00378634067403512</v>
      </c>
      <c r="BN153" s="14" t="n">
        <f aca="false">10^6/((AJ153+273.15)^2)</f>
        <v>13.2723478803055</v>
      </c>
      <c r="BO153" s="14" t="n">
        <f aca="false">BN153*(2*($AK153/($AJ153+273.15)))</f>
        <v>0.00378634067403512</v>
      </c>
    </row>
    <row r="154" s="14" customFormat="true" ht="16" hidden="false" customHeight="false" outlineLevel="0" collapsed="false">
      <c r="A154" s="22" t="s">
        <v>372</v>
      </c>
      <c r="B154" s="87" t="s">
        <v>431</v>
      </c>
      <c r="C154" s="14" t="s">
        <v>53</v>
      </c>
      <c r="D154" s="51" t="s">
        <v>432</v>
      </c>
      <c r="E154" s="91" t="s">
        <v>433</v>
      </c>
      <c r="F154" s="52" t="n">
        <v>0</v>
      </c>
      <c r="G154" s="52" t="n">
        <v>158.941</v>
      </c>
      <c r="H154" s="22" t="s">
        <v>56</v>
      </c>
      <c r="I154" s="22" t="s">
        <v>57</v>
      </c>
      <c r="J154" s="22" t="n">
        <v>2311</v>
      </c>
      <c r="K154" s="88" t="s">
        <v>372</v>
      </c>
      <c r="L154" s="22" t="s">
        <v>372</v>
      </c>
      <c r="M154" s="22"/>
      <c r="N154" s="22" t="n">
        <v>2311</v>
      </c>
      <c r="O154" s="22" t="s">
        <v>375</v>
      </c>
      <c r="P154" s="22" t="s">
        <v>375</v>
      </c>
      <c r="Q154" s="22" t="n">
        <v>6</v>
      </c>
      <c r="R154" s="25" t="s">
        <v>234</v>
      </c>
      <c r="S154" s="25" t="n">
        <v>34.7</v>
      </c>
      <c r="T154" s="22" t="n">
        <v>2.6573858607696</v>
      </c>
      <c r="U154" s="89" t="n">
        <v>5</v>
      </c>
      <c r="V154" s="42" t="n">
        <v>-0.068</v>
      </c>
      <c r="W154" s="42" t="n">
        <v>0.464564312017185</v>
      </c>
      <c r="X154" s="90" t="n">
        <f aca="false">W154/SQRT(U154)</f>
        <v>0.207759476318169</v>
      </c>
      <c r="Y154" s="27" t="n">
        <v>3.39</v>
      </c>
      <c r="Z154" s="42" t="n">
        <v>0.311688947510174</v>
      </c>
      <c r="AA154" s="27" t="n">
        <f aca="false">Z154/SQRT(U154)</f>
        <v>0.139391534893623</v>
      </c>
      <c r="AB154" s="27" t="n">
        <v>0.036587809</v>
      </c>
      <c r="AC154" s="27" t="n">
        <v>0.2</v>
      </c>
      <c r="AD154" s="27" t="n">
        <v>0.2</v>
      </c>
      <c r="AE154" s="43" t="n">
        <v>0.6604</v>
      </c>
      <c r="AF154" s="43" t="n">
        <v>0.0145347858601357</v>
      </c>
      <c r="AG154" s="61" t="n">
        <f aca="false">AF154*SQRT(U154)</f>
        <v>0.0325007692216661</v>
      </c>
      <c r="AH154" s="29" t="n">
        <v>1.95669809579849</v>
      </c>
      <c r="AI154" s="55" t="n">
        <v>0.0384517334944879</v>
      </c>
      <c r="AJ154" s="44" t="n">
        <v>1.95669809579849</v>
      </c>
      <c r="AK154" s="44" t="n">
        <v>0.0384517334944879</v>
      </c>
      <c r="AL154" s="27" t="s">
        <v>63</v>
      </c>
      <c r="AM154" s="14" t="n">
        <f aca="false">IF(AND(O154="Benthic, infaunal",M154="elegans"),(0.243-SQRT(((Y154)-(AB154))*0.0012+0.053337))/0.0006,IF(O154="Benthic",(0.245-SQRT(((Y154)-(AB154))*0.0044+0.045461))/0.0022,IF(O154="Benthic, infaunal",(0.245-(SQRT(0.045461+0.0044*((Y154-0.47)-(AB154)))))/0.0022,IF(O154="Benthic, epifaunal",(0.245-SQRT(((Y154)-(AB154))*0.0044+0.045461))/0.0022))))</f>
        <v>-0.177051873051731</v>
      </c>
      <c r="AN154" s="45" t="n">
        <f aca="false">Y154-AB154</f>
        <v>3.353412191</v>
      </c>
      <c r="AO154" s="45" t="n">
        <f aca="false">SQRT((Z154^2)+(AC154^2))</f>
        <v>0.370337683742824</v>
      </c>
      <c r="AP154" s="46" t="n">
        <f aca="false">IF(NOT($M154="elegans"),(0.045461+0.0044*((AN154))),IF($M154="elegans",(0.053337+0.0012*((AN154)))))</f>
        <v>0.0602160136404</v>
      </c>
      <c r="AQ154" s="46" t="n">
        <f aca="false">IF(NOT($M154="elegans"),(0.0044*((AO154))),IF($M154="elegans",(0.0012*((AO154)))))</f>
        <v>0.00162948580846843</v>
      </c>
      <c r="AR154" s="46" t="n">
        <f aca="false">SQRT(AP154)</f>
        <v>0.245389514120714</v>
      </c>
      <c r="AS154" s="46" t="n">
        <f aca="false">AR154*(0.5*(AQ154/AP154))</f>
        <v>0.00332020260585959</v>
      </c>
      <c r="AT154" s="46" t="n">
        <f aca="false">IF(NOT($M154="elegans"),AS154/0.0022,IF($M154="elegans",AS154/0.0006))</f>
        <v>1.50918300266345</v>
      </c>
      <c r="AU154" s="45" t="n">
        <f aca="false">Y154-AB154</f>
        <v>3.353412191</v>
      </c>
      <c r="AV154" s="45" t="n">
        <f aca="false">SQRT((AA154^2)+(AD154^2))</f>
        <v>0.243782690115603</v>
      </c>
      <c r="AW154" s="46" t="n">
        <f aca="false">IF(NOT($M154="elegans"),(0.045461+0.0044*((AU154))),IF($M154="elegans",(0.053337+0.0012*((AU154)))))</f>
        <v>0.0602160136404</v>
      </c>
      <c r="AX154" s="46" t="n">
        <f aca="false">IF(NOT($M154="elegans"),(0.0044*((AV154))),IF($M154="elegans",(0.0012*((AV154)))))</f>
        <v>0.00107264383650865</v>
      </c>
      <c r="AY154" s="46" t="n">
        <f aca="false">SQRT(AW154)</f>
        <v>0.245389514120714</v>
      </c>
      <c r="AZ154" s="46" t="n">
        <f aca="false">AY154*(0.5*(AX154/AW154))</f>
        <v>0.00218559427926694</v>
      </c>
      <c r="BA154" s="46" t="n">
        <f aca="false">IF(NOT($M154="elegans"),AZ154/0.0022,IF($M154="elegans",AZ154/0.0006))</f>
        <v>0.993451945121336</v>
      </c>
      <c r="BE154" s="31" t="n">
        <f aca="false">AM154</f>
        <v>-0.177051873051731</v>
      </c>
      <c r="BF154" s="31" t="n">
        <f aca="false">AT154</f>
        <v>1.50918300266345</v>
      </c>
      <c r="BG154" s="31" t="n">
        <f aca="false">BA154</f>
        <v>0.993451945121336</v>
      </c>
      <c r="BH154" s="14" t="n">
        <f aca="false">10^6/((BE154+273.15)^2)</f>
        <v>13.4202553594064</v>
      </c>
      <c r="BI154" s="14" t="n">
        <f aca="false">BH154*(2*($BF154/($BE154+273.15)))</f>
        <v>0.148392882289567</v>
      </c>
      <c r="BJ154" s="14" t="n">
        <f aca="false">BH154*(2*($BG154/($BE154+273.15)))</f>
        <v>0.0976827841902264</v>
      </c>
      <c r="BL154" s="14" t="n">
        <f aca="false">10^6/((AH154+273.15)^2)</f>
        <v>13.2128854906592</v>
      </c>
      <c r="BM154" s="14" t="n">
        <f aca="false">BL154*(2*($AI154/($AH154+273.15)))</f>
        <v>0.00369353676298419</v>
      </c>
      <c r="BN154" s="14" t="n">
        <f aca="false">10^6/((AJ154+273.15)^2)</f>
        <v>13.2128854906592</v>
      </c>
      <c r="BO154" s="14" t="n">
        <f aca="false">BN154*(2*($AK154/($AJ154+273.15)))</f>
        <v>0.00369353676298419</v>
      </c>
    </row>
    <row r="155" s="14" customFormat="true" ht="16" hidden="false" customHeight="false" outlineLevel="0" collapsed="false">
      <c r="A155" s="22" t="s">
        <v>372</v>
      </c>
      <c r="B155" s="87" t="s">
        <v>434</v>
      </c>
      <c r="C155" s="14" t="s">
        <v>53</v>
      </c>
      <c r="D155" s="51" t="s">
        <v>435</v>
      </c>
      <c r="E155" s="91" t="s">
        <v>436</v>
      </c>
      <c r="F155" s="52" t="n">
        <v>0</v>
      </c>
      <c r="G155" s="52" t="n">
        <v>160.99</v>
      </c>
      <c r="H155" s="22" t="s">
        <v>56</v>
      </c>
      <c r="I155" s="22" t="s">
        <v>57</v>
      </c>
      <c r="J155" s="22" t="n">
        <v>3368</v>
      </c>
      <c r="K155" s="88" t="s">
        <v>372</v>
      </c>
      <c r="L155" s="22" t="s">
        <v>372</v>
      </c>
      <c r="M155" s="22"/>
      <c r="N155" s="22" t="n">
        <v>3368</v>
      </c>
      <c r="O155" s="22" t="s">
        <v>375</v>
      </c>
      <c r="P155" s="22" t="s">
        <v>375</v>
      </c>
      <c r="Q155" s="22" t="n">
        <v>6</v>
      </c>
      <c r="R155" s="25" t="s">
        <v>234</v>
      </c>
      <c r="S155" s="25" t="n">
        <v>34.68</v>
      </c>
      <c r="T155" s="22" t="n">
        <v>-6.81454188803736</v>
      </c>
      <c r="U155" s="89" t="n">
        <v>5</v>
      </c>
      <c r="V155" s="42" t="n">
        <v>-0.024</v>
      </c>
      <c r="W155" s="42" t="n">
        <v>0.370850374140299</v>
      </c>
      <c r="X155" s="90" t="n">
        <f aca="false">W155/SQRT(U155)</f>
        <v>0.165849329211788</v>
      </c>
      <c r="Y155" s="27" t="n">
        <v>3.322</v>
      </c>
      <c r="Z155" s="42" t="n">
        <v>0.270868972014146</v>
      </c>
      <c r="AA155" s="27" t="n">
        <f aca="false">Z155/SQRT(U155)</f>
        <v>0.121136286883824</v>
      </c>
      <c r="AB155" s="27" t="n">
        <v>-0.067717518</v>
      </c>
      <c r="AC155" s="27" t="n">
        <v>0.2</v>
      </c>
      <c r="AD155" s="27" t="n">
        <v>0.2</v>
      </c>
      <c r="AE155" s="43" t="n">
        <v>0.662</v>
      </c>
      <c r="AF155" s="43" t="n">
        <v>0.0101044544632553</v>
      </c>
      <c r="AG155" s="61" t="n">
        <f aca="false">AF155*SQRT(U155)</f>
        <v>0.02259424705539</v>
      </c>
      <c r="AH155" s="29" t="n">
        <v>1.53022671222687</v>
      </c>
      <c r="AI155" s="55" t="n">
        <v>0.044405774781626</v>
      </c>
      <c r="AJ155" s="44" t="n">
        <v>1.53022671222687</v>
      </c>
      <c r="AK155" s="44" t="n">
        <v>0.044405774781626</v>
      </c>
      <c r="AL155" s="27" t="s">
        <v>63</v>
      </c>
      <c r="AM155" s="14" t="n">
        <f aca="false">IF(AND(O155="Benthic, infaunal",M155="elegans"),(0.243-SQRT(((Y155)-(AB155))*0.0012+0.053337))/0.0006,IF(O155="Benthic",(0.245-SQRT(((Y155)-(AB155))*0.0044+0.045461))/0.0022,IF(O155="Benthic, infaunal",(0.245-(SQRT(0.045461+0.0044*((Y155-0.47)-(AB155)))))/0.0022,IF(O155="Benthic, epifaunal",(0.245-SQRT(((Y155)-(AB155))*0.0044+0.045461))/0.0022))))</f>
        <v>-0.32490367087802</v>
      </c>
      <c r="AN155" s="45" t="n">
        <f aca="false">Y155-AB155</f>
        <v>3.389717518</v>
      </c>
      <c r="AO155" s="45" t="n">
        <f aca="false">SQRT((Z155^2)+(AC155^2))</f>
        <v>0.336704618322945</v>
      </c>
      <c r="AP155" s="46" t="n">
        <f aca="false">IF(NOT($M155="elegans"),(0.045461+0.0044*((AN155))),IF($M155="elegans",(0.053337+0.0012*((AN155)))))</f>
        <v>0.0603757570792</v>
      </c>
      <c r="AQ155" s="46" t="n">
        <f aca="false">IF(NOT($M155="elegans"),(0.0044*((AO155))),IF($M155="elegans",(0.0012*((AO155)))))</f>
        <v>0.00148150032062096</v>
      </c>
      <c r="AR155" s="46" t="n">
        <f aca="false">SQRT(AP155)</f>
        <v>0.245714788075932</v>
      </c>
      <c r="AS155" s="46" t="n">
        <f aca="false">AR155*(0.5*(AQ155/AP155))</f>
        <v>0.0030146747214969</v>
      </c>
      <c r="AT155" s="46" t="n">
        <f aca="false">IF(NOT($M155="elegans"),AS155/0.0022,IF($M155="elegans",AS155/0.0006))</f>
        <v>1.3703066915895</v>
      </c>
      <c r="AU155" s="45" t="n">
        <f aca="false">Y155-AB155</f>
        <v>3.389717518</v>
      </c>
      <c r="AV155" s="45" t="n">
        <f aca="false">SQRT((AA155^2)+(AD155^2))</f>
        <v>0.233824720677691</v>
      </c>
      <c r="AW155" s="46" t="n">
        <f aca="false">IF(NOT($M155="elegans"),(0.045461+0.0044*((AU155))),IF($M155="elegans",(0.053337+0.0012*((AU155)))))</f>
        <v>0.0603757570792</v>
      </c>
      <c r="AX155" s="46" t="n">
        <f aca="false">IF(NOT($M155="elegans"),(0.0044*((AV155))),IF($M155="elegans",(0.0012*((AV155)))))</f>
        <v>0.00102882877098184</v>
      </c>
      <c r="AY155" s="46" t="n">
        <f aca="false">SQRT(AW155)</f>
        <v>0.245714788075932</v>
      </c>
      <c r="AZ155" s="46" t="n">
        <f aca="false">AY155*(0.5*(AX155/AW155))</f>
        <v>0.002093542637458</v>
      </c>
      <c r="BA155" s="46" t="n">
        <f aca="false">IF(NOT($M155="elegans"),AZ155/0.0022,IF($M155="elegans",AZ155/0.0006))</f>
        <v>0.951610289753636</v>
      </c>
      <c r="BE155" s="31" t="n">
        <f aca="false">AM155</f>
        <v>-0.32490367087802</v>
      </c>
      <c r="BF155" s="31" t="n">
        <f aca="false">AT155</f>
        <v>1.3703066915895</v>
      </c>
      <c r="BG155" s="31" t="n">
        <f aca="false">BA155</f>
        <v>0.951610289753636</v>
      </c>
      <c r="BH155" s="14" t="n">
        <f aca="false">10^6/((BE155+273.15)^2)</f>
        <v>13.4348049485675</v>
      </c>
      <c r="BI155" s="14" t="n">
        <f aca="false">BH155*(2*($BF155/($BE155+273.15)))</f>
        <v>0.134956815695673</v>
      </c>
      <c r="BJ155" s="14" t="n">
        <f aca="false">BH155*(2*($BG155/($BE155+273.15)))</f>
        <v>0.0937208402152793</v>
      </c>
      <c r="BL155" s="14" t="n">
        <f aca="false">10^6/((AH155+273.15)^2)</f>
        <v>13.2539462691473</v>
      </c>
      <c r="BM155" s="14" t="n">
        <f aca="false">BL155*(2*($AI155/($AH155+273.15)))</f>
        <v>0.0042853594526273</v>
      </c>
      <c r="BN155" s="14" t="n">
        <f aca="false">10^6/((AJ155+273.15)^2)</f>
        <v>13.2539462691473</v>
      </c>
      <c r="BO155" s="14" t="n">
        <f aca="false">BN155*(2*($AK155/($AJ155+273.15)))</f>
        <v>0.0042853594526273</v>
      </c>
    </row>
    <row r="156" s="14" customFormat="true" ht="16" hidden="false" customHeight="false" outlineLevel="0" collapsed="false">
      <c r="A156" s="22" t="s">
        <v>166</v>
      </c>
      <c r="B156" s="85" t="s">
        <v>356</v>
      </c>
      <c r="C156" s="14" t="s">
        <v>53</v>
      </c>
      <c r="D156" s="51" t="s">
        <v>357</v>
      </c>
      <c r="E156" s="24" t="s">
        <v>358</v>
      </c>
      <c r="F156" s="52" t="n">
        <v>6.640667</v>
      </c>
      <c r="G156" s="53" t="n">
        <v>-21.897333</v>
      </c>
      <c r="H156" s="22" t="s">
        <v>78</v>
      </c>
      <c r="I156" s="22" t="s">
        <v>359</v>
      </c>
      <c r="J156" s="22" t="n">
        <v>3527</v>
      </c>
      <c r="K156" s="88" t="s">
        <v>166</v>
      </c>
      <c r="L156" s="22" t="s">
        <v>166</v>
      </c>
      <c r="M156" s="22"/>
      <c r="N156" s="22" t="n">
        <v>3527</v>
      </c>
      <c r="O156" s="22" t="s">
        <v>172</v>
      </c>
      <c r="P156" s="22" t="s">
        <v>172</v>
      </c>
      <c r="Q156" s="22" t="n">
        <v>2</v>
      </c>
      <c r="R156" s="25" t="s">
        <v>234</v>
      </c>
      <c r="S156" s="25" t="n">
        <v>34.93</v>
      </c>
      <c r="T156" s="22" t="n">
        <v>17.7187</v>
      </c>
      <c r="U156" s="26" t="n">
        <v>3</v>
      </c>
      <c r="V156" s="27" t="n">
        <v>0.973333333333333</v>
      </c>
      <c r="W156" s="27" t="n">
        <v>0.0251661147842359</v>
      </c>
      <c r="X156" s="90" t="n">
        <f aca="false">W156/SQRT(U156)</f>
        <v>0.0145296631451356</v>
      </c>
      <c r="Y156" s="27" t="n">
        <v>3.15666666666667</v>
      </c>
      <c r="Z156" s="27" t="n">
        <v>0.0378593889720019</v>
      </c>
      <c r="AA156" s="27" t="n">
        <f aca="false">Z156/SQRT(U156)</f>
        <v>0.0218581284143401</v>
      </c>
      <c r="AB156" s="27" t="n">
        <v>0.212126981</v>
      </c>
      <c r="AC156" s="27" t="n">
        <v>0.2</v>
      </c>
      <c r="AD156" s="27" t="n">
        <v>0.2</v>
      </c>
      <c r="AE156" s="28" t="n">
        <v>0.670666666666667</v>
      </c>
      <c r="AF156" s="28" t="n">
        <v>0.0255755960069577</v>
      </c>
      <c r="AG156" s="61" t="n">
        <f aca="false">AF156*SQRT(U156)</f>
        <v>0.0442982317179064</v>
      </c>
      <c r="AH156" s="29" t="n">
        <v>2.43076222896576</v>
      </c>
      <c r="AI156" s="55" t="n">
        <v>0.0385740510993511</v>
      </c>
      <c r="AJ156" s="44" t="n">
        <v>2.43076222896576</v>
      </c>
      <c r="AK156" s="44" t="n">
        <v>0.0385740510993511</v>
      </c>
      <c r="AL156" s="27" t="s">
        <v>63</v>
      </c>
      <c r="AM156" s="14" t="n">
        <f aca="false">IF(AND(O156="Benthic, infaunal",M156="elegans"),(0.243-SQRT(((Y156)-(AB156))*0.0012+0.053337))/0.0006,IF(O156="Benthic",(0.245-SQRT(((Y156)-(AB156))*0.0044+0.045461))/0.0022,IF(O156="Benthic, infaunal",(0.245-(SQRT(0.045461+0.0044*((Y156-0.47)-(AB156)))))/0.0022,IF(O156="Benthic, epifaunal",(0.245-SQRT(((Y156)-(AB156))*0.0044+0.045461))/0.0022))))</f>
        <v>1.50180106703169</v>
      </c>
      <c r="AN156" s="45" t="n">
        <f aca="false">Y156-AB156</f>
        <v>2.94453968566667</v>
      </c>
      <c r="AO156" s="45" t="n">
        <f aca="false">SQRT((Z156^2)+(AC156^2))</f>
        <v>0.203551795210294</v>
      </c>
      <c r="AP156" s="46" t="n">
        <f aca="false">IF(NOT($M156="elegans"),(0.045461+0.0044*((AN156))),IF($M156="elegans",(0.053337+0.0012*((AN156)))))</f>
        <v>0.0584169746169333</v>
      </c>
      <c r="AQ156" s="46" t="n">
        <f aca="false">IF(NOT($M156="elegans"),(0.0044*((AO156))),IF($M156="elegans",(0.0012*((AO156)))))</f>
        <v>0.000895627898925292</v>
      </c>
      <c r="AR156" s="46" t="n">
        <f aca="false">SQRT(AP156)</f>
        <v>0.24169603765253</v>
      </c>
      <c r="AS156" s="46" t="n">
        <f aca="false">AR156*(0.5*(AQ156/AP156))</f>
        <v>0.00185279805913259</v>
      </c>
      <c r="AT156" s="46" t="n">
        <f aca="false">IF(NOT($M156="elegans"),AS156/0.0022,IF($M156="elegans",AS156/0.0006))</f>
        <v>0.84218093596936</v>
      </c>
      <c r="AU156" s="45" t="n">
        <f aca="false">Y156-AB156</f>
        <v>2.94453968566667</v>
      </c>
      <c r="AV156" s="45" t="n">
        <f aca="false">SQRT((AA156^2)+(AD156^2))</f>
        <v>0.201190898844301</v>
      </c>
      <c r="AW156" s="46" t="n">
        <f aca="false">IF(NOT($M156="elegans"),(0.045461+0.0044*((AU156))),IF($M156="elegans",(0.053337+0.0012*((AU156)))))</f>
        <v>0.0584169746169333</v>
      </c>
      <c r="AX156" s="46" t="n">
        <f aca="false">IF(NOT($M156="elegans"),(0.0044*((AV156))),IF($M156="elegans",(0.0012*((AV156)))))</f>
        <v>0.000885239954914925</v>
      </c>
      <c r="AY156" s="46" t="n">
        <f aca="false">SQRT(AW156)</f>
        <v>0.24169603765253</v>
      </c>
      <c r="AZ156" s="46" t="n">
        <f aca="false">AY156*(0.5*(AX156/AW156))</f>
        <v>0.00183130837293157</v>
      </c>
      <c r="BA156" s="46" t="n">
        <f aca="false">IF(NOT($M156="elegans"),AZ156/0.0022,IF($M156="elegans",AZ156/0.0006))</f>
        <v>0.832412896787077</v>
      </c>
      <c r="BB156" s="30"/>
      <c r="BC156" s="30"/>
      <c r="BD156" s="30"/>
      <c r="BE156" s="31" t="n">
        <f aca="false">AM156</f>
        <v>1.50180106703169</v>
      </c>
      <c r="BF156" s="31" t="n">
        <f aca="false">AT156</f>
        <v>0.84218093596936</v>
      </c>
      <c r="BG156" s="31" t="n">
        <f aca="false">BA156</f>
        <v>0.832412896787077</v>
      </c>
      <c r="BH156" s="14" t="n">
        <f aca="false">10^6/((BB156+273.15)^2)</f>
        <v>13.4028633676256</v>
      </c>
      <c r="BI156" s="14" t="n">
        <f aca="false">BH156*(2*($BF156/($BE156+273.15)))</f>
        <v>0.0821959730230313</v>
      </c>
      <c r="BJ156" s="14" t="n">
        <f aca="false">BH156*(2*($BG156/($BE156+273.15)))</f>
        <v>0.0812426226789147</v>
      </c>
      <c r="BL156" s="14" t="n">
        <f aca="false">10^6/((AH156+273.15)^2)</f>
        <v>13.1674660101009</v>
      </c>
      <c r="BM156" s="14" t="n">
        <f aca="false">BL156*(2*($AI156/($AH156+273.15)))</f>
        <v>0.00368619712504165</v>
      </c>
      <c r="BN156" s="14" t="n">
        <f aca="false">10^6/((AJ156+273.15)^2)</f>
        <v>13.1674660101009</v>
      </c>
      <c r="BO156" s="14" t="n">
        <f aca="false">BN156*(2*($AK156/($AJ156+273.15)))</f>
        <v>0.00368619712504165</v>
      </c>
    </row>
    <row r="157" s="14" customFormat="true" ht="16" hidden="false" customHeight="false" outlineLevel="0" collapsed="false">
      <c r="A157" s="22" t="s">
        <v>166</v>
      </c>
      <c r="B157" s="87" t="s">
        <v>360</v>
      </c>
      <c r="C157" s="14" t="s">
        <v>53</v>
      </c>
      <c r="D157" s="51" t="s">
        <v>361</v>
      </c>
      <c r="E157" s="24" t="s">
        <v>362</v>
      </c>
      <c r="F157" s="57" t="n">
        <v>5.4547</v>
      </c>
      <c r="G157" s="53" t="n">
        <v>-21.144</v>
      </c>
      <c r="H157" s="22" t="s">
        <v>78</v>
      </c>
      <c r="I157" s="22" t="s">
        <v>359</v>
      </c>
      <c r="J157" s="22" t="n">
        <v>3160</v>
      </c>
      <c r="K157" s="88" t="s">
        <v>166</v>
      </c>
      <c r="L157" s="22" t="s">
        <v>166</v>
      </c>
      <c r="M157" s="22"/>
      <c r="N157" s="22" t="n">
        <v>3160</v>
      </c>
      <c r="O157" s="22" t="s">
        <v>172</v>
      </c>
      <c r="P157" s="22" t="s">
        <v>172</v>
      </c>
      <c r="Q157" s="22" t="n">
        <v>2</v>
      </c>
      <c r="R157" s="25" t="s">
        <v>234</v>
      </c>
      <c r="S157" s="25" t="n">
        <v>34.91</v>
      </c>
      <c r="T157" s="22" t="n">
        <v>24.408464</v>
      </c>
      <c r="U157" s="89" t="n">
        <v>6</v>
      </c>
      <c r="V157" s="42" t="n">
        <v>0.96</v>
      </c>
      <c r="W157" s="42" t="n">
        <v>0.0154919333848297</v>
      </c>
      <c r="X157" s="90" t="n">
        <f aca="false">W157/SQRT(U157)</f>
        <v>0.00632455532033677</v>
      </c>
      <c r="Y157" s="27" t="n">
        <v>3.15666666666667</v>
      </c>
      <c r="Z157" s="42" t="n">
        <v>0.0445720390678582</v>
      </c>
      <c r="AA157" s="27" t="n">
        <f aca="false">Z157/SQRT(U157)</f>
        <v>0.0181964587519416</v>
      </c>
      <c r="AB157" s="27" t="n">
        <v>0.218226655</v>
      </c>
      <c r="AC157" s="27" t="n">
        <v>0.2</v>
      </c>
      <c r="AD157" s="27" t="n">
        <v>0.2</v>
      </c>
      <c r="AE157" s="43" t="n">
        <v>0.659333333333333</v>
      </c>
      <c r="AF157" s="43" t="n">
        <v>0.00656082650619909</v>
      </c>
      <c r="AG157" s="61" t="n">
        <f aca="false">AF157*SQRT(U157)</f>
        <v>0.0160706772311147</v>
      </c>
      <c r="AH157" s="29" t="n">
        <v>2.56100034713745</v>
      </c>
      <c r="AI157" s="55" t="n">
        <v>0.0721398255519682</v>
      </c>
      <c r="AJ157" s="44" t="n">
        <v>2.56100034713745</v>
      </c>
      <c r="AK157" s="44" t="n">
        <v>0.0721398255519682</v>
      </c>
      <c r="AL157" s="27" t="s">
        <v>63</v>
      </c>
      <c r="AM157" s="14" t="n">
        <f aca="false">IF(AND(O157="Benthic, infaunal",M157="elegans"),(0.243-SQRT(((Y157)-(AB157))*0.0012+0.053337))/0.0006,IF(O157="Benthic",(0.245-SQRT(((Y157)-(AB157))*0.0044+0.045461))/0.0022,IF(O157="Benthic, infaunal",(0.245-(SQRT(0.045461+0.0044*((Y157-0.47)-(AB157)))))/0.0022,IF(O157="Benthic, epifaunal",(0.245-SQRT(((Y157)-(AB157))*0.0044+0.045461))/0.0022))))</f>
        <v>1.52704092952581</v>
      </c>
      <c r="AN157" s="45" t="n">
        <f aca="false">Y157-AB157</f>
        <v>2.93844001166667</v>
      </c>
      <c r="AO157" s="45" t="n">
        <f aca="false">SQRT((Z157^2)+(AC157^2))</f>
        <v>0.204906482734604</v>
      </c>
      <c r="AP157" s="46" t="n">
        <f aca="false">IF(NOT($M157="elegans"),(0.045461+0.0044*((AN157))),IF($M157="elegans",(0.053337+0.0012*((AN157)))))</f>
        <v>0.0583901360513333</v>
      </c>
      <c r="AQ157" s="46" t="n">
        <f aca="false">IF(NOT($M157="elegans"),(0.0044*((AO157))),IF($M157="elegans",(0.0012*((AO157)))))</f>
        <v>0.000901588524032259</v>
      </c>
      <c r="AR157" s="46" t="n">
        <f aca="false">SQRT(AP157)</f>
        <v>0.241640509955043</v>
      </c>
      <c r="AS157" s="46" t="n">
        <f aca="false">AR157*(0.5*(AQ157/AP157))</f>
        <v>0.00186555748495978</v>
      </c>
      <c r="AT157" s="46" t="n">
        <f aca="false">IF(NOT($M157="elegans"),AS157/0.0022,IF($M157="elegans",AS157/0.0006))</f>
        <v>0.847980674981719</v>
      </c>
      <c r="AU157" s="45" t="n">
        <f aca="false">Y157-AB157</f>
        <v>2.93844001166667</v>
      </c>
      <c r="AV157" s="45" t="n">
        <f aca="false">SQRT((AA157^2)+(AD157^2))</f>
        <v>0.200826071791267</v>
      </c>
      <c r="AW157" s="46" t="n">
        <f aca="false">IF(NOT($M157="elegans"),(0.045461+0.0044*((AU157))),IF($M157="elegans",(0.053337+0.0012*((AU157)))))</f>
        <v>0.0583901360513333</v>
      </c>
      <c r="AX157" s="46" t="n">
        <f aca="false">IF(NOT($M157="elegans"),(0.0044*((AV157))),IF($M157="elegans",(0.0012*((AV157)))))</f>
        <v>0.000883634715881575</v>
      </c>
      <c r="AY157" s="46" t="n">
        <f aca="false">SQRT(AW157)</f>
        <v>0.241640509955043</v>
      </c>
      <c r="AZ157" s="46" t="n">
        <f aca="false">AY157*(0.5*(AX157/AW157))</f>
        <v>0.00182840765409321</v>
      </c>
      <c r="BA157" s="46" t="n">
        <f aca="false">IF(NOT($M157="elegans"),AZ157/0.0022,IF($M157="elegans",AZ157/0.0006))</f>
        <v>0.831094388224186</v>
      </c>
      <c r="BE157" s="31" t="n">
        <f aca="false">AM157</f>
        <v>1.52704092952581</v>
      </c>
      <c r="BF157" s="31" t="n">
        <f aca="false">AT157</f>
        <v>0.847980674981719</v>
      </c>
      <c r="BG157" s="31" t="n">
        <f aca="false">BA157</f>
        <v>0.831094388224186</v>
      </c>
      <c r="BH157" s="14" t="n">
        <f aca="false">10^6/((BE157+273.15)^2)</f>
        <v>13.254253717032</v>
      </c>
      <c r="BI157" s="14" t="n">
        <f aca="false">BH157*(2*($BF157/($BE157+273.15)))</f>
        <v>0.0818368435549839</v>
      </c>
      <c r="BJ157" s="14" t="n">
        <f aca="false">BH157*(2*($BG157/($BE157+273.15)))</f>
        <v>0.0802071832945887</v>
      </c>
      <c r="BL157" s="14" t="n">
        <f aca="false">10^6/((AH157+273.15)^2)</f>
        <v>13.1550290673933</v>
      </c>
      <c r="BM157" s="14" t="n">
        <f aca="false">BL157*(2*($AI157/($AH157+273.15)))</f>
        <v>0.00688403074855899</v>
      </c>
      <c r="BN157" s="14" t="n">
        <f aca="false">10^6/((AJ157+273.15)^2)</f>
        <v>13.1550290673933</v>
      </c>
      <c r="BO157" s="14" t="n">
        <f aca="false">BN157*(2*($AK157/($AJ157+273.15)))</f>
        <v>0.00688403074855899</v>
      </c>
    </row>
    <row r="158" s="14" customFormat="true" ht="16" hidden="false" customHeight="false" outlineLevel="0" collapsed="false">
      <c r="A158" s="22" t="s">
        <v>166</v>
      </c>
      <c r="B158" s="87" t="s">
        <v>363</v>
      </c>
      <c r="C158" s="14" t="s">
        <v>53</v>
      </c>
      <c r="D158" s="51" t="s">
        <v>364</v>
      </c>
      <c r="E158" s="24" t="s">
        <v>365</v>
      </c>
      <c r="F158" s="57" t="n">
        <v>4.2333</v>
      </c>
      <c r="G158" s="53" t="n">
        <v>-20.6263</v>
      </c>
      <c r="H158" s="22" t="s">
        <v>78</v>
      </c>
      <c r="I158" s="22" t="s">
        <v>359</v>
      </c>
      <c r="J158" s="22" t="n">
        <v>3792</v>
      </c>
      <c r="K158" s="88" t="s">
        <v>166</v>
      </c>
      <c r="L158" s="22" t="s">
        <v>166</v>
      </c>
      <c r="M158" s="22"/>
      <c r="N158" s="22" t="n">
        <v>3792</v>
      </c>
      <c r="O158" s="22" t="s">
        <v>172</v>
      </c>
      <c r="P158" s="22" t="s">
        <v>172</v>
      </c>
      <c r="Q158" s="22" t="n">
        <v>2</v>
      </c>
      <c r="R158" s="25" t="s">
        <v>234</v>
      </c>
      <c r="S158" s="25" t="n">
        <v>34.89</v>
      </c>
      <c r="T158" s="22" t="n">
        <v>12.39432</v>
      </c>
      <c r="U158" s="89" t="n">
        <v>6</v>
      </c>
      <c r="V158" s="42" t="n">
        <v>0.965</v>
      </c>
      <c r="W158" s="42" t="n">
        <v>0.0266458251889484</v>
      </c>
      <c r="X158" s="90" t="n">
        <f aca="false">W158/SQRT(U158)</f>
        <v>0.0108781125813871</v>
      </c>
      <c r="Y158" s="27" t="n">
        <v>3.08833333333333</v>
      </c>
      <c r="Z158" s="42" t="n">
        <v>0.0376386326354541</v>
      </c>
      <c r="AA158" s="27" t="n">
        <f aca="false">Z158/SQRT(U158)</f>
        <v>0.0153659074288215</v>
      </c>
      <c r="AB158" s="27" t="n">
        <v>0.207677023</v>
      </c>
      <c r="AC158" s="27" t="n">
        <v>0.2</v>
      </c>
      <c r="AD158" s="27" t="n">
        <v>0.2</v>
      </c>
      <c r="AE158" s="43" t="n">
        <v>0.663166666666667</v>
      </c>
      <c r="AF158" s="43" t="n">
        <v>0.0114263341064014</v>
      </c>
      <c r="AG158" s="61" t="n">
        <f aca="false">AF158*SQRT(U158)</f>
        <v>0.0279886881912437</v>
      </c>
      <c r="AH158" s="29" t="n">
        <v>2.39804148674011</v>
      </c>
      <c r="AI158" s="55" t="n">
        <v>0.11418730793803</v>
      </c>
      <c r="AJ158" s="44" t="n">
        <v>2.39804148674011</v>
      </c>
      <c r="AK158" s="44" t="n">
        <v>0.11418730793803</v>
      </c>
      <c r="AL158" s="27" t="s">
        <v>63</v>
      </c>
      <c r="AM158" s="14" t="n">
        <f aca="false">IF(AND(O158="Benthic, infaunal",M158="elegans"),(0.243-SQRT(((Y158)-(AB158))*0.0012+0.053337))/0.0006,IF(O158="Benthic",(0.245-SQRT(((Y158)-(AB158))*0.0044+0.045461))/0.0022,IF(O158="Benthic, infaunal",(0.245-(SQRT(0.045461+0.0044*((Y158-0.47)-(AB158)))))/0.0022,IF(O158="Benthic, epifaunal",(0.245-SQRT(((Y158)-(AB158))*0.0044+0.045461))/0.0022))))</f>
        <v>1.76643266308241</v>
      </c>
      <c r="AN158" s="45" t="n">
        <f aca="false">Y158-AB158</f>
        <v>2.88065631033333</v>
      </c>
      <c r="AO158" s="45" t="n">
        <f aca="false">SQRT((Z158^2)+(AC158^2))</f>
        <v>0.203510851471529</v>
      </c>
      <c r="AP158" s="46" t="n">
        <f aca="false">IF(NOT($M158="elegans"),(0.045461+0.0044*((AN158))),IF($M158="elegans",(0.053337+0.0012*((AN158)))))</f>
        <v>0.0581358877654667</v>
      </c>
      <c r="AQ158" s="46" t="n">
        <f aca="false">IF(NOT($M158="elegans"),(0.0044*((AO158))),IF($M158="elegans",(0.0012*((AO158)))))</f>
        <v>0.000895447746474727</v>
      </c>
      <c r="AR158" s="46" t="n">
        <f aca="false">SQRT(AP158)</f>
        <v>0.241113848141219</v>
      </c>
      <c r="AS158" s="46" t="n">
        <f aca="false">AR158*(0.5*(AQ158/AP158))</f>
        <v>0.00185689821090299</v>
      </c>
      <c r="AT158" s="46" t="n">
        <f aca="false">IF(NOT($M158="elegans"),AS158/0.0022,IF($M158="elegans",AS158/0.0006))</f>
        <v>0.84404464131954</v>
      </c>
      <c r="AU158" s="45" t="n">
        <f aca="false">Y158-AB158</f>
        <v>2.88065631033333</v>
      </c>
      <c r="AV158" s="45" t="n">
        <f aca="false">SQRT((AA158^2)+(AD158^2))</f>
        <v>0.20058940926956</v>
      </c>
      <c r="AW158" s="46" t="n">
        <f aca="false">IF(NOT($M158="elegans"),(0.045461+0.0044*((AU158))),IF($M158="elegans",(0.053337+0.0012*((AU158)))))</f>
        <v>0.0581358877654667</v>
      </c>
      <c r="AX158" s="46" t="n">
        <f aca="false">IF(NOT($M158="elegans"),(0.0044*((AV158))),IF($M158="elegans",(0.0012*((AV158)))))</f>
        <v>0.000882593400786065</v>
      </c>
      <c r="AY158" s="46" t="n">
        <f aca="false">SQRT(AW158)</f>
        <v>0.241113848141219</v>
      </c>
      <c r="AZ158" s="46" t="n">
        <f aca="false">AY158*(0.5*(AX158/AW158))</f>
        <v>0.00183024203626234</v>
      </c>
      <c r="BA158" s="46" t="n">
        <f aca="false">IF(NOT($M158="elegans"),AZ158/0.0022,IF($M158="elegans",AZ158/0.0006))</f>
        <v>0.831928198301063</v>
      </c>
      <c r="BE158" s="31" t="n">
        <f aca="false">AM158</f>
        <v>1.76643266308241</v>
      </c>
      <c r="BF158" s="31" t="n">
        <f aca="false">AT158</f>
        <v>0.84404464131954</v>
      </c>
      <c r="BG158" s="31" t="n">
        <f aca="false">BA158</f>
        <v>0.831928198301063</v>
      </c>
      <c r="BH158" s="14" t="n">
        <f aca="false">10^6/((BE158+273.15)^2)</f>
        <v>13.2311806888462</v>
      </c>
      <c r="BI158" s="14" t="n">
        <f aca="false">BH158*(2*($BF158/($BE158+273.15)))</f>
        <v>0.0812443770681221</v>
      </c>
      <c r="BJ158" s="14" t="n">
        <f aca="false">BH158*(2*($BG158/($BE158+273.15)))</f>
        <v>0.0800780964982004</v>
      </c>
      <c r="BL158" s="14" t="n">
        <f aca="false">10^6/((AH158+273.15)^2)</f>
        <v>13.1705934127852</v>
      </c>
      <c r="BM158" s="14" t="n">
        <f aca="false">BL158*(2*($AI158/($AH158+273.15)))</f>
        <v>0.0109158068962335</v>
      </c>
      <c r="BN158" s="14" t="n">
        <f aca="false">10^6/((AJ158+273.15)^2)</f>
        <v>13.1705934127852</v>
      </c>
      <c r="BO158" s="14" t="n">
        <f aca="false">BN158*(2*($AK158/($AJ158+273.15)))</f>
        <v>0.0109158068962335</v>
      </c>
    </row>
    <row r="159" s="14" customFormat="true" ht="16" hidden="false" customHeight="false" outlineLevel="0" collapsed="false">
      <c r="A159" s="22" t="s">
        <v>166</v>
      </c>
      <c r="B159" s="87" t="s">
        <v>366</v>
      </c>
      <c r="C159" s="14" t="s">
        <v>53</v>
      </c>
      <c r="D159" s="51" t="s">
        <v>367</v>
      </c>
      <c r="E159" s="24" t="s">
        <v>368</v>
      </c>
      <c r="F159" s="52" t="n">
        <v>4.9198</v>
      </c>
      <c r="G159" s="52" t="n">
        <v>-20.499</v>
      </c>
      <c r="H159" s="22" t="s">
        <v>78</v>
      </c>
      <c r="I159" s="22" t="s">
        <v>359</v>
      </c>
      <c r="J159" s="22" t="n">
        <v>2937</v>
      </c>
      <c r="K159" s="88" t="s">
        <v>166</v>
      </c>
      <c r="L159" s="22" t="s">
        <v>166</v>
      </c>
      <c r="M159" s="22"/>
      <c r="N159" s="22" t="n">
        <v>2937</v>
      </c>
      <c r="O159" s="22" t="s">
        <v>172</v>
      </c>
      <c r="P159" s="22" t="s">
        <v>172</v>
      </c>
      <c r="Q159" s="22" t="n">
        <v>2</v>
      </c>
      <c r="R159" s="25" t="s">
        <v>234</v>
      </c>
      <c r="S159" s="25" t="n">
        <v>34.91</v>
      </c>
      <c r="T159" s="22" t="n">
        <v>28.3941887550201</v>
      </c>
      <c r="U159" s="89" t="n">
        <v>6</v>
      </c>
      <c r="V159" s="42" t="n">
        <v>0.925</v>
      </c>
      <c r="W159" s="42" t="n">
        <v>0.017606816861659</v>
      </c>
      <c r="X159" s="90" t="n">
        <f aca="false">W159/SQRT(U159)</f>
        <v>0.00718795288428259</v>
      </c>
      <c r="Y159" s="27" t="n">
        <v>3.20333333333333</v>
      </c>
      <c r="Z159" s="42" t="n">
        <v>0.0338624669312008</v>
      </c>
      <c r="AA159" s="27" t="n">
        <f aca="false">Z159/SQRT(U159)</f>
        <v>0.0138242942355518</v>
      </c>
      <c r="AB159" s="27" t="n">
        <v>0.222318113</v>
      </c>
      <c r="AC159" s="27" t="n">
        <v>0.2</v>
      </c>
      <c r="AD159" s="27" t="n">
        <v>0.2</v>
      </c>
      <c r="AE159" s="43" t="n">
        <v>0.6635</v>
      </c>
      <c r="AF159" s="43" t="n">
        <v>0.0107385598041202</v>
      </c>
      <c r="AG159" s="61" t="n">
        <f aca="false">AF159*SQRT(U159)</f>
        <v>0.0263039920924562</v>
      </c>
      <c r="AH159" s="29" t="n">
        <v>2.66815428733826</v>
      </c>
      <c r="AI159" s="55" t="n">
        <v>0.0556307156697254</v>
      </c>
      <c r="AJ159" s="44" t="n">
        <v>2.66815428733826</v>
      </c>
      <c r="AK159" s="44" t="n">
        <v>0.0556307156697254</v>
      </c>
      <c r="AL159" s="27" t="s">
        <v>63</v>
      </c>
      <c r="AM159" s="14" t="n">
        <f aca="false">IF(AND(O159="Benthic, infaunal",M159="elegans"),(0.243-SQRT(((Y159)-(AB159))*0.0012+0.053337))/0.0006,IF(O159="Benthic",(0.245-SQRT(((Y159)-(AB159))*0.0044+0.045461))/0.0022,IF(O159="Benthic, infaunal",(0.245-(SQRT(0.045461+0.0044*((Y159-0.47)-(AB159)))))/0.0022,IF(O159="Benthic, epifaunal",(0.245-SQRT(((Y159)-(AB159))*0.0044+0.045461))/0.0022))))</f>
        <v>1.35098967377625</v>
      </c>
      <c r="AN159" s="45" t="n">
        <f aca="false">Y159-AB159</f>
        <v>2.98101522033333</v>
      </c>
      <c r="AO159" s="45" t="n">
        <f aca="false">SQRT((Z159^2)+(AC159^2))</f>
        <v>0.202846411520309</v>
      </c>
      <c r="AP159" s="46" t="n">
        <f aca="false">IF(NOT($M159="elegans"),(0.045461+0.0044*((AN159))),IF($M159="elegans",(0.053337+0.0012*((AN159)))))</f>
        <v>0.0585774669694667</v>
      </c>
      <c r="AQ159" s="46" t="n">
        <f aca="false">IF(NOT($M159="elegans"),(0.0044*((AO159))),IF($M159="elegans",(0.0012*((AO159)))))</f>
        <v>0.000892524210689361</v>
      </c>
      <c r="AR159" s="46" t="n">
        <f aca="false">SQRT(AP159)</f>
        <v>0.242027822717692</v>
      </c>
      <c r="AS159" s="46" t="n">
        <f aca="false">AR159*(0.5*(AQ159/AP159))</f>
        <v>0.00184384629970916</v>
      </c>
      <c r="AT159" s="46" t="n">
        <f aca="false">IF(NOT($M159="elegans"),AS159/0.0022,IF($M159="elegans",AS159/0.0006))</f>
        <v>0.838111954413253</v>
      </c>
      <c r="AU159" s="45" t="n">
        <f aca="false">Y159-AB159</f>
        <v>2.98101522033333</v>
      </c>
      <c r="AV159" s="45" t="n">
        <f aca="false">SQRT((AA159^2)+(AD159^2))</f>
        <v>0.200477208457997</v>
      </c>
      <c r="AW159" s="46" t="n">
        <f aca="false">IF(NOT($M159="elegans"),(0.045461+0.0044*((AU159))),IF($M159="elegans",(0.053337+0.0012*((AU159)))))</f>
        <v>0.0585774669694667</v>
      </c>
      <c r="AX159" s="46" t="n">
        <f aca="false">IF(NOT($M159="elegans"),(0.0044*((AV159))),IF($M159="elegans",(0.0012*((AV159)))))</f>
        <v>0.000882099717215186</v>
      </c>
      <c r="AY159" s="46" t="n">
        <f aca="false">SQRT(AW159)</f>
        <v>0.242027822717692</v>
      </c>
      <c r="AZ159" s="46" t="n">
        <f aca="false">AY159*(0.5*(AX159/AW159))</f>
        <v>0.00182231056601309</v>
      </c>
      <c r="BA159" s="46" t="n">
        <f aca="false">IF(NOT($M159="elegans"),AZ159/0.0022,IF($M159="elegans",AZ159/0.0006))</f>
        <v>0.828322984551404</v>
      </c>
      <c r="BE159" s="31" t="n">
        <f aca="false">AM159</f>
        <v>1.35098967377625</v>
      </c>
      <c r="BF159" s="31" t="n">
        <f aca="false">AT159</f>
        <v>0.838111954413253</v>
      </c>
      <c r="BG159" s="31" t="n">
        <f aca="false">BA159</f>
        <v>0.828322984551404</v>
      </c>
      <c r="BH159" s="14" t="n">
        <f aca="false">10^6/((BE159+273.15)^2)</f>
        <v>13.2712604045919</v>
      </c>
      <c r="BI159" s="14" t="n">
        <f aca="false">BH159*(2*($BF159/($BE159+273.15)))</f>
        <v>0.0810401595159153</v>
      </c>
      <c r="BJ159" s="14" t="n">
        <f aca="false">BH159*(2*($BG159/($BE159+273.15)))</f>
        <v>0.0800936276415953</v>
      </c>
      <c r="BL159" s="14" t="n">
        <f aca="false">10^6/((AH159+273.15)^2)</f>
        <v>13.1448097300338</v>
      </c>
      <c r="BM159" s="14" t="n">
        <f aca="false">BL159*(2*($AI159/($AH159+273.15)))</f>
        <v>0.00530244410135783</v>
      </c>
      <c r="BN159" s="14" t="n">
        <f aca="false">10^6/((AJ159+273.15)^2)</f>
        <v>13.1448097300338</v>
      </c>
      <c r="BO159" s="14" t="n">
        <f aca="false">BN159*(2*($AK159/($AJ159+273.15)))</f>
        <v>0.00530244410135783</v>
      </c>
    </row>
    <row r="160" s="14" customFormat="true" ht="16" hidden="false" customHeight="false" outlineLevel="0" collapsed="false">
      <c r="A160" s="22" t="s">
        <v>166</v>
      </c>
      <c r="B160" s="87" t="s">
        <v>369</v>
      </c>
      <c r="C160" s="14" t="s">
        <v>53</v>
      </c>
      <c r="D160" s="51" t="s">
        <v>370</v>
      </c>
      <c r="E160" s="24" t="s">
        <v>371</v>
      </c>
      <c r="F160" s="52" t="n">
        <v>5.4183</v>
      </c>
      <c r="G160" s="52" t="n">
        <v>-22.6995</v>
      </c>
      <c r="H160" s="22" t="s">
        <v>78</v>
      </c>
      <c r="I160" s="22" t="s">
        <v>359</v>
      </c>
      <c r="J160" s="22" t="n">
        <v>4263</v>
      </c>
      <c r="K160" s="88" t="s">
        <v>166</v>
      </c>
      <c r="L160" s="22" t="s">
        <v>166</v>
      </c>
      <c r="M160" s="22"/>
      <c r="N160" s="22" t="n">
        <v>4263</v>
      </c>
      <c r="O160" s="22" t="s">
        <v>172</v>
      </c>
      <c r="P160" s="22" t="s">
        <v>172</v>
      </c>
      <c r="Q160" s="22" t="n">
        <v>2</v>
      </c>
      <c r="R160" s="25" t="s">
        <v>234</v>
      </c>
      <c r="S160" s="25" t="n">
        <v>34.88</v>
      </c>
      <c r="T160" s="22" t="n">
        <v>2.87303090727817</v>
      </c>
      <c r="U160" s="89" t="n">
        <v>3</v>
      </c>
      <c r="V160" s="42" t="n">
        <v>0.856666666666666</v>
      </c>
      <c r="W160" s="42" t="n">
        <v>0.00577350269189626</v>
      </c>
      <c r="X160" s="90" t="n">
        <f aca="false">W160/SQRT(U160)</f>
        <v>0.00333333333333334</v>
      </c>
      <c r="Y160" s="27" t="n">
        <v>3.08333333333333</v>
      </c>
      <c r="Z160" s="42" t="n">
        <v>0.0230940107675851</v>
      </c>
      <c r="AA160" s="27" t="n">
        <f aca="false">Z160/SQRT(U160)</f>
        <v>0.0133333333333333</v>
      </c>
      <c r="AB160" s="27" t="n">
        <v>0.200590952</v>
      </c>
      <c r="AC160" s="27" t="n">
        <v>0.2</v>
      </c>
      <c r="AD160" s="27" t="n">
        <v>0.2</v>
      </c>
      <c r="AE160" s="43" t="n">
        <v>0.644333333333333</v>
      </c>
      <c r="AF160" s="43" t="n">
        <v>0.00635959467611298</v>
      </c>
      <c r="AG160" s="61" t="n">
        <f aca="false">AF160*SQRT(U160)</f>
        <v>0.0110151410945722</v>
      </c>
      <c r="AH160" s="29" t="n">
        <v>2.34999990463257</v>
      </c>
      <c r="AI160" s="55" t="n">
        <v>0.0235839333035983</v>
      </c>
      <c r="AJ160" s="44" t="n">
        <v>2.34999990463257</v>
      </c>
      <c r="AK160" s="44" t="n">
        <v>0.0235839333035983</v>
      </c>
      <c r="AL160" s="27" t="s">
        <v>63</v>
      </c>
      <c r="AM160" s="14" t="n">
        <f aca="false">IF(AND(O160="Benthic, infaunal",M160="elegans"),(0.243-SQRT(((Y160)-(AB160))*0.0012+0.053337))/0.0006,IF(O160="Benthic",(0.245-SQRT(((Y160)-(AB160))*0.0044+0.045461))/0.0022,IF(O160="Benthic, infaunal",(0.245-(SQRT(0.045461+0.0044*((Y160-0.47)-(AB160)))))/0.0022,IF(O160="Benthic, epifaunal",(0.245-SQRT(((Y160)-(AB160))*0.0044+0.045461))/0.0022))))</f>
        <v>1.75778119539028</v>
      </c>
      <c r="AN160" s="45" t="n">
        <f aca="false">Y160-AB160</f>
        <v>2.88274238133333</v>
      </c>
      <c r="AO160" s="45" t="n">
        <f aca="false">SQRT((Z160^2)+(AC160^2))</f>
        <v>0.201328918273887</v>
      </c>
      <c r="AP160" s="46" t="n">
        <f aca="false">IF(NOT($M160="elegans"),(0.045461+0.0044*((AN160))),IF($M160="elegans",(0.053337+0.0012*((AN160)))))</f>
        <v>0.0581450664778667</v>
      </c>
      <c r="AQ160" s="46" t="n">
        <f aca="false">IF(NOT($M160="elegans"),(0.0044*((AO160))),IF($M160="elegans",(0.0012*((AO160)))))</f>
        <v>0.000885847240405101</v>
      </c>
      <c r="AR160" s="46" t="n">
        <f aca="false">SQRT(AP160)</f>
        <v>0.241132881370141</v>
      </c>
      <c r="AS160" s="46" t="n">
        <f aca="false">AR160*(0.5*(AQ160/AP160))</f>
        <v>0.00183684455510926</v>
      </c>
      <c r="AT160" s="46" t="n">
        <f aca="false">IF(NOT($M160="elegans"),AS160/0.0022,IF($M160="elegans",AS160/0.0006))</f>
        <v>0.834929343231481</v>
      </c>
      <c r="AU160" s="45" t="n">
        <f aca="false">Y160-AB160</f>
        <v>2.88274238133333</v>
      </c>
      <c r="AV160" s="45" t="n">
        <f aca="false">SQRT((AA160^2)+(AD160^2))</f>
        <v>0.200443951711639</v>
      </c>
      <c r="AW160" s="46" t="n">
        <f aca="false">IF(NOT($M160="elegans"),(0.045461+0.0044*((AU160))),IF($M160="elegans",(0.053337+0.0012*((AU160)))))</f>
        <v>0.0581450664778667</v>
      </c>
      <c r="AX160" s="46" t="n">
        <f aca="false">IF(NOT($M160="elegans"),(0.0044*((AV160))),IF($M160="elegans",(0.0012*((AV160)))))</f>
        <v>0.000881953387531211</v>
      </c>
      <c r="AY160" s="46" t="n">
        <f aca="false">SQRT(AW160)</f>
        <v>0.241132881370141</v>
      </c>
      <c r="AZ160" s="46" t="n">
        <f aca="false">AY160*(0.5*(AX160/AW160))</f>
        <v>0.00182877047402217</v>
      </c>
      <c r="BA160" s="46" t="n">
        <f aca="false">IF(NOT($M160="elegans"),AZ160/0.0022,IF($M160="elegans",AZ160/0.0006))</f>
        <v>0.831259306373714</v>
      </c>
      <c r="BE160" s="31" t="n">
        <f aca="false">AM160</f>
        <v>1.75778119539028</v>
      </c>
      <c r="BF160" s="31" t="n">
        <f aca="false">AT160</f>
        <v>0.834929343231481</v>
      </c>
      <c r="BG160" s="31" t="n">
        <f aca="false">BA160</f>
        <v>0.831259306373714</v>
      </c>
      <c r="BH160" s="14" t="n">
        <f aca="false">10^6/((BE160+273.15)^2)</f>
        <v>13.2320134839963</v>
      </c>
      <c r="BI160" s="14" t="n">
        <f aca="false">BH160*(2*($BF160/($BE160+273.15)))</f>
        <v>0.0803745625517305</v>
      </c>
      <c r="BJ160" s="14" t="n">
        <f aca="false">BH160*(2*($BG160/($BE160+273.15)))</f>
        <v>0.0800212660609759</v>
      </c>
      <c r="BL160" s="14" t="n">
        <f aca="false">10^6/((AH160+273.15)^2)</f>
        <v>13.1751871791242</v>
      </c>
      <c r="BM160" s="14" t="n">
        <f aca="false">BL160*(2*($AI160/($AH160+273.15)))</f>
        <v>0.00225570044139709</v>
      </c>
      <c r="BN160" s="14" t="n">
        <f aca="false">10^6/((AJ160+273.15)^2)</f>
        <v>13.1751871791242</v>
      </c>
      <c r="BO160" s="14" t="n">
        <f aca="false">BN160*(2*($AK160/($AJ160+273.15)))</f>
        <v>0.00225570044139709</v>
      </c>
    </row>
    <row r="161" s="14" customFormat="true" ht="16" hidden="false" customHeight="false" outlineLevel="0" collapsed="false">
      <c r="A161" s="22" t="s">
        <v>166</v>
      </c>
      <c r="B161" s="92" t="s">
        <v>167</v>
      </c>
      <c r="C161" s="14" t="s">
        <v>53</v>
      </c>
      <c r="D161" s="23" t="s">
        <v>168</v>
      </c>
      <c r="E161" s="24" t="s">
        <v>169</v>
      </c>
      <c r="F161" s="22" t="n">
        <v>24.5</v>
      </c>
      <c r="G161" s="22" t="n">
        <v>-79.2</v>
      </c>
      <c r="H161" s="22" t="s">
        <v>78</v>
      </c>
      <c r="I161" s="22" t="s">
        <v>170</v>
      </c>
      <c r="J161" s="22" t="n">
        <v>390</v>
      </c>
      <c r="K161" s="25" t="s">
        <v>171</v>
      </c>
      <c r="L161" s="22" t="s">
        <v>166</v>
      </c>
      <c r="M161" s="22"/>
      <c r="N161" s="22" t="n">
        <v>390</v>
      </c>
      <c r="O161" s="22" t="s">
        <v>172</v>
      </c>
      <c r="P161" s="22" t="s">
        <v>172</v>
      </c>
      <c r="Q161" s="22" t="n">
        <v>2</v>
      </c>
      <c r="R161" s="25" t="s">
        <v>83</v>
      </c>
      <c r="S161" s="25" t="n">
        <v>36.112</v>
      </c>
      <c r="T161" s="22" t="n">
        <v>58.8078360655738</v>
      </c>
      <c r="U161" s="41" t="n">
        <v>12</v>
      </c>
      <c r="V161" s="42" t="n">
        <v>1.3725</v>
      </c>
      <c r="W161" s="42" t="n">
        <v>0.0336087109920248</v>
      </c>
      <c r="X161" s="42" t="n">
        <v>0.00970199916918093</v>
      </c>
      <c r="Y161" s="42" t="n">
        <v>0.565833333333333</v>
      </c>
      <c r="Z161" s="42" t="n">
        <v>0.178654482850065</v>
      </c>
      <c r="AA161" s="42" t="n">
        <v>0.0515731068827093</v>
      </c>
      <c r="AB161" s="27" t="n">
        <v>0.827906056</v>
      </c>
      <c r="AC161" s="27" t="n">
        <v>0.2</v>
      </c>
      <c r="AD161" s="27" t="n">
        <v>0.2</v>
      </c>
      <c r="AE161" s="43" t="n">
        <v>0.615666666666666</v>
      </c>
      <c r="AF161" s="43" t="n">
        <v>0.00465528916091334</v>
      </c>
      <c r="AG161" s="61" t="n">
        <f aca="false">AF161*SQRT(U161)</f>
        <v>0.0161263947012532</v>
      </c>
      <c r="AH161" s="29" t="n">
        <v>16.5000583648682</v>
      </c>
      <c r="AI161" s="27" t="n">
        <v>0.0875239513814449</v>
      </c>
      <c r="AJ161" s="44" t="n">
        <v>16.5000583648682</v>
      </c>
      <c r="AK161" s="44" t="n">
        <v>0.0875239513814449</v>
      </c>
      <c r="AL161" s="27" t="s">
        <v>63</v>
      </c>
      <c r="AM161" s="14" t="n">
        <f aca="false">IF(AND(O161="Benthic, infaunal",M161="elegans"),(0.243-SQRT(((Y161)-(AB161))*0.0012+0.053337))/0.0006,IF(O161="Benthic",(0.245-SQRT(((Y161)-(AB161))*0.0044+0.045461))/0.0022,IF(O161="Benthic, infaunal",(0.245-(SQRT(0.045461+0.0044*((Y161-0.47)-(AB161)))))/0.0022,IF(O161="Benthic, epifaunal",(0.245-SQRT(((Y161)-(AB161))*0.0044+0.045461))/0.0022))))</f>
        <v>15.6843770367355</v>
      </c>
      <c r="AN161" s="45" t="n">
        <v>-0.262072722666667</v>
      </c>
      <c r="AO161" s="45" t="n">
        <v>0.268174242317237</v>
      </c>
      <c r="AP161" s="46" t="n">
        <f aca="false">IF(NOT(M161="elegans"),(0.045461+0.0044*((AN161))),IF(M161="elegans",(0.053337+0.0012*((AN161)))))</f>
        <v>0.0443078800202667</v>
      </c>
      <c r="AQ161" s="46" t="n">
        <v>0.00117996666619584</v>
      </c>
      <c r="AR161" s="46" t="n">
        <v>0.210494370519182</v>
      </c>
      <c r="AS161" s="46" t="n">
        <v>0.00280284613618281</v>
      </c>
      <c r="AT161" s="46" t="n">
        <v>1.27402097099219</v>
      </c>
      <c r="AU161" s="45" t="n">
        <v>-0.262072722666667</v>
      </c>
      <c r="AV161" s="45" t="n">
        <v>0.206542454119087</v>
      </c>
      <c r="AW161" s="46" t="n">
        <v>0.0443078800202667</v>
      </c>
      <c r="AX161" s="46" t="n">
        <v>0.000908786798123985</v>
      </c>
      <c r="AY161" s="46" t="n">
        <v>0.210494370519182</v>
      </c>
      <c r="AZ161" s="46" t="n">
        <v>0.00215869620617994</v>
      </c>
      <c r="BA161" s="46" t="n">
        <v>0.981225548263608</v>
      </c>
      <c r="BE161" s="31" t="n">
        <f aca="false">AM161</f>
        <v>15.6843770367355</v>
      </c>
      <c r="BF161" s="31" t="n">
        <f aca="false">AT161</f>
        <v>1.27402097099219</v>
      </c>
      <c r="BG161" s="31" t="n">
        <f aca="false">BA161</f>
        <v>0.981225548263608</v>
      </c>
      <c r="BH161" s="14" t="n">
        <f aca="false">10^6/((BE161+273.15)^2)</f>
        <v>11.986771778665</v>
      </c>
      <c r="BI161" s="14" t="n">
        <f aca="false">BH161*(2*($BF161/($BE161+273.15)))</f>
        <v>0.105745020916082</v>
      </c>
      <c r="BJ161" s="14" t="n">
        <f aca="false">BH161*(2*($BG161/($BE161+273.15)))</f>
        <v>0.0814427065856877</v>
      </c>
      <c r="BL161" s="14" t="n">
        <f aca="false">10^6/((AH161+273.15)^2)</f>
        <v>11.919355124455</v>
      </c>
      <c r="BM161" s="14" t="n">
        <f aca="false">BL161*(2*($AI161/($AH161+273.15)))</f>
        <v>0.00720337544069705</v>
      </c>
      <c r="BN161" s="14" t="n">
        <f aca="false">10^6/((AJ161+273.15)^2)</f>
        <v>11.919355124455</v>
      </c>
      <c r="BO161" s="14" t="n">
        <f aca="false">BN161*(2*($AK161/($AJ161+273.15)))</f>
        <v>0.00720337544069705</v>
      </c>
    </row>
    <row r="162" s="14" customFormat="true" ht="16" hidden="false" customHeight="false" outlineLevel="0" collapsed="false">
      <c r="A162" s="22" t="s">
        <v>179</v>
      </c>
      <c r="B162" s="92" t="s">
        <v>180</v>
      </c>
      <c r="C162" s="14" t="s">
        <v>53</v>
      </c>
      <c r="D162" s="23" t="s">
        <v>181</v>
      </c>
      <c r="E162" s="24" t="s">
        <v>169</v>
      </c>
      <c r="F162" s="22" t="n">
        <v>24.5</v>
      </c>
      <c r="G162" s="22" t="n">
        <v>-79.2</v>
      </c>
      <c r="H162" s="22" t="s">
        <v>78</v>
      </c>
      <c r="I162" s="22" t="s">
        <v>170</v>
      </c>
      <c r="J162" s="22" t="n">
        <v>390</v>
      </c>
      <c r="K162" s="25" t="s">
        <v>179</v>
      </c>
      <c r="L162" s="22" t="s">
        <v>182</v>
      </c>
      <c r="M162" s="22" t="s">
        <v>183</v>
      </c>
      <c r="N162" s="22" t="n">
        <v>390</v>
      </c>
      <c r="O162" s="22" t="s">
        <v>172</v>
      </c>
      <c r="P162" s="22" t="s">
        <v>172</v>
      </c>
      <c r="Q162" s="22" t="n">
        <v>2</v>
      </c>
      <c r="R162" s="25" t="s">
        <v>83</v>
      </c>
      <c r="S162" s="25" t="n">
        <v>36.112</v>
      </c>
      <c r="T162" s="22" t="n">
        <v>58.8078360655738</v>
      </c>
      <c r="U162" s="41" t="n">
        <v>5</v>
      </c>
      <c r="V162" s="42" t="n">
        <v>1.506</v>
      </c>
      <c r="W162" s="42" t="n">
        <v>0.0568330889535313</v>
      </c>
      <c r="X162" s="42" t="n">
        <v>0.0254165300542777</v>
      </c>
      <c r="Y162" s="42" t="n">
        <v>0.572</v>
      </c>
      <c r="Z162" s="42" t="n">
        <v>0.0601664358259653</v>
      </c>
      <c r="AA162" s="42" t="n">
        <v>0.0269072480941474</v>
      </c>
      <c r="AB162" s="27" t="n">
        <v>0.827906056</v>
      </c>
      <c r="AC162" s="27" t="n">
        <v>0.2</v>
      </c>
      <c r="AD162" s="27" t="n">
        <v>0.2</v>
      </c>
      <c r="AE162" s="43" t="n">
        <v>0.6308</v>
      </c>
      <c r="AF162" s="43" t="n">
        <v>0.0107861021689951</v>
      </c>
      <c r="AG162" s="61" t="n">
        <f aca="false">AF162*SQRT(U162)</f>
        <v>0.0241184576621309</v>
      </c>
      <c r="AH162" s="29" t="n">
        <v>16.5000583648682</v>
      </c>
      <c r="AI162" s="27" t="n">
        <v>0.0875239513814449</v>
      </c>
      <c r="AJ162" s="44" t="n">
        <v>16.5000583648682</v>
      </c>
      <c r="AK162" s="44" t="n">
        <v>0.0875239513814449</v>
      </c>
      <c r="AL162" s="27" t="s">
        <v>63</v>
      </c>
      <c r="AM162" s="14" t="n">
        <f aca="false">IF(AND(O162="Benthic, infaunal",M162="elegans"),(0.243-SQRT(((Y162)-(AB162))*0.0012+0.053337))/0.0006,IF(O162="Benthic",(0.245-SQRT(((Y162)-(AB162))*0.0044+0.045461))/0.0022,IF(O162="Benthic, infaunal",(0.245-(SQRT(0.045461+0.0044*((Y162-0.47)-(AB162)))))/0.0022,IF(O162="Benthic, epifaunal",(0.245-SQRT(((Y162)-(AB162))*0.0044+0.045461))/0.0022))))</f>
        <v>15.6550854084035</v>
      </c>
      <c r="AN162" s="45" t="n">
        <v>-0.255906056</v>
      </c>
      <c r="AO162" s="45" t="n">
        <v>0.208854016001608</v>
      </c>
      <c r="AP162" s="46" t="n">
        <f aca="false">IF(NOT(M162="elegans"),(0.045461+0.0044*((AN162))),IF(M162="elegans",(0.053337+0.0012*((AN162)))))</f>
        <v>0.0443350133536</v>
      </c>
      <c r="AQ162" s="46" t="n">
        <v>0.000918957670407076</v>
      </c>
      <c r="AR162" s="46" t="n">
        <v>0.210558812101512</v>
      </c>
      <c r="AS162" s="46" t="n">
        <v>0.00218218763022855</v>
      </c>
      <c r="AT162" s="46" t="n">
        <v>0.991903468285705</v>
      </c>
      <c r="AU162" s="45" t="n">
        <v>-0.255906056</v>
      </c>
      <c r="AV162" s="45" t="n">
        <v>0.201801883043742</v>
      </c>
      <c r="AW162" s="46" t="n">
        <v>0.0443350133536</v>
      </c>
      <c r="AX162" s="46" t="n">
        <v>0.000887928285392464</v>
      </c>
      <c r="AY162" s="46" t="n">
        <v>0.210558812101512</v>
      </c>
      <c r="AZ162" s="46" t="n">
        <v>0.00210850421440539</v>
      </c>
      <c r="BA162" s="46" t="n">
        <v>0.958411006547905</v>
      </c>
      <c r="BE162" s="31" t="n">
        <f aca="false">AM162</f>
        <v>15.6550854084035</v>
      </c>
      <c r="BF162" s="31" t="n">
        <f aca="false">AT162</f>
        <v>0.991903468285705</v>
      </c>
      <c r="BG162" s="31" t="n">
        <f aca="false">BA162</f>
        <v>0.958411006547905</v>
      </c>
      <c r="BH162" s="14" t="n">
        <f aca="false">10^6/((BE162+273.15)^2)</f>
        <v>11.9892033831422</v>
      </c>
      <c r="BI162" s="14" t="n">
        <f aca="false">BH162*(2*($BF162/($BE162+273.15)))</f>
        <v>0.0823540375052927</v>
      </c>
      <c r="BJ162" s="14" t="n">
        <f aca="false">BH162*(2*($BG162/($BE162+273.15)))</f>
        <v>0.0795732835929524</v>
      </c>
      <c r="BL162" s="14" t="n">
        <f aca="false">10^6/((AH162+273.15)^2)</f>
        <v>11.919355124455</v>
      </c>
      <c r="BM162" s="14" t="n">
        <f aca="false">BL162*(2*($AI162/($AH162+273.15)))</f>
        <v>0.00720337544069705</v>
      </c>
      <c r="BN162" s="14" t="n">
        <f aca="false">10^6/((AJ162+273.15)^2)</f>
        <v>11.919355124455</v>
      </c>
      <c r="BO162" s="14" t="n">
        <f aca="false">BN162*(2*($AK162/($AJ162+273.15)))</f>
        <v>0.00720337544069705</v>
      </c>
    </row>
    <row r="163" s="14" customFormat="true" ht="16" hidden="false" customHeight="false" outlineLevel="0" collapsed="false">
      <c r="A163" s="22" t="s">
        <v>166</v>
      </c>
      <c r="B163" s="42" t="s">
        <v>388</v>
      </c>
      <c r="C163" s="14" t="s">
        <v>53</v>
      </c>
      <c r="D163" s="51" t="s">
        <v>389</v>
      </c>
      <c r="E163" s="24" t="s">
        <v>390</v>
      </c>
      <c r="F163" s="57" t="n">
        <v>26.2508</v>
      </c>
      <c r="G163" s="59" t="n">
        <v>-77.7037</v>
      </c>
      <c r="H163" s="22" t="s">
        <v>78</v>
      </c>
      <c r="I163" s="22" t="s">
        <v>391</v>
      </c>
      <c r="J163" s="22" t="n">
        <v>479</v>
      </c>
      <c r="K163" s="88" t="s">
        <v>166</v>
      </c>
      <c r="L163" s="22" t="s">
        <v>166</v>
      </c>
      <c r="M163" s="22"/>
      <c r="N163" s="22" t="n">
        <v>479</v>
      </c>
      <c r="O163" s="22" t="s">
        <v>172</v>
      </c>
      <c r="P163" s="22" t="s">
        <v>172</v>
      </c>
      <c r="Q163" s="22" t="n">
        <v>2</v>
      </c>
      <c r="R163" s="25" t="s">
        <v>234</v>
      </c>
      <c r="S163" s="25" t="n">
        <v>36.31</v>
      </c>
      <c r="T163" s="22" t="n">
        <v>121.684253968254</v>
      </c>
      <c r="U163" s="89" t="n">
        <v>3</v>
      </c>
      <c r="V163" s="42" t="n">
        <v>1.69666666666667</v>
      </c>
      <c r="W163" s="42" t="n">
        <v>0.0208166599946613</v>
      </c>
      <c r="X163" s="90" t="n">
        <f aca="false">W163/SQRT(U163)</f>
        <v>0.0120185042515466</v>
      </c>
      <c r="Y163" s="27" t="n">
        <v>0.913333333333333</v>
      </c>
      <c r="Z163" s="42" t="n">
        <v>0.055075705472861</v>
      </c>
      <c r="AA163" s="27" t="n">
        <f aca="false">Z163/SQRT(U163)</f>
        <v>0.0317979733805648</v>
      </c>
      <c r="AB163" s="27" t="n">
        <v>0.8292917558</v>
      </c>
      <c r="AC163" s="27" t="n">
        <v>0.2</v>
      </c>
      <c r="AD163" s="27" t="n">
        <v>0.2</v>
      </c>
      <c r="AE163" s="43" t="n">
        <v>0.64</v>
      </c>
      <c r="AF163" s="43" t="n">
        <v>0.00721110255092799</v>
      </c>
      <c r="AG163" s="61" t="n">
        <f aca="false">AF163*SQRT(U163)</f>
        <v>0.0124899959967968</v>
      </c>
      <c r="AH163" s="29" t="n">
        <v>16.4746356964111</v>
      </c>
      <c r="AI163" s="55" t="n">
        <v>0.0757131330668926</v>
      </c>
      <c r="AJ163" s="44" t="n">
        <v>16.4746356964111</v>
      </c>
      <c r="AK163" s="44" t="n">
        <v>0.0757131330668926</v>
      </c>
      <c r="AL163" s="27" t="s">
        <v>63</v>
      </c>
      <c r="AM163" s="14" t="n">
        <f aca="false">IF(AND(O163="Benthic, infaunal",M163="elegans"),(0.243-SQRT(((Y163)-(AB163))*0.0012+0.053337))/0.0006,IF(O163="Benthic",(0.245-SQRT(((Y163)-(AB163))*0.0044+0.045461))/0.0022,IF(O163="Benthic, infaunal",(0.245-(SQRT(0.045461+0.0044*((Y163-0.47)-(AB163)))))/0.0022,IF(O163="Benthic, epifaunal",(0.245-SQRT(((Y163)-(AB163))*0.0044+0.045461))/0.0022))))</f>
        <v>14.0539758505992</v>
      </c>
      <c r="AN163" s="45" t="n">
        <f aca="false">Y163-AB163</f>
        <v>0.0840415775333335</v>
      </c>
      <c r="AO163" s="45" t="n">
        <f aca="false">SQRT((Z163^2)+(AC163^2))</f>
        <v>0.207444771766688</v>
      </c>
      <c r="AP163" s="46" t="n">
        <f aca="false">IF(NOT($M163="elegans"),(0.045461+0.0044*((AN163))),IF($M163="elegans",(0.053337+0.0012*((AN163)))))</f>
        <v>0.0458307829411467</v>
      </c>
      <c r="AQ163" s="46" t="n">
        <f aca="false">IF(NOT($M163="elegans"),(0.0044*((AO163))),IF($M163="elegans",(0.0012*((AO163)))))</f>
        <v>0.000912756995773428</v>
      </c>
      <c r="AR163" s="46" t="n">
        <f aca="false">SQRT(AP163)</f>
        <v>0.214081253128682</v>
      </c>
      <c r="AS163" s="46" t="n">
        <f aca="false">AR163*(0.5*(AQ163/AP163))</f>
        <v>0.00213180038521351</v>
      </c>
      <c r="AT163" s="46" t="n">
        <f aca="false">IF(NOT($M163="elegans"),AS163/0.0022,IF($M163="elegans",AS163/0.0006))</f>
        <v>0.969000175097049</v>
      </c>
      <c r="AU163" s="45" t="n">
        <f aca="false">Y163-AB163</f>
        <v>0.0840415775333335</v>
      </c>
      <c r="AV163" s="45" t="n">
        <f aca="false">SQRT((AA163^2)+(AD163^2))</f>
        <v>0.202512002387787</v>
      </c>
      <c r="AW163" s="46" t="n">
        <f aca="false">IF(NOT($M163="elegans"),(0.045461+0.0044*((AU163))),IF($M163="elegans",(0.053337+0.0012*((AU163)))))</f>
        <v>0.0458307829411467</v>
      </c>
      <c r="AX163" s="46" t="n">
        <f aca="false">IF(NOT($M163="elegans"),(0.0044*((AV163))),IF($M163="elegans",(0.0012*((AV163)))))</f>
        <v>0.000891052810506264</v>
      </c>
      <c r="AY163" s="46" t="n">
        <f aca="false">SQRT(AW163)</f>
        <v>0.214081253128682</v>
      </c>
      <c r="AZ163" s="46" t="n">
        <f aca="false">AY163*(0.5*(AX163/AW163))</f>
        <v>0.00208110891888946</v>
      </c>
      <c r="BA163" s="46" t="n">
        <f aca="false">IF(NOT($M163="elegans"),AZ163/0.0022,IF($M163="elegans",AZ163/0.0006))</f>
        <v>0.94595859949521</v>
      </c>
      <c r="BE163" s="31" t="n">
        <f aca="false">AM163</f>
        <v>14.0539758505992</v>
      </c>
      <c r="BF163" s="31" t="n">
        <f aca="false">AT163</f>
        <v>0.969000175097049</v>
      </c>
      <c r="BG163" s="31" t="n">
        <f aca="false">BA163</f>
        <v>0.94595859949521</v>
      </c>
      <c r="BH163" s="14" t="n">
        <f aca="false">10^6/((BE163+273.15)^2)</f>
        <v>12.1232512161537</v>
      </c>
      <c r="BI163" s="14" t="n">
        <f aca="false">BH163*(2*($BF163/($BE163+273.15)))</f>
        <v>0.0818055008911809</v>
      </c>
      <c r="BJ163" s="14" t="n">
        <f aca="false">BH163*(2*($BG163/($BE163+273.15)))</f>
        <v>0.0798602714868191</v>
      </c>
      <c r="BL163" s="14" t="n">
        <f aca="false">10^6/((AH163+273.15)^2)</f>
        <v>11.9214477303699</v>
      </c>
      <c r="BM163" s="14" t="n">
        <f aca="false">BL163*(2*($AI163/($AH163+273.15)))</f>
        <v>0.00623296534280758</v>
      </c>
      <c r="BN163" s="14" t="n">
        <f aca="false">10^6/((AJ163+273.15)^2)</f>
        <v>11.9214477303699</v>
      </c>
      <c r="BO163" s="14" t="n">
        <f aca="false">BN163*(2*($AK163/($AJ163+273.15)))</f>
        <v>0.00623296534280758</v>
      </c>
    </row>
    <row r="164" s="14" customFormat="true" ht="16" hidden="false" customHeight="false" outlineLevel="0" collapsed="false">
      <c r="A164" s="22" t="s">
        <v>166</v>
      </c>
      <c r="B164" s="42" t="s">
        <v>394</v>
      </c>
      <c r="C164" s="14" t="s">
        <v>53</v>
      </c>
      <c r="D164" s="51" t="s">
        <v>395</v>
      </c>
      <c r="E164" s="24" t="s">
        <v>396</v>
      </c>
      <c r="F164" s="57" t="n">
        <v>26.2258</v>
      </c>
      <c r="G164" s="59" t="n">
        <v>-77.7018</v>
      </c>
      <c r="H164" s="22" t="s">
        <v>78</v>
      </c>
      <c r="I164" s="22" t="s">
        <v>391</v>
      </c>
      <c r="J164" s="22" t="n">
        <v>830</v>
      </c>
      <c r="K164" s="88" t="s">
        <v>166</v>
      </c>
      <c r="L164" s="22" t="s">
        <v>166</v>
      </c>
      <c r="M164" s="22"/>
      <c r="N164" s="22" t="n">
        <v>830</v>
      </c>
      <c r="O164" s="22" t="s">
        <v>172</v>
      </c>
      <c r="P164" s="22" t="s">
        <v>172</v>
      </c>
      <c r="Q164" s="22" t="n">
        <v>2</v>
      </c>
      <c r="R164" s="25" t="s">
        <v>234</v>
      </c>
      <c r="S164" s="25" t="n">
        <v>35.17</v>
      </c>
      <c r="T164" s="22" t="n">
        <v>53.9396640316206</v>
      </c>
      <c r="U164" s="89" t="n">
        <v>4</v>
      </c>
      <c r="V164" s="42" t="n">
        <v>1.16</v>
      </c>
      <c r="W164" s="42" t="n">
        <v>0.0408248290463863</v>
      </c>
      <c r="X164" s="90" t="n">
        <f aca="false">W164/SQRT(U164)</f>
        <v>0.0204124145231932</v>
      </c>
      <c r="Y164" s="27" t="n">
        <v>2.16</v>
      </c>
      <c r="Z164" s="42" t="n">
        <v>0.0875595035770915</v>
      </c>
      <c r="AA164" s="27" t="n">
        <f aca="false">Z164/SQRT(U164)</f>
        <v>0.0437797517885458</v>
      </c>
      <c r="AB164" s="27" t="n">
        <v>0.377079863</v>
      </c>
      <c r="AC164" s="27" t="n">
        <v>0.2</v>
      </c>
      <c r="AD164" s="27" t="n">
        <v>0.2</v>
      </c>
      <c r="AE164" s="43" t="n">
        <v>0.6685</v>
      </c>
      <c r="AF164" s="43" t="n">
        <v>0.0115289490703475</v>
      </c>
      <c r="AG164" s="61" t="n">
        <f aca="false">AF164*SQRT(U164)</f>
        <v>0.023057898140695</v>
      </c>
      <c r="AH164" s="29" t="n">
        <v>8.60078086853028</v>
      </c>
      <c r="AI164" s="55" t="n">
        <v>0.0757131330668926</v>
      </c>
      <c r="AJ164" s="44" t="n">
        <v>8.60078086853028</v>
      </c>
      <c r="AK164" s="44" t="n">
        <v>0.0757131330668926</v>
      </c>
      <c r="AL164" s="27" t="s">
        <v>63</v>
      </c>
      <c r="AM164" s="14" t="n">
        <f aca="false">IF(AND(O164="Benthic, infaunal",M164="elegans"),(0.243-SQRT(((Y164)-(AB164))*0.0012+0.053337))/0.0006,IF(O164="Benthic",(0.245-SQRT(((Y164)-(AB164))*0.0044+0.045461))/0.0022,IF(O164="Benthic, infaunal",(0.245-(SQRT(0.045461+0.0044*((Y164-0.47)-(AB164)))))/0.0022,IF(O164="Benthic, epifaunal",(0.245-SQRT(((Y164)-(AB164))*0.0044+0.045461))/0.0022))))</f>
        <v>6.41791189987776</v>
      </c>
      <c r="AN164" s="45" t="n">
        <f aca="false">Y164-AB164</f>
        <v>1.782920137</v>
      </c>
      <c r="AO164" s="45" t="n">
        <f aca="false">SQRT((Z164^2)+(AC164^2))</f>
        <v>0.218326971917504</v>
      </c>
      <c r="AP164" s="46" t="n">
        <f aca="false">IF(NOT($M164="elegans"),(0.045461+0.0044*((AN164))),IF($M164="elegans",(0.053337+0.0012*((AN164)))))</f>
        <v>0.0533058486028</v>
      </c>
      <c r="AQ164" s="46" t="n">
        <f aca="false">IF(NOT($M164="elegans"),(0.0044*((AO164))),IF($M164="elegans",(0.0012*((AO164)))))</f>
        <v>0.000960638676437019</v>
      </c>
      <c r="AR164" s="46" t="n">
        <f aca="false">SQRT(AP164)</f>
        <v>0.230880593820269</v>
      </c>
      <c r="AS164" s="46" t="n">
        <f aca="false">AR164*(0.5*(AQ164/AP164))</f>
        <v>0.00208037986333498</v>
      </c>
      <c r="AT164" s="46" t="n">
        <f aca="false">IF(NOT($M164="elegans"),AS164/0.0022,IF($M164="elegans",AS164/0.0006))</f>
        <v>0.945627210606808</v>
      </c>
      <c r="AU164" s="45" t="n">
        <f aca="false">Y164-AB164</f>
        <v>1.782920137</v>
      </c>
      <c r="AV164" s="45" t="n">
        <f aca="false">SQRT((AA164^2)+(AD164^2))</f>
        <v>0.204735601854359</v>
      </c>
      <c r="AW164" s="46" t="n">
        <f aca="false">IF(NOT($M164="elegans"),(0.045461+0.0044*((AU164))),IF($M164="elegans",(0.053337+0.0012*((AU164)))))</f>
        <v>0.0533058486028</v>
      </c>
      <c r="AX164" s="46" t="n">
        <f aca="false">IF(NOT($M164="elegans"),(0.0044*((AV164))),IF($M164="elegans",(0.0012*((AV164)))))</f>
        <v>0.00090083664815918</v>
      </c>
      <c r="AY164" s="46" t="n">
        <f aca="false">SQRT(AW164)</f>
        <v>0.230880593820269</v>
      </c>
      <c r="AZ164" s="46" t="n">
        <f aca="false">AY164*(0.5*(AX164/AW164))</f>
        <v>0.00195087129943118</v>
      </c>
      <c r="BA164" s="46" t="n">
        <f aca="false">IF(NOT($M164="elegans"),AZ164/0.0022,IF($M164="elegans",AZ164/0.0006))</f>
        <v>0.886759681559627</v>
      </c>
      <c r="BE164" s="31" t="n">
        <f aca="false">AM164</f>
        <v>6.41791189987776</v>
      </c>
      <c r="BF164" s="31" t="n">
        <f aca="false">AT164</f>
        <v>0.945627210606808</v>
      </c>
      <c r="BG164" s="31" t="n">
        <f aca="false">BA164</f>
        <v>0.886759681559627</v>
      </c>
      <c r="BH164" s="14" t="n">
        <f aca="false">10^6/((BE164+273.15)^2)</f>
        <v>12.7945599800727</v>
      </c>
      <c r="BI164" s="14" t="n">
        <f aca="false">BH164*(2*($BF164/($BE164+273.15)))</f>
        <v>0.0865541684142254</v>
      </c>
      <c r="BJ164" s="14" t="n">
        <f aca="false">BH164*(2*($BG164/($BE164+273.15)))</f>
        <v>0.0811659668416317</v>
      </c>
      <c r="BL164" s="14" t="n">
        <f aca="false">10^6/((AH164+273.15)^2)</f>
        <v>12.5970758187159</v>
      </c>
      <c r="BM164" s="14" t="n">
        <f aca="false">BL164*(2*($AI164/($AH164+273.15)))</f>
        <v>0.00677026750219525</v>
      </c>
      <c r="BN164" s="14" t="n">
        <f aca="false">10^6/((AJ164+273.15)^2)</f>
        <v>12.5970758187159</v>
      </c>
      <c r="BO164" s="14" t="n">
        <f aca="false">BN164*(2*($AK164/($AJ164+273.15)))</f>
        <v>0.00677026750219525</v>
      </c>
    </row>
    <row r="165" s="14" customFormat="true" ht="16" hidden="false" customHeight="false" outlineLevel="0" collapsed="false">
      <c r="A165" s="22" t="s">
        <v>166</v>
      </c>
      <c r="B165" s="40" t="s">
        <v>188</v>
      </c>
      <c r="C165" s="14" t="s">
        <v>53</v>
      </c>
      <c r="D165" s="23" t="s">
        <v>189</v>
      </c>
      <c r="E165" s="24" t="s">
        <v>190</v>
      </c>
      <c r="F165" s="22" t="n">
        <v>24.2</v>
      </c>
      <c r="G165" s="22" t="n">
        <v>-83.3</v>
      </c>
      <c r="H165" s="22" t="s">
        <v>158</v>
      </c>
      <c r="I165" s="22" t="s">
        <v>191</v>
      </c>
      <c r="J165" s="22" t="n">
        <v>750</v>
      </c>
      <c r="K165" s="25" t="s">
        <v>171</v>
      </c>
      <c r="L165" s="22" t="s">
        <v>166</v>
      </c>
      <c r="M165" s="22"/>
      <c r="N165" s="22" t="n">
        <v>750</v>
      </c>
      <c r="O165" s="22" t="s">
        <v>172</v>
      </c>
      <c r="P165" s="22" t="s">
        <v>172</v>
      </c>
      <c r="Q165" s="22" t="n">
        <v>2</v>
      </c>
      <c r="R165" s="25" t="s">
        <v>83</v>
      </c>
      <c r="S165" s="25" t="n">
        <v>34.901</v>
      </c>
      <c r="T165" s="22" t="n">
        <v>44.9214701195219</v>
      </c>
      <c r="U165" s="40" t="n">
        <v>9</v>
      </c>
      <c r="V165" s="42" t="n">
        <v>0.767777777777778</v>
      </c>
      <c r="W165" s="42" t="n">
        <v>0.0253859103528797</v>
      </c>
      <c r="X165" s="42" t="n">
        <v>0.00846197011762657</v>
      </c>
      <c r="Y165" s="42" t="n">
        <v>2.28444444444444</v>
      </c>
      <c r="Z165" s="42" t="n">
        <v>0.0729916281348606</v>
      </c>
      <c r="AA165" s="42" t="n">
        <v>0.0243305427116202</v>
      </c>
      <c r="AB165" s="27" t="n">
        <v>0.22499483</v>
      </c>
      <c r="AC165" s="27" t="n">
        <v>0.2</v>
      </c>
      <c r="AD165" s="27" t="n">
        <v>0.2</v>
      </c>
      <c r="AE165" s="43" t="n">
        <v>0.671777777777778</v>
      </c>
      <c r="AF165" s="43" t="n">
        <v>0.00752731650903298</v>
      </c>
      <c r="AG165" s="61" t="n">
        <f aca="false">AF165*SQRT(U165)</f>
        <v>0.0225819495270989</v>
      </c>
      <c r="AH165" s="29" t="n">
        <v>6.75129127502441</v>
      </c>
      <c r="AI165" s="27" t="n">
        <v>0.0743986049334386</v>
      </c>
      <c r="AJ165" s="44" t="n">
        <v>6.75129127502441</v>
      </c>
      <c r="AK165" s="44" t="n">
        <v>0.0743986049334386</v>
      </c>
      <c r="AL165" s="27" t="s">
        <v>63</v>
      </c>
      <c r="AM165" s="14" t="n">
        <f aca="false">IF(AND(O165="Benthic, infaunal",M165="elegans"),(0.243-SQRT(((Y165)-(AB165))*0.0012+0.053337))/0.0006,IF(O165="Benthic",(0.245-SQRT(((Y165)-(AB165))*0.0044+0.045461))/0.0022,IF(O165="Benthic, infaunal",(0.245-(SQRT(0.045461+0.0044*((Y165-0.47)-(AB165)))))/0.0022,IF(O165="Benthic, epifaunal",(0.245-SQRT(((Y165)-(AB165))*0.0044+0.045461))/0.0022))))</f>
        <v>5.22695317981182</v>
      </c>
      <c r="AN165" s="45" t="n">
        <v>2.05944961444444</v>
      </c>
      <c r="AO165" s="45" t="n">
        <v>0.212903212229825</v>
      </c>
      <c r="AP165" s="46" t="n">
        <f aca="false">IF(NOT(M165="elegans"),(0.045461+0.0044*((AN165))),IF(M165="elegans",(0.053337+0.0012*((AN165)))))</f>
        <v>0.0545225783035556</v>
      </c>
      <c r="AQ165" s="46" t="n">
        <v>0.000936774133811229</v>
      </c>
      <c r="AR165" s="46" t="n">
        <v>0.233500703004414</v>
      </c>
      <c r="AS165" s="46" t="n">
        <v>0.00200593429004263</v>
      </c>
      <c r="AT165" s="46" t="n">
        <v>0.911788313655741</v>
      </c>
      <c r="AU165" s="45" t="n">
        <v>2.05944961444444</v>
      </c>
      <c r="AV165" s="45" t="n">
        <v>0.201474502874786</v>
      </c>
      <c r="AW165" s="46" t="n">
        <v>0.0545225783035556</v>
      </c>
      <c r="AX165" s="46" t="n">
        <v>0.000886487812649057</v>
      </c>
      <c r="AY165" s="46" t="n">
        <v>0.233500703004414</v>
      </c>
      <c r="AZ165" s="46" t="n">
        <v>0.00189825512566508</v>
      </c>
      <c r="BA165" s="46" t="n">
        <v>0.862843238938672</v>
      </c>
      <c r="BE165" s="31" t="n">
        <f aca="false">AM165</f>
        <v>5.22695317981182</v>
      </c>
      <c r="BF165" s="31" t="n">
        <f aca="false">AT165</f>
        <v>0.911788313655741</v>
      </c>
      <c r="BG165" s="31" t="n">
        <f aca="false">BA165</f>
        <v>0.862843238938672</v>
      </c>
      <c r="BH165" s="14" t="n">
        <f aca="false">10^6/((BE165+273.15)^2)</f>
        <v>12.9042701262756</v>
      </c>
      <c r="BI165" s="14" t="n">
        <f aca="false">BH165*(2*($BF165/($BE165+273.15)))</f>
        <v>0.0845325919620581</v>
      </c>
      <c r="BJ165" s="14" t="n">
        <f aca="false">BH165*(2*($BG165/($BE165+273.15)))</f>
        <v>0.0799948566482311</v>
      </c>
      <c r="BL165" s="14" t="n">
        <f aca="false">10^6/((AH165+273.15)^2)</f>
        <v>12.7640999404495</v>
      </c>
      <c r="BM165" s="14" t="n">
        <f aca="false">BL165*(2*($AI165/($AH165+273.15)))</f>
        <v>0.00678547229614129</v>
      </c>
      <c r="BN165" s="14" t="n">
        <f aca="false">10^6/((AJ165+273.15)^2)</f>
        <v>12.7640999404495</v>
      </c>
      <c r="BO165" s="14" t="n">
        <f aca="false">BN165*(2*($AK165/($AJ165+273.15)))</f>
        <v>0.00678547229614129</v>
      </c>
    </row>
    <row r="166" s="14" customFormat="true" ht="16" hidden="false" customHeight="false" outlineLevel="0" collapsed="false">
      <c r="A166" s="22" t="s">
        <v>166</v>
      </c>
      <c r="B166" s="40" t="s">
        <v>196</v>
      </c>
      <c r="C166" s="14" t="s">
        <v>53</v>
      </c>
      <c r="D166" s="23" t="s">
        <v>197</v>
      </c>
      <c r="E166" s="24" t="s">
        <v>198</v>
      </c>
      <c r="F166" s="22" t="n">
        <v>24.2</v>
      </c>
      <c r="G166" s="22" t="n">
        <v>-83.3</v>
      </c>
      <c r="H166" s="22" t="s">
        <v>158</v>
      </c>
      <c r="I166" s="22" t="s">
        <v>159</v>
      </c>
      <c r="J166" s="22" t="n">
        <v>648</v>
      </c>
      <c r="K166" s="25" t="s">
        <v>171</v>
      </c>
      <c r="L166" s="22" t="s">
        <v>166</v>
      </c>
      <c r="M166" s="22"/>
      <c r="N166" s="22" t="n">
        <v>648</v>
      </c>
      <c r="O166" s="22" t="s">
        <v>172</v>
      </c>
      <c r="P166" s="22" t="s">
        <v>172</v>
      </c>
      <c r="Q166" s="22" t="n">
        <v>2</v>
      </c>
      <c r="R166" s="25" t="s">
        <v>83</v>
      </c>
      <c r="S166" s="25" t="n">
        <v>34.9565</v>
      </c>
      <c r="T166" s="22" t="n">
        <v>44.9304103585657</v>
      </c>
      <c r="U166" s="40" t="n">
        <v>5</v>
      </c>
      <c r="V166" s="42" t="n">
        <v>0.842</v>
      </c>
      <c r="W166" s="42" t="n">
        <v>0.0130384048104053</v>
      </c>
      <c r="X166" s="42" t="n">
        <v>0.00583095189484531</v>
      </c>
      <c r="Y166" s="42" t="n">
        <v>2.194</v>
      </c>
      <c r="Z166" s="42" t="n">
        <v>0.0313049516849971</v>
      </c>
      <c r="AA166" s="42" t="n">
        <v>0.014</v>
      </c>
      <c r="AB166" s="27" t="n">
        <v>0.2899595268</v>
      </c>
      <c r="AC166" s="27" t="n">
        <v>0.2</v>
      </c>
      <c r="AD166" s="27" t="n">
        <v>0.2</v>
      </c>
      <c r="AE166" s="43" t="n">
        <v>0.6612</v>
      </c>
      <c r="AF166" s="43" t="n">
        <v>0.00721387551874858</v>
      </c>
      <c r="AG166" s="61" t="n">
        <f aca="false">AF166*SQRT(U166)</f>
        <v>0.0161307160411434</v>
      </c>
      <c r="AH166" s="29" t="n">
        <v>7.75941673278809</v>
      </c>
      <c r="AI166" s="27" t="n">
        <v>0.0743986049334386</v>
      </c>
      <c r="AJ166" s="44" t="n">
        <v>7.75941673278809</v>
      </c>
      <c r="AK166" s="44" t="n">
        <v>0.0743986049334386</v>
      </c>
      <c r="AL166" s="27" t="s">
        <v>63</v>
      </c>
      <c r="AM166" s="14" t="n">
        <f aca="false">IF(AND(O166="Benthic, infaunal",M166="elegans"),(0.243-SQRT(((Y166)-(AB166))*0.0012+0.053337))/0.0006,IF(O166="Benthic",(0.245-SQRT(((Y166)-(AB166))*0.0044+0.045461))/0.0022,IF(O166="Benthic, infaunal",(0.245-(SQRT(0.045461+0.0044*((Y166-0.47)-(AB166)))))/0.0022,IF(O166="Benthic, epifaunal",(0.245-SQRT(((Y166)-(AB166))*0.0044+0.045461))/0.0022))))</f>
        <v>5.89461494137894</v>
      </c>
      <c r="AN166" s="45" t="n">
        <v>1.9040404732</v>
      </c>
      <c r="AO166" s="45" t="n">
        <v>0.202435174809123</v>
      </c>
      <c r="AP166" s="46" t="n">
        <f aca="false">IF(NOT(M166="elegans"),(0.045461+0.0044*((AN166))),IF(M166="elegans",(0.053337+0.0012*((AN166)))))</f>
        <v>0.05383877808208</v>
      </c>
      <c r="AQ166" s="46" t="n">
        <v>0.000890714769160139</v>
      </c>
      <c r="AR166" s="46" t="n">
        <v>0.232031847128966</v>
      </c>
      <c r="AS166" s="46" t="n">
        <v>0.00191938042165623</v>
      </c>
      <c r="AT166" s="46" t="n">
        <v>0.872445646207378</v>
      </c>
      <c r="AU166" s="45" t="n">
        <v>1.9040404732</v>
      </c>
      <c r="AV166" s="45" t="n">
        <v>0.200489401216124</v>
      </c>
      <c r="AW166" s="46" t="n">
        <v>0.05383877808208</v>
      </c>
      <c r="AX166" s="46" t="n">
        <v>0.000882153365350946</v>
      </c>
      <c r="AY166" s="46" t="n">
        <v>0.232031847128966</v>
      </c>
      <c r="AZ166" s="46" t="n">
        <v>0.00190093165284469</v>
      </c>
      <c r="BA166" s="46" t="n">
        <v>0.864059842202133</v>
      </c>
      <c r="BE166" s="31" t="n">
        <f aca="false">AM166</f>
        <v>5.89461494137894</v>
      </c>
      <c r="BF166" s="31" t="n">
        <f aca="false">AT166</f>
        <v>0.872445646207378</v>
      </c>
      <c r="BG166" s="31" t="n">
        <f aca="false">BA166</f>
        <v>0.864059842202133</v>
      </c>
      <c r="BH166" s="14" t="n">
        <f aca="false">10^6/((BE166+273.15)^2)</f>
        <v>12.8425926739012</v>
      </c>
      <c r="BI166" s="14" t="n">
        <f aca="false">BH166*(2*($BF166/($BE166+273.15)))</f>
        <v>0.0803058970818243</v>
      </c>
      <c r="BJ166" s="14" t="n">
        <f aca="false">BH166*(2*($BG166/($BE166+273.15)))</f>
        <v>0.0795340100120441</v>
      </c>
      <c r="BL166" s="14" t="n">
        <f aca="false">10^6/((AH166+273.15)^2)</f>
        <v>12.6726489361301</v>
      </c>
      <c r="BM166" s="14" t="n">
        <f aca="false">BL166*(2*($AI166/($AH166+273.15)))</f>
        <v>0.00671267921613435</v>
      </c>
      <c r="BN166" s="14" t="n">
        <f aca="false">10^6/((AJ166+273.15)^2)</f>
        <v>12.6726489361301</v>
      </c>
      <c r="BO166" s="14" t="n">
        <f aca="false">BN166*(2*($AK166/($AJ166+273.15)))</f>
        <v>0.00671267921613435</v>
      </c>
    </row>
    <row r="167" s="14" customFormat="true" ht="16" hidden="false" customHeight="false" outlineLevel="0" collapsed="false">
      <c r="A167" s="22" t="s">
        <v>166</v>
      </c>
      <c r="B167" s="40" t="s">
        <v>204</v>
      </c>
      <c r="C167" s="14" t="s">
        <v>53</v>
      </c>
      <c r="D167" s="23" t="s">
        <v>197</v>
      </c>
      <c r="E167" s="24" t="s">
        <v>201</v>
      </c>
      <c r="F167" s="22" t="n">
        <v>24.2</v>
      </c>
      <c r="G167" s="22" t="n">
        <v>-83.3</v>
      </c>
      <c r="H167" s="22" t="s">
        <v>158</v>
      </c>
      <c r="I167" s="22" t="s">
        <v>191</v>
      </c>
      <c r="J167" s="22" t="n">
        <v>648</v>
      </c>
      <c r="K167" s="25" t="s">
        <v>171</v>
      </c>
      <c r="L167" s="22" t="s">
        <v>166</v>
      </c>
      <c r="M167" s="22"/>
      <c r="N167" s="22" t="n">
        <v>648</v>
      </c>
      <c r="O167" s="22" t="s">
        <v>172</v>
      </c>
      <c r="P167" s="22" t="s">
        <v>172</v>
      </c>
      <c r="Q167" s="22" t="n">
        <v>2</v>
      </c>
      <c r="R167" s="25" t="s">
        <v>83</v>
      </c>
      <c r="S167" s="25" t="n">
        <v>34.9565</v>
      </c>
      <c r="T167" s="22" t="n">
        <v>44.9304103585657</v>
      </c>
      <c r="U167" s="40" t="n">
        <v>6</v>
      </c>
      <c r="V167" s="42" t="n">
        <v>0.705</v>
      </c>
      <c r="W167" s="42" t="n">
        <v>0.0242899156029822</v>
      </c>
      <c r="X167" s="42" t="n">
        <v>0.00991631652042901</v>
      </c>
      <c r="Y167" s="42" t="n">
        <v>2.23333333333333</v>
      </c>
      <c r="Z167" s="42" t="n">
        <v>0.0488535225614966</v>
      </c>
      <c r="AA167" s="42" t="n">
        <v>0.0199443670688688</v>
      </c>
      <c r="AB167" s="27" t="n">
        <v>0.2899595268</v>
      </c>
      <c r="AC167" s="27" t="n">
        <v>0.2</v>
      </c>
      <c r="AD167" s="27" t="n">
        <v>0.2</v>
      </c>
      <c r="AE167" s="43" t="n">
        <v>0.640833333333333</v>
      </c>
      <c r="AF167" s="43" t="n">
        <v>0.00723609778203081</v>
      </c>
      <c r="AG167" s="61" t="n">
        <f aca="false">AF167*SQRT(U167)</f>
        <v>0.0177247472948606</v>
      </c>
      <c r="AH167" s="29" t="n">
        <v>7.75941673278809</v>
      </c>
      <c r="AI167" s="27" t="n">
        <v>0.0743986049334386</v>
      </c>
      <c r="AJ167" s="27" t="n">
        <f aca="false">VLOOKUP(B167,proft,2,0)</f>
        <v>5.93071822300222</v>
      </c>
      <c r="AK167" s="27" t="n">
        <f aca="false">VLOOKUP(B167,proft,3,0)</f>
        <v>0.42315149307251</v>
      </c>
      <c r="AL167" s="27" t="s">
        <v>63</v>
      </c>
      <c r="AM167" s="14" t="n">
        <f aca="false">IF(AND(O167="Benthic, infaunal",M167="elegans"),(0.243-SQRT(((Y167)-(AB167))*0.0012+0.053337))/0.0006,IF(O167="Benthic",(0.245-SQRT(((Y167)-(AB167))*0.0044+0.045461))/0.0022,IF(O167="Benthic, infaunal",(0.245-(SQRT(0.045461+0.0044*((Y167-0.47)-(AB167)))))/0.0022,IF(O167="Benthic, epifaunal",(0.245-SQRT(((Y167)-(AB167))*0.0044+0.045461))/0.0022))))</f>
        <v>5.72523399249971</v>
      </c>
      <c r="AN167" s="45" t="n">
        <v>1.94337380653333</v>
      </c>
      <c r="AO167" s="45" t="n">
        <v>0.205880224078629</v>
      </c>
      <c r="AP167" s="46" t="n">
        <f aca="false">IF(NOT(M167="elegans"),(0.045461+0.0044*((AN167))),IF(M167="elegans",(0.053337+0.0012*((AN167)))))</f>
        <v>0.0540118447487467</v>
      </c>
      <c r="AQ167" s="46" t="n">
        <v>0.00090587298594597</v>
      </c>
      <c r="AR167" s="46" t="n">
        <v>0.232404485216501</v>
      </c>
      <c r="AS167" s="46" t="n">
        <v>0.00194891459410107</v>
      </c>
      <c r="AT167" s="46" t="n">
        <v>0.885870270045941</v>
      </c>
      <c r="AU167" s="45" t="n">
        <v>1.94337380653333</v>
      </c>
      <c r="AV167" s="45" t="n">
        <v>0.200991984362008</v>
      </c>
      <c r="AW167" s="46" t="n">
        <v>0.0540118447487467</v>
      </c>
      <c r="AX167" s="46" t="n">
        <v>0.000884364731192837</v>
      </c>
      <c r="AY167" s="46" t="n">
        <v>0.232404485216501</v>
      </c>
      <c r="AZ167" s="46" t="n">
        <v>0.00190264127297068</v>
      </c>
      <c r="BA167" s="46" t="n">
        <v>0.8648369422594</v>
      </c>
      <c r="BE167" s="31" t="n">
        <f aca="false">AM167</f>
        <v>5.72523399249971</v>
      </c>
      <c r="BF167" s="31" t="n">
        <f aca="false">AT167</f>
        <v>0.885870270045941</v>
      </c>
      <c r="BG167" s="31" t="n">
        <f aca="false">BA167</f>
        <v>0.8648369422594</v>
      </c>
      <c r="BH167" s="14" t="n">
        <f aca="false">10^6/((BE167+273.15)^2)</f>
        <v>12.8581978684326</v>
      </c>
      <c r="BI167" s="14" t="n">
        <f aca="false">BH167*(2*($BF167/($BE167+273.15)))</f>
        <v>0.0816902602281195</v>
      </c>
      <c r="BJ167" s="14" t="n">
        <f aca="false">BH167*(2*($BG167/($BE167+273.15)))</f>
        <v>0.0797506782391486</v>
      </c>
      <c r="BL167" s="14" t="n">
        <f aca="false">10^6/((AH167+273.15)^2)</f>
        <v>12.6726489361301</v>
      </c>
      <c r="BM167" s="14" t="n">
        <f aca="false">BL167*(2*($AI167/($AH167+273.15)))</f>
        <v>0.00671267921613435</v>
      </c>
      <c r="BN167" s="14" t="n">
        <f aca="false">10^6/((AJ167+273.15)^2)</f>
        <v>12.8392701244083</v>
      </c>
      <c r="BO167" s="14" t="n">
        <f aca="false">BN167*(2*($AK167/($AJ167+273.15)))</f>
        <v>0.0389346591745788</v>
      </c>
    </row>
    <row r="168" s="14" customFormat="true" ht="16" hidden="false" customHeight="false" outlineLevel="0" collapsed="false">
      <c r="A168" s="22" t="s">
        <v>166</v>
      </c>
      <c r="B168" s="42" t="s">
        <v>409</v>
      </c>
      <c r="C168" s="14" t="s">
        <v>53</v>
      </c>
      <c r="D168" s="51" t="s">
        <v>410</v>
      </c>
      <c r="E168" s="24" t="s">
        <v>341</v>
      </c>
      <c r="F168" s="59" t="n">
        <v>-29.1248</v>
      </c>
      <c r="G168" s="59" t="n">
        <v>47.549</v>
      </c>
      <c r="H168" s="22" t="s">
        <v>120</v>
      </c>
      <c r="I168" s="22" t="s">
        <v>342</v>
      </c>
      <c r="J168" s="22" t="n">
        <v>3520</v>
      </c>
      <c r="K168" s="88" t="s">
        <v>166</v>
      </c>
      <c r="L168" s="22" t="s">
        <v>166</v>
      </c>
      <c r="M168" s="22"/>
      <c r="N168" s="22" t="n">
        <v>3520</v>
      </c>
      <c r="O168" s="22" t="s">
        <v>172</v>
      </c>
      <c r="P168" s="22" t="s">
        <v>172</v>
      </c>
      <c r="Q168" s="22" t="n">
        <v>2</v>
      </c>
      <c r="R168" s="25" t="s">
        <v>234</v>
      </c>
      <c r="S168" s="25" t="n">
        <v>35.5302105263158</v>
      </c>
      <c r="T168" s="90" t="n">
        <v>-2.645</v>
      </c>
      <c r="U168" s="89" t="n">
        <v>3</v>
      </c>
      <c r="V168" s="42" t="n">
        <v>0.453333333333333</v>
      </c>
      <c r="W168" s="42" t="n">
        <v>0.0208166599946613</v>
      </c>
      <c r="X168" s="90" t="n">
        <f aca="false">W168/SQRT(U168)</f>
        <v>0.0120185042515466</v>
      </c>
      <c r="Y168" s="27" t="n">
        <v>3.81666666666667</v>
      </c>
      <c r="Z168" s="42" t="n">
        <v>0.119303534454489</v>
      </c>
      <c r="AA168" s="27" t="n">
        <f aca="false">Z168/SQRT(U168)</f>
        <v>0.0688799277325728</v>
      </c>
      <c r="AB168" s="27" t="n">
        <v>-0.1005</v>
      </c>
      <c r="AC168" s="27" t="n">
        <v>0.2</v>
      </c>
      <c r="AD168" s="27" t="n">
        <v>0.2</v>
      </c>
      <c r="AE168" s="43" t="n">
        <v>0.676</v>
      </c>
      <c r="AF168" s="43" t="n">
        <v>0.0145258390463339</v>
      </c>
      <c r="AG168" s="61" t="n">
        <f aca="false">AF168*SQRT(U168)</f>
        <v>0.0251594912508182</v>
      </c>
      <c r="AH168" s="29" t="n">
        <v>1.68299996852875</v>
      </c>
      <c r="AI168" s="55" t="n">
        <v>0.118710497997596</v>
      </c>
      <c r="AJ168" s="44" t="n">
        <v>1.68299996852875</v>
      </c>
      <c r="AK168" s="44" t="n">
        <v>0.118710497997596</v>
      </c>
      <c r="AL168" s="27" t="s">
        <v>63</v>
      </c>
      <c r="AM168" s="14" t="n">
        <f aca="false">IF(AND(O168="Benthic, infaunal",M168="elegans"),(0.243-SQRT(((Y168)-(AB168))*0.0012+0.053337))/0.0006,IF(O168="Benthic",(0.245-SQRT(((Y168)-(AB168))*0.0044+0.045461))/0.0022,IF(O168="Benthic, infaunal",(0.245-(SQRT(0.045461+0.0044*((Y168-0.47)-(AB168)))))/0.0022,IF(O168="Benthic, epifaunal",(0.245-SQRT(((Y168)-(AB168))*0.0044+0.045461))/0.0022))))</f>
        <v>-2.45125370397266</v>
      </c>
      <c r="AN168" s="45" t="n">
        <f aca="false">Y168-AB168</f>
        <v>3.91716666666667</v>
      </c>
      <c r="AO168" s="45" t="n">
        <f aca="false">SQRT((Z168^2)+(AC168^2))</f>
        <v>0.232880512996114</v>
      </c>
      <c r="AP168" s="46" t="n">
        <f aca="false">IF(NOT($M168="elegans"),(0.045461+0.0044*((AN168))),IF($M168="elegans",(0.053337+0.0012*((AN168)))))</f>
        <v>0.0626965333333333</v>
      </c>
      <c r="AQ168" s="46" t="n">
        <f aca="false">IF(NOT($M168="elegans"),(0.0044*((AO168))),IF($M168="elegans",(0.0012*((AO168)))))</f>
        <v>0.0010246742571829</v>
      </c>
      <c r="AR168" s="46" t="n">
        <f aca="false">SQRT(AP168)</f>
        <v>0.25039275814874</v>
      </c>
      <c r="AS168" s="46" t="n">
        <f aca="false">AR168*(0.5*(AQ168/AP168))</f>
        <v>0.00204613397120339</v>
      </c>
      <c r="AT168" s="46" t="n">
        <f aca="false">IF(NOT($M168="elegans"),AS168/0.0022,IF($M168="elegans",AS168/0.0006))</f>
        <v>0.930060896001542</v>
      </c>
      <c r="AU168" s="45" t="n">
        <f aca="false">Y168-AB168</f>
        <v>3.91716666666667</v>
      </c>
      <c r="AV168" s="45" t="n">
        <f aca="false">SQRT((AA168^2)+(AD168^2))</f>
        <v>0.211528826509401</v>
      </c>
      <c r="AW168" s="46" t="n">
        <f aca="false">IF(NOT($M168="elegans"),(0.045461+0.0044*((AU168))),IF($M168="elegans",(0.053337+0.0012*((AU168)))))</f>
        <v>0.0626965333333333</v>
      </c>
      <c r="AX168" s="46" t="n">
        <f aca="false">IF(NOT($M168="elegans"),(0.0044*((AV168))),IF($M168="elegans",(0.0012*((AV168)))))</f>
        <v>0.000930726836641366</v>
      </c>
      <c r="AY168" s="46" t="n">
        <f aca="false">SQRT(AW168)</f>
        <v>0.25039275814874</v>
      </c>
      <c r="AZ168" s="46" t="n">
        <f aca="false">AY168*(0.5*(AX168/AW168))</f>
        <v>0.0018585338560161</v>
      </c>
      <c r="BA168" s="46" t="n">
        <f aca="false">IF(NOT($M168="elegans"),AZ168/0.0022,IF($M168="elegans",AZ168/0.0006))</f>
        <v>0.844788116370953</v>
      </c>
      <c r="BE168" s="31" t="n">
        <f aca="false">AM168</f>
        <v>-2.45125370397266</v>
      </c>
      <c r="BF168" s="31" t="n">
        <f aca="false">AT168</f>
        <v>0.930060896001542</v>
      </c>
      <c r="BG168" s="31" t="n">
        <f aca="false">BA168</f>
        <v>0.844788116370953</v>
      </c>
      <c r="BH168" s="14" t="n">
        <f aca="false">10^6/((BE168+273.15)^2)</f>
        <v>13.6466958140934</v>
      </c>
      <c r="BI168" s="14" t="n">
        <f aca="false">BH168*(2*($BF168/($BE168+273.15)))</f>
        <v>0.0937740444681359</v>
      </c>
      <c r="BJ168" s="14" t="n">
        <f aca="false">BH168*(2*($BG168/($BE168+273.15)))</f>
        <v>0.085176356442139</v>
      </c>
      <c r="BL168" s="14" t="n">
        <f aca="false">10^6/((AH168+273.15)^2)</f>
        <v>13.239215245234</v>
      </c>
      <c r="BM168" s="14" t="n">
        <f aca="false">BL168*(2*($AI168/($AH168+273.15)))</f>
        <v>0.0114370096388648</v>
      </c>
      <c r="BN168" s="14" t="n">
        <f aca="false">10^6/((AJ168+273.15)^2)</f>
        <v>13.239215245234</v>
      </c>
      <c r="BO168" s="14" t="n">
        <f aca="false">BN168*(2*($AK168/($AJ168+273.15)))</f>
        <v>0.0114370096388648</v>
      </c>
    </row>
    <row r="169" s="14" customFormat="true" ht="16" hidden="false" customHeight="false" outlineLevel="0" collapsed="false">
      <c r="A169" s="22" t="s">
        <v>173</v>
      </c>
      <c r="B169" s="42" t="s">
        <v>380</v>
      </c>
      <c r="C169" s="14" t="s">
        <v>53</v>
      </c>
      <c r="D169" s="51" t="s">
        <v>381</v>
      </c>
      <c r="E169" s="24" t="s">
        <v>358</v>
      </c>
      <c r="F169" s="52" t="n">
        <v>6.640667</v>
      </c>
      <c r="G169" s="53" t="n">
        <v>-21.897333</v>
      </c>
      <c r="H169" s="22" t="s">
        <v>78</v>
      </c>
      <c r="I169" s="22" t="s">
        <v>359</v>
      </c>
      <c r="J169" s="22" t="n">
        <v>3527</v>
      </c>
      <c r="K169" s="88" t="s">
        <v>173</v>
      </c>
      <c r="L169" s="22" t="s">
        <v>176</v>
      </c>
      <c r="M169" s="22" t="s">
        <v>177</v>
      </c>
      <c r="N169" s="22" t="n">
        <v>3527</v>
      </c>
      <c r="O169" s="22" t="s">
        <v>178</v>
      </c>
      <c r="P169" s="22" t="s">
        <v>178</v>
      </c>
      <c r="Q169" s="22" t="n">
        <v>1</v>
      </c>
      <c r="R169" s="25" t="s">
        <v>234</v>
      </c>
      <c r="S169" s="25" t="n">
        <v>34.93</v>
      </c>
      <c r="T169" s="22" t="n">
        <v>17.7187</v>
      </c>
      <c r="U169" s="89" t="n">
        <v>4</v>
      </c>
      <c r="V169" s="42" t="n">
        <v>2.66</v>
      </c>
      <c r="W169" s="42" t="n">
        <v>0.0875595035770915</v>
      </c>
      <c r="X169" s="90" t="n">
        <f aca="false">W169/SQRT(U169)</f>
        <v>0.0437797517885457</v>
      </c>
      <c r="Y169" s="27" t="n">
        <v>4.4775</v>
      </c>
      <c r="Z169" s="42" t="n">
        <v>0.161735380586108</v>
      </c>
      <c r="AA169" s="27" t="n">
        <f aca="false">Z169/SQRT(U169)</f>
        <v>0.0808676902930541</v>
      </c>
      <c r="AB169" s="27" t="n">
        <v>0.212126981</v>
      </c>
      <c r="AC169" s="27" t="n">
        <v>0.2</v>
      </c>
      <c r="AD169" s="27" t="n">
        <v>0.2</v>
      </c>
      <c r="AE169" s="43" t="n">
        <v>0.6575</v>
      </c>
      <c r="AF169" s="43" t="n">
        <v>0.0101775897605147</v>
      </c>
      <c r="AG169" s="61" t="n">
        <f aca="false">AF169*SQRT(U169)</f>
        <v>0.0203551795210293</v>
      </c>
      <c r="AH169" s="29" t="n">
        <v>2.43076222896576</v>
      </c>
      <c r="AI169" s="55" t="n">
        <v>0.0385740510993511</v>
      </c>
      <c r="AJ169" s="44" t="n">
        <v>2.43076222896576</v>
      </c>
      <c r="AK169" s="44" t="n">
        <v>0.0385740510993511</v>
      </c>
      <c r="AL169" s="27" t="s">
        <v>63</v>
      </c>
      <c r="AM169" s="14" t="n">
        <f aca="false">IF(AND(O169="Benthic, infaunal",M169="elegans"),(0.243-SQRT(((Y169)-(AB169))*0.0012+0.053337))/0.0006,IF(O169="Benthic",(0.245-SQRT(((Y169)-(AB169))*0.0044+0.045461))/0.0022,IF(O169="Benthic, infaunal",(0.245-(SQRT(0.045461+0.0044*((Y169-0.47)-(AB169)))))/0.0022,IF(O169="Benthic, epifaunal",(0.245-SQRT(((Y169)-(AB169))*0.0044+0.045461))/0.0022))))</f>
        <v>2.04064299650928</v>
      </c>
      <c r="AN169" s="45" t="n">
        <f aca="false">Y169-AB169</f>
        <v>4.265373019</v>
      </c>
      <c r="AO169" s="45" t="n">
        <f aca="false">SQRT((Z169^2)+(AC169^2))</f>
        <v>0.257212622811038</v>
      </c>
      <c r="AP169" s="46" t="n">
        <f aca="false">IF(NOT($M169="elegans"),(0.045461+0.0044*((AN169))),IF($M169="elegans",(0.053337+0.0012*((AN169)))))</f>
        <v>0.0584554476228</v>
      </c>
      <c r="AQ169" s="46" t="n">
        <f aca="false">IF(NOT($M169="elegans"),(0.0044*((AO169))),IF($M169="elegans",(0.0012*((AO169)))))</f>
        <v>0.000308655147373245</v>
      </c>
      <c r="AR169" s="46" t="n">
        <f aca="false">SQRT(AP169)</f>
        <v>0.241775614202094</v>
      </c>
      <c r="AS169" s="46" t="n">
        <f aca="false">AR169*(0.5*(AQ169/AP169))</f>
        <v>0.000638309095795013</v>
      </c>
      <c r="AT169" s="46" t="n">
        <f aca="false">IF(NOT($M169="elegans"),AS169/0.0022,IF($M169="elegans",AS169/0.0006))</f>
        <v>1.06384849299169</v>
      </c>
      <c r="AU169" s="45" t="n">
        <f aca="false">Y169-AB169</f>
        <v>4.265373019</v>
      </c>
      <c r="AV169" s="45" t="n">
        <f aca="false">SQRT((AA169^2)+(AD169^2))</f>
        <v>0.215730348660853</v>
      </c>
      <c r="AW169" s="46" t="n">
        <f aca="false">IF(NOT($M169="elegans"),(0.045461+0.0044*((AU169))),IF($M169="elegans",(0.053337+0.0012*((AU169)))))</f>
        <v>0.0584554476228</v>
      </c>
      <c r="AX169" s="46" t="n">
        <f aca="false">IF(NOT($M169="elegans"),(0.0044*((AV169))),IF($M169="elegans",(0.0012*((AV169)))))</f>
        <v>0.000258876418393024</v>
      </c>
      <c r="AY169" s="46" t="n">
        <f aca="false">SQRT(AW169)</f>
        <v>0.241775614202094</v>
      </c>
      <c r="AZ169" s="46" t="n">
        <f aca="false">AY169*(0.5*(AX169/AW169))</f>
        <v>0.000535365031017221</v>
      </c>
      <c r="BA169" s="46" t="n">
        <f aca="false">IF(NOT($M169="elegans"),AZ169/0.0022,IF($M169="elegans",AZ169/0.0006))</f>
        <v>0.892275051695368</v>
      </c>
      <c r="BE169" s="31" t="n">
        <f aca="false">AM169</f>
        <v>2.04064299650928</v>
      </c>
      <c r="BF169" s="31" t="n">
        <f aca="false">AT169</f>
        <v>1.06384849299169</v>
      </c>
      <c r="BG169" s="31" t="n">
        <f aca="false">BA169</f>
        <v>0.892275051695368</v>
      </c>
      <c r="BH169" s="14" t="n">
        <f aca="false">10^6/((BE169+273.15)^2)</f>
        <v>13.2048257312225</v>
      </c>
      <c r="BI169" s="14" t="n">
        <f aca="false">BH169*(2*($BF169/($BE169+273.15)))</f>
        <v>0.102096014613092</v>
      </c>
      <c r="BJ169" s="14" t="n">
        <f aca="false">BH169*(2*($BG169/($BE169+273.15)))</f>
        <v>0.0856303574399101</v>
      </c>
      <c r="BL169" s="14" t="n">
        <f aca="false">10^6/((AH169+273.15)^2)</f>
        <v>13.1674660101009</v>
      </c>
      <c r="BM169" s="14" t="n">
        <f aca="false">BL169*(2*($AI169/($AH169+273.15)))</f>
        <v>0.00368619712504165</v>
      </c>
      <c r="BN169" s="14" t="n">
        <f aca="false">10^6/((AJ169+273.15)^2)</f>
        <v>13.1674660101009</v>
      </c>
      <c r="BO169" s="14" t="n">
        <f aca="false">BN169*(2*($AK169/($AJ169+273.15)))</f>
        <v>0.00368619712504165</v>
      </c>
    </row>
    <row r="170" s="14" customFormat="true" ht="16" hidden="false" customHeight="false" outlineLevel="0" collapsed="false">
      <c r="A170" s="22" t="s">
        <v>173</v>
      </c>
      <c r="B170" s="42" t="s">
        <v>382</v>
      </c>
      <c r="C170" s="14" t="s">
        <v>53</v>
      </c>
      <c r="D170" s="51" t="s">
        <v>383</v>
      </c>
      <c r="E170" s="24" t="s">
        <v>362</v>
      </c>
      <c r="F170" s="57" t="n">
        <v>5.4547</v>
      </c>
      <c r="G170" s="53" t="n">
        <v>-21.144</v>
      </c>
      <c r="H170" s="22" t="s">
        <v>78</v>
      </c>
      <c r="I170" s="22" t="s">
        <v>359</v>
      </c>
      <c r="J170" s="22" t="n">
        <v>3160</v>
      </c>
      <c r="K170" s="88" t="s">
        <v>173</v>
      </c>
      <c r="L170" s="22" t="s">
        <v>176</v>
      </c>
      <c r="M170" s="22" t="s">
        <v>177</v>
      </c>
      <c r="N170" s="22" t="n">
        <v>3160</v>
      </c>
      <c r="O170" s="22" t="s">
        <v>178</v>
      </c>
      <c r="P170" s="22" t="s">
        <v>178</v>
      </c>
      <c r="Q170" s="22" t="n">
        <v>1</v>
      </c>
      <c r="R170" s="25" t="s">
        <v>234</v>
      </c>
      <c r="S170" s="25" t="n">
        <v>34.91</v>
      </c>
      <c r="T170" s="22" t="n">
        <v>24.408464</v>
      </c>
      <c r="U170" s="89" t="n">
        <v>5</v>
      </c>
      <c r="V170" s="42" t="n">
        <v>2.314</v>
      </c>
      <c r="W170" s="42" t="n">
        <v>0.0602494813255682</v>
      </c>
      <c r="X170" s="90" t="n">
        <f aca="false">W170/SQRT(U170)</f>
        <v>0.0269443871706149</v>
      </c>
      <c r="Y170" s="27" t="n">
        <v>4.488</v>
      </c>
      <c r="Z170" s="42" t="n">
        <v>0.0258843582110894</v>
      </c>
      <c r="AA170" s="27" t="n">
        <f aca="false">Z170/SQRT(U170)</f>
        <v>0.0115758369027902</v>
      </c>
      <c r="AB170" s="27" t="n">
        <v>0.218226655</v>
      </c>
      <c r="AC170" s="27" t="n">
        <v>0.2</v>
      </c>
      <c r="AD170" s="27" t="n">
        <v>0.2</v>
      </c>
      <c r="AE170" s="43" t="n">
        <v>0.673</v>
      </c>
      <c r="AF170" s="43" t="n">
        <v>0.0114760620423558</v>
      </c>
      <c r="AG170" s="61" t="n">
        <f aca="false">AF170*SQRT(U170)</f>
        <v>0.0256612548407127</v>
      </c>
      <c r="AH170" s="29" t="n">
        <v>2.56100034713745</v>
      </c>
      <c r="AI170" s="55" t="n">
        <v>0.0721398255519682</v>
      </c>
      <c r="AJ170" s="44" t="n">
        <v>2.56100034713745</v>
      </c>
      <c r="AK170" s="44" t="n">
        <v>0.0721398255519682</v>
      </c>
      <c r="AL170" s="27" t="s">
        <v>63</v>
      </c>
      <c r="AM170" s="14" t="n">
        <f aca="false">IF(AND(O170="Benthic, infaunal",M170="elegans"),(0.243-SQRT(((Y170)-(AB170))*0.0012+0.053337))/0.0006,IF(O170="Benthic",(0.245-SQRT(((Y170)-(AB170))*0.0044+0.045461))/0.0022,IF(O170="Benthic, infaunal",(0.245-(SQRT(0.045461+0.0044*((Y170-0.47)-(AB170)))))/0.0022,IF(O170="Benthic, epifaunal",(0.245-SQRT(((Y170)-(AB170))*0.0044+0.045461))/0.0022))))</f>
        <v>2.02244336687927</v>
      </c>
      <c r="AN170" s="45" t="n">
        <f aca="false">Y170-AB170</f>
        <v>4.269773345</v>
      </c>
      <c r="AO170" s="45" t="n">
        <f aca="false">SQRT((Z170^2)+(AC170^2))</f>
        <v>0.201668044072431</v>
      </c>
      <c r="AP170" s="46" t="n">
        <f aca="false">IF(NOT($M170="elegans"),(0.045461+0.0044*((AN170))),IF($M170="elegans",(0.053337+0.0012*((AN170)))))</f>
        <v>0.058460728014</v>
      </c>
      <c r="AQ170" s="46" t="n">
        <f aca="false">IF(NOT($M170="elegans"),(0.0044*((AO170))),IF($M170="elegans",(0.0012*((AO170)))))</f>
        <v>0.000242001652886917</v>
      </c>
      <c r="AR170" s="46" t="n">
        <f aca="false">SQRT(AP170)</f>
        <v>0.241786533979872</v>
      </c>
      <c r="AS170" s="46" t="n">
        <f aca="false">AR170*(0.5*(AQ170/AP170))</f>
        <v>0.000500444852952528</v>
      </c>
      <c r="AT170" s="46" t="n">
        <f aca="false">IF(NOT($M170="elegans"),AS170/0.0022,IF($M170="elegans",AS170/0.0006))</f>
        <v>0.83407475492088</v>
      </c>
      <c r="AU170" s="45" t="n">
        <f aca="false">Y170-AB170</f>
        <v>4.269773345</v>
      </c>
      <c r="AV170" s="45" t="n">
        <f aca="false">SQRT((AA170^2)+(AD170^2))</f>
        <v>0.200334719906461</v>
      </c>
      <c r="AW170" s="46" t="n">
        <f aca="false">IF(NOT($M170="elegans"),(0.045461+0.0044*((AU170))),IF($M170="elegans",(0.053337+0.0012*((AU170)))))</f>
        <v>0.058460728014</v>
      </c>
      <c r="AX170" s="46" t="n">
        <f aca="false">IF(NOT($M170="elegans"),(0.0044*((AV170))),IF($M170="elegans",(0.0012*((AV170)))))</f>
        <v>0.000240401663887753</v>
      </c>
      <c r="AY170" s="46" t="n">
        <f aca="false">SQRT(AW170)</f>
        <v>0.241786533979872</v>
      </c>
      <c r="AZ170" s="46" t="n">
        <f aca="false">AY170*(0.5*(AX170/AW170))</f>
        <v>0.000497136171999895</v>
      </c>
      <c r="BA170" s="46" t="n">
        <f aca="false">IF(NOT($M170="elegans"),AZ170/0.0022,IF($M170="elegans",AZ170/0.0006))</f>
        <v>0.828560286666492</v>
      </c>
      <c r="BE170" s="31" t="n">
        <f aca="false">AM170</f>
        <v>2.02244336687927</v>
      </c>
      <c r="BF170" s="31" t="n">
        <f aca="false">AT170</f>
        <v>0.83407475492088</v>
      </c>
      <c r="BG170" s="31" t="n">
        <f aca="false">BA170</f>
        <v>0.828560286666492</v>
      </c>
      <c r="BH170" s="14" t="n">
        <f aca="false">10^6/((BE170+273.15)^2)</f>
        <v>13.2065724968656</v>
      </c>
      <c r="BI170" s="14" t="n">
        <f aca="false">BH170*(2*($BF170/($BE170+273.15)))</f>
        <v>0.0800608417317547</v>
      </c>
      <c r="BJ170" s="14" t="n">
        <f aca="false">BH170*(2*($BG170/($BE170+273.15)))</f>
        <v>0.0795315211072608</v>
      </c>
      <c r="BL170" s="14" t="n">
        <f aca="false">10^6/((AH170+273.15)^2)</f>
        <v>13.1550290673933</v>
      </c>
      <c r="BM170" s="14" t="n">
        <f aca="false">BL170*(2*($AI170/($AH170+273.15)))</f>
        <v>0.00688403074855899</v>
      </c>
      <c r="BN170" s="14" t="n">
        <f aca="false">10^6/((AJ170+273.15)^2)</f>
        <v>13.1550290673933</v>
      </c>
      <c r="BO170" s="14" t="n">
        <f aca="false">BN170*(2*($AK170/($AJ170+273.15)))</f>
        <v>0.00688403074855899</v>
      </c>
    </row>
    <row r="171" s="14" customFormat="true" ht="16" hidden="false" customHeight="false" outlineLevel="0" collapsed="false">
      <c r="A171" s="22" t="s">
        <v>173</v>
      </c>
      <c r="B171" s="42" t="s">
        <v>384</v>
      </c>
      <c r="C171" s="14" t="s">
        <v>53</v>
      </c>
      <c r="D171" s="51" t="s">
        <v>385</v>
      </c>
      <c r="E171" s="24" t="s">
        <v>365</v>
      </c>
      <c r="F171" s="57" t="n">
        <v>4.2333</v>
      </c>
      <c r="G171" s="53" t="n">
        <v>-20.6263</v>
      </c>
      <c r="H171" s="22" t="s">
        <v>78</v>
      </c>
      <c r="I171" s="22" t="s">
        <v>359</v>
      </c>
      <c r="J171" s="22" t="n">
        <v>3792</v>
      </c>
      <c r="K171" s="88" t="s">
        <v>173</v>
      </c>
      <c r="L171" s="22" t="s">
        <v>176</v>
      </c>
      <c r="M171" s="22" t="s">
        <v>177</v>
      </c>
      <c r="N171" s="22" t="n">
        <v>3792</v>
      </c>
      <c r="O171" s="22" t="s">
        <v>178</v>
      </c>
      <c r="P171" s="22" t="s">
        <v>178</v>
      </c>
      <c r="Q171" s="22" t="n">
        <v>1</v>
      </c>
      <c r="R171" s="25" t="s">
        <v>234</v>
      </c>
      <c r="S171" s="25" t="n">
        <v>34.89</v>
      </c>
      <c r="T171" s="22" t="n">
        <v>12.39432</v>
      </c>
      <c r="U171" s="89" t="n">
        <v>4</v>
      </c>
      <c r="V171" s="42" t="n">
        <v>2.55</v>
      </c>
      <c r="W171" s="42" t="n">
        <v>0.0875595035770913</v>
      </c>
      <c r="X171" s="90" t="n">
        <f aca="false">W171/SQRT(U171)</f>
        <v>0.0437797517885457</v>
      </c>
      <c r="Y171" s="27" t="n">
        <v>4.2325</v>
      </c>
      <c r="Z171" s="42" t="n">
        <v>0.0732006375199926</v>
      </c>
      <c r="AA171" s="27" t="n">
        <f aca="false">Z171/SQRT(U171)</f>
        <v>0.0366003187599963</v>
      </c>
      <c r="AB171" s="27" t="n">
        <v>0.207677023</v>
      </c>
      <c r="AC171" s="27" t="n">
        <v>0.2</v>
      </c>
      <c r="AD171" s="27" t="n">
        <v>0.2</v>
      </c>
      <c r="AE171" s="43" t="n">
        <v>0.659</v>
      </c>
      <c r="AF171" s="43" t="n">
        <v>0.00387298334620742</v>
      </c>
      <c r="AG171" s="61" t="n">
        <f aca="false">AF171*SQRT(U171)</f>
        <v>0.00774596669241484</v>
      </c>
      <c r="AH171" s="29" t="n">
        <v>2.39804148674011</v>
      </c>
      <c r="AI171" s="55" t="n">
        <v>0.11418730793803</v>
      </c>
      <c r="AJ171" s="44" t="n">
        <v>2.39804148674011</v>
      </c>
      <c r="AK171" s="44" t="n">
        <v>0.11418730793803</v>
      </c>
      <c r="AL171" s="27" t="s">
        <v>63</v>
      </c>
      <c r="AM171" s="14" t="n">
        <f aca="false">IF(AND(O171="Benthic, infaunal",M171="elegans"),(0.243-SQRT(((Y171)-(AB171))*0.0012+0.053337))/0.0006,IF(O171="Benthic",(0.245-SQRT(((Y171)-(AB171))*0.0044+0.045461))/0.0022,IF(O171="Benthic, infaunal",(0.245-(SQRT(0.045461+0.0044*((Y171-0.47)-(AB171)))))/0.0022,IF(O171="Benthic, epifaunal",(0.245-SQRT(((Y171)-(AB171))*0.0044+0.045461))/0.0022))))</f>
        <v>3.03680526280353</v>
      </c>
      <c r="AN171" s="45" t="n">
        <f aca="false">Y171-AB171</f>
        <v>4.024822977</v>
      </c>
      <c r="AO171" s="45" t="n">
        <f aca="false">SQRT((Z171^2)+(AC171^2))</f>
        <v>0.212974959404465</v>
      </c>
      <c r="AP171" s="46" t="n">
        <f aca="false">IF(NOT($M171="elegans"),(0.045461+0.0044*((AN171))),IF($M171="elegans",(0.053337+0.0012*((AN171)))))</f>
        <v>0.0581667875724</v>
      </c>
      <c r="AQ171" s="46" t="n">
        <f aca="false">IF(NOT($M171="elegans"),(0.0044*((AO171))),IF($M171="elegans",(0.0012*((AO171)))))</f>
        <v>0.000255569951285358</v>
      </c>
      <c r="AR171" s="46" t="n">
        <f aca="false">SQRT(AP171)</f>
        <v>0.241177916842318</v>
      </c>
      <c r="AS171" s="46" t="n">
        <f aca="false">AR171*(0.5*(AQ171/AP171))</f>
        <v>0.000529836965654797</v>
      </c>
      <c r="AT171" s="46" t="n">
        <f aca="false">IF(NOT($M171="elegans"),AS171/0.0022,IF($M171="elegans",AS171/0.0006))</f>
        <v>0.883061609424662</v>
      </c>
      <c r="AU171" s="45" t="n">
        <f aca="false">Y171-AB171</f>
        <v>4.024822977</v>
      </c>
      <c r="AV171" s="45" t="n">
        <f aca="false">SQRT((AA171^2)+(AD171^2))</f>
        <v>0.203321379430038</v>
      </c>
      <c r="AW171" s="46" t="n">
        <f aca="false">IF(NOT($M171="elegans"),(0.045461+0.0044*((AU171))),IF($M171="elegans",(0.053337+0.0012*((AU171)))))</f>
        <v>0.0581667875724</v>
      </c>
      <c r="AX171" s="46" t="n">
        <f aca="false">IF(NOT($M171="elegans"),(0.0044*((AV171))),IF($M171="elegans",(0.0012*((AV171)))))</f>
        <v>0.000243985655316045</v>
      </c>
      <c r="AY171" s="46" t="n">
        <f aca="false">SQRT(AW171)</f>
        <v>0.241177916842318</v>
      </c>
      <c r="AZ171" s="46" t="n">
        <f aca="false">AY171*(0.5*(AX171/AW171))</f>
        <v>0.000505820886320125</v>
      </c>
      <c r="BA171" s="46" t="n">
        <f aca="false">IF(NOT($M171="elegans"),AZ171/0.0022,IF($M171="elegans",AZ171/0.0006))</f>
        <v>0.843034810533541</v>
      </c>
      <c r="BE171" s="31" t="n">
        <f aca="false">AM171</f>
        <v>3.03680526280353</v>
      </c>
      <c r="BF171" s="31" t="n">
        <f aca="false">AT171</f>
        <v>0.883061609424662</v>
      </c>
      <c r="BG171" s="31" t="n">
        <f aca="false">BA171</f>
        <v>0.843034810533541</v>
      </c>
      <c r="BH171" s="14" t="n">
        <f aca="false">10^6/((BE171+273.15)^2)</f>
        <v>13.1097420675199</v>
      </c>
      <c r="BI171" s="14" t="n">
        <f aca="false">BH171*(2*($BF171/($BE171+273.15)))</f>
        <v>0.083832462005349</v>
      </c>
      <c r="BJ171" s="14" t="n">
        <f aca="false">BH171*(2*($BG171/($BE171+273.15)))</f>
        <v>0.0800325628121071</v>
      </c>
      <c r="BL171" s="14" t="n">
        <f aca="false">10^6/((AH171+273.15)^2)</f>
        <v>13.1705934127852</v>
      </c>
      <c r="BM171" s="14" t="n">
        <f aca="false">BL171*(2*($AI171/($AH171+273.15)))</f>
        <v>0.0109158068962335</v>
      </c>
      <c r="BN171" s="14" t="n">
        <f aca="false">10^6/((AJ171+273.15)^2)</f>
        <v>13.1705934127852</v>
      </c>
      <c r="BO171" s="14" t="n">
        <f aca="false">BN171*(2*($AK171/($AJ171+273.15)))</f>
        <v>0.0109158068962335</v>
      </c>
    </row>
    <row r="172" s="14" customFormat="true" ht="16" hidden="false" customHeight="false" outlineLevel="0" collapsed="false">
      <c r="A172" s="22" t="s">
        <v>173</v>
      </c>
      <c r="B172" s="42" t="s">
        <v>386</v>
      </c>
      <c r="C172" s="14" t="s">
        <v>53</v>
      </c>
      <c r="D172" s="51" t="s">
        <v>387</v>
      </c>
      <c r="E172" s="24" t="s">
        <v>371</v>
      </c>
      <c r="F172" s="59" t="n">
        <v>5.4183</v>
      </c>
      <c r="G172" s="59" t="n">
        <v>-22.6995</v>
      </c>
      <c r="H172" s="22" t="s">
        <v>78</v>
      </c>
      <c r="I172" s="22" t="s">
        <v>359</v>
      </c>
      <c r="J172" s="22" t="n">
        <v>4263</v>
      </c>
      <c r="K172" s="88" t="s">
        <v>173</v>
      </c>
      <c r="L172" s="22" t="s">
        <v>176</v>
      </c>
      <c r="M172" s="22" t="s">
        <v>177</v>
      </c>
      <c r="N172" s="22" t="n">
        <v>4263</v>
      </c>
      <c r="O172" s="22" t="s">
        <v>178</v>
      </c>
      <c r="P172" s="22" t="s">
        <v>178</v>
      </c>
      <c r="Q172" s="22" t="n">
        <v>1</v>
      </c>
      <c r="R172" s="25" t="s">
        <v>234</v>
      </c>
      <c r="S172" s="25" t="n">
        <v>34.88</v>
      </c>
      <c r="T172" s="22" t="n">
        <v>2.87303090727817</v>
      </c>
      <c r="U172" s="89" t="n">
        <v>5</v>
      </c>
      <c r="V172" s="42" t="n">
        <v>2.51</v>
      </c>
      <c r="W172" s="42" t="n">
        <v>0.0374165738677392</v>
      </c>
      <c r="X172" s="90" t="n">
        <f aca="false">W172/SQRT(U172)</f>
        <v>0.0167332005306814</v>
      </c>
      <c r="Y172" s="27" t="n">
        <v>4.652</v>
      </c>
      <c r="Z172" s="42" t="n">
        <v>0.0303315017762063</v>
      </c>
      <c r="AA172" s="27" t="n">
        <f aca="false">Z172/SQRT(U172)</f>
        <v>0.0135646599662506</v>
      </c>
      <c r="AB172" s="27" t="n">
        <v>0.200590952</v>
      </c>
      <c r="AC172" s="27" t="n">
        <v>0.2</v>
      </c>
      <c r="AD172" s="27" t="n">
        <v>0.2</v>
      </c>
      <c r="AE172" s="43" t="n">
        <v>0.6572</v>
      </c>
      <c r="AF172" s="43" t="n">
        <v>0.0095571962415763</v>
      </c>
      <c r="AG172" s="61" t="n">
        <f aca="false">AF172*SQRT(U172)</f>
        <v>0.0213705404704701</v>
      </c>
      <c r="AH172" s="29" t="n">
        <v>2.34999990463257</v>
      </c>
      <c r="AI172" s="55" t="n">
        <v>0.0235839333035983</v>
      </c>
      <c r="AJ172" s="44" t="n">
        <v>2.34999990463257</v>
      </c>
      <c r="AK172" s="44" t="n">
        <v>0.0235839333035983</v>
      </c>
      <c r="AL172" s="27" t="s">
        <v>63</v>
      </c>
      <c r="AM172" s="14" t="n">
        <f aca="false">IF(AND(O172="Benthic, infaunal",M172="elegans"),(0.243-SQRT(((Y172)-(AB172))*0.0012+0.053337))/0.0006,IF(O172="Benthic",(0.245-SQRT(((Y172)-(AB172))*0.0044+0.045461))/0.0022,IF(O172="Benthic, infaunal",(0.245-(SQRT(0.045461+0.0044*((Y172-0.47)-(AB172)))))/0.0022,IF(O172="Benthic, epifaunal",(0.245-SQRT(((Y172)-(AB172))*0.0044+0.045461))/0.0022))))</f>
        <v>1.27191886947801</v>
      </c>
      <c r="AN172" s="45" t="n">
        <f aca="false">Y172-AB172</f>
        <v>4.451409048</v>
      </c>
      <c r="AO172" s="45" t="n">
        <f aca="false">SQRT((Z172^2)+(AC172^2))</f>
        <v>0.202286924935845</v>
      </c>
      <c r="AP172" s="46" t="n">
        <f aca="false">IF(NOT($M172="elegans"),(0.045461+0.0044*((AN172))),IF($M172="elegans",(0.053337+0.0012*((AN172)))))</f>
        <v>0.0586786908576</v>
      </c>
      <c r="AQ172" s="46" t="n">
        <f aca="false">IF(NOT($M172="elegans"),(0.0044*((AO172))),IF($M172="elegans",(0.0012*((AO172)))))</f>
        <v>0.000242744309923013</v>
      </c>
      <c r="AR172" s="46" t="n">
        <f aca="false">SQRT(AP172)</f>
        <v>0.242236848678313</v>
      </c>
      <c r="AS172" s="46" t="n">
        <f aca="false">AR172*(0.5*(AQ172/AP172))</f>
        <v>0.000501047448494044</v>
      </c>
      <c r="AT172" s="46" t="n">
        <f aca="false">IF(NOT($M172="elegans"),AS172/0.0022,IF($M172="elegans",AS172/0.0006))</f>
        <v>0.835079080823407</v>
      </c>
      <c r="AU172" s="45" t="n">
        <f aca="false">Y172-AB172</f>
        <v>4.451409048</v>
      </c>
      <c r="AV172" s="45" t="n">
        <f aca="false">SQRT((AA172^2)+(AD172^2))</f>
        <v>0.200459472213213</v>
      </c>
      <c r="AW172" s="46" t="n">
        <f aca="false">IF(NOT($M172="elegans"),(0.045461+0.0044*((AU172))),IF($M172="elegans",(0.053337+0.0012*((AU172)))))</f>
        <v>0.0586786908576</v>
      </c>
      <c r="AX172" s="46" t="n">
        <f aca="false">IF(NOT($M172="elegans"),(0.0044*((AV172))),IF($M172="elegans",(0.0012*((AV172)))))</f>
        <v>0.000240551366655856</v>
      </c>
      <c r="AY172" s="46" t="n">
        <f aca="false">SQRT(AW172)</f>
        <v>0.242236848678313</v>
      </c>
      <c r="AZ172" s="46" t="n">
        <f aca="false">AY172*(0.5*(AX172/AW172))</f>
        <v>0.000496521004067602</v>
      </c>
      <c r="BA172" s="46" t="n">
        <f aca="false">IF(NOT($M172="elegans"),AZ172/0.0022,IF($M172="elegans",AZ172/0.0006))</f>
        <v>0.827535006779337</v>
      </c>
      <c r="BE172" s="31" t="n">
        <f aca="false">AM172</f>
        <v>1.27191886947801</v>
      </c>
      <c r="BF172" s="31" t="n">
        <f aca="false">AT172</f>
        <v>0.835079080823407</v>
      </c>
      <c r="BG172" s="31" t="n">
        <f aca="false">BA172</f>
        <v>0.827535006779337</v>
      </c>
      <c r="BH172" s="14" t="n">
        <f aca="false">10^6/((BE172+273.15)^2)</f>
        <v>13.2789093593039</v>
      </c>
      <c r="BI172" s="14" t="n">
        <f aca="false">BH172*(2*($BF172/($BE172+273.15)))</f>
        <v>0.0808167180507112</v>
      </c>
      <c r="BJ172" s="14" t="n">
        <f aca="false">BH172*(2*($BG172/($BE172+273.15)))</f>
        <v>0.0800866227591705</v>
      </c>
      <c r="BK172" s="37"/>
      <c r="BL172" s="14" t="n">
        <f aca="false">10^6/((AH172+273.15)^2)</f>
        <v>13.1751871791242</v>
      </c>
      <c r="BM172" s="14" t="n">
        <f aca="false">BL172*(2*($AI172/($AH172+273.15)))</f>
        <v>0.00225570044139709</v>
      </c>
      <c r="BN172" s="14" t="n">
        <f aca="false">10^6/((AJ172+273.15)^2)</f>
        <v>13.1751871791242</v>
      </c>
      <c r="BO172" s="14" t="n">
        <f aca="false">BN172*(2*($AK172/($AJ172+273.15)))</f>
        <v>0.00225570044139709</v>
      </c>
    </row>
    <row r="173" s="14" customFormat="true" ht="16" hidden="false" customHeight="false" outlineLevel="0" collapsed="false">
      <c r="A173" s="22" t="s">
        <v>173</v>
      </c>
      <c r="B173" s="40" t="s">
        <v>174</v>
      </c>
      <c r="C173" s="14" t="s">
        <v>53</v>
      </c>
      <c r="D173" s="23" t="s">
        <v>175</v>
      </c>
      <c r="E173" s="24" t="s">
        <v>169</v>
      </c>
      <c r="F173" s="22" t="n">
        <v>24.5</v>
      </c>
      <c r="G173" s="22" t="n">
        <v>-79.2</v>
      </c>
      <c r="H173" s="22" t="s">
        <v>78</v>
      </c>
      <c r="I173" s="22" t="s">
        <v>170</v>
      </c>
      <c r="J173" s="22" t="n">
        <v>390</v>
      </c>
      <c r="K173" s="25" t="s">
        <v>173</v>
      </c>
      <c r="L173" s="22" t="s">
        <v>176</v>
      </c>
      <c r="M173" s="22" t="s">
        <v>177</v>
      </c>
      <c r="N173" s="22" t="n">
        <v>390</v>
      </c>
      <c r="O173" s="22" t="s">
        <v>178</v>
      </c>
      <c r="P173" s="22" t="s">
        <v>178</v>
      </c>
      <c r="Q173" s="22" t="n">
        <v>1</v>
      </c>
      <c r="R173" s="25" t="s">
        <v>83</v>
      </c>
      <c r="S173" s="25" t="n">
        <v>36.112</v>
      </c>
      <c r="T173" s="22" t="n">
        <v>58.8078360655738</v>
      </c>
      <c r="U173" s="40" t="n">
        <v>3</v>
      </c>
      <c r="V173" s="42" t="n">
        <v>2.32</v>
      </c>
      <c r="W173" s="42" t="n">
        <v>0.0264575131106458</v>
      </c>
      <c r="X173" s="42" t="n">
        <v>0.0152752523165194</v>
      </c>
      <c r="Y173" s="42" t="n">
        <v>0.91</v>
      </c>
      <c r="Z173" s="42" t="n">
        <v>0.0608276253029822</v>
      </c>
      <c r="AA173" s="42" t="n">
        <v>0.0351188458428425</v>
      </c>
      <c r="AB173" s="27" t="n">
        <v>0.827906056</v>
      </c>
      <c r="AC173" s="27" t="n">
        <v>0.2</v>
      </c>
      <c r="AD173" s="27" t="n">
        <v>0.2</v>
      </c>
      <c r="AE173" s="43" t="n">
        <v>0.627666666666667</v>
      </c>
      <c r="AF173" s="43" t="n">
        <v>0.0139323763626709</v>
      </c>
      <c r="AG173" s="61" t="n">
        <f aca="false">AF173*SQRT(U173)</f>
        <v>0.0241315837303177</v>
      </c>
      <c r="AH173" s="29" t="n">
        <v>16.5000583648682</v>
      </c>
      <c r="AI173" s="27" t="n">
        <v>0.0875239513814449</v>
      </c>
      <c r="AJ173" s="44" t="n">
        <v>16.5000583648682</v>
      </c>
      <c r="AK173" s="44" t="n">
        <v>0.0875239513814449</v>
      </c>
      <c r="AL173" s="27" t="s">
        <v>63</v>
      </c>
      <c r="AM173" s="14" t="n">
        <f aca="false">IF(AND(O173="Benthic, infaunal",M173="elegans"),(0.243-SQRT(((Y173)-(AB173))*0.0012+0.053337))/0.0006,IF(O173="Benthic",(0.245-SQRT(((Y173)-(AB173))*0.0044+0.045461))/0.0022,IF(O173="Benthic, infaunal",(0.245-(SQRT(0.045461+0.0044*((Y173-0.47)-(AB173)))))/0.0022,IF(O173="Benthic, epifaunal",(0.245-SQRT(((Y173)-(AB173))*0.0044+0.045461))/0.0022))))</f>
        <v>19.7312888212522</v>
      </c>
      <c r="AN173" s="45" t="n">
        <v>0.082093944</v>
      </c>
      <c r="AO173" s="45" t="n">
        <v>0.209045449603669</v>
      </c>
      <c r="AP173" s="46" t="n">
        <f aca="false">IF(NOT(M173="elegans"),(0.045461+0.0044*((AN173))),IF(M173="elegans",(0.053337+0.0012*((AN173)))))</f>
        <v>0.0534355127328</v>
      </c>
      <c r="AQ173" s="46" t="n">
        <v>0.000250854539524402</v>
      </c>
      <c r="AR173" s="46" t="n">
        <v>0.231161226707249</v>
      </c>
      <c r="AS173" s="46" t="n">
        <v>0.000542596487952744</v>
      </c>
      <c r="AT173" s="46" t="n">
        <v>0.90432747992124</v>
      </c>
      <c r="AU173" s="45" t="n">
        <v>0.082093944</v>
      </c>
      <c r="AV173" s="45" t="n">
        <v>0.203059925473574</v>
      </c>
      <c r="AW173" s="46" t="n">
        <v>0.0534355127328</v>
      </c>
      <c r="AX173" s="46" t="n">
        <v>0.000243671910568289</v>
      </c>
      <c r="AY173" s="46" t="n">
        <v>0.231161226707249</v>
      </c>
      <c r="AZ173" s="46" t="n">
        <v>0.000527060515379778</v>
      </c>
      <c r="BA173" s="46" t="n">
        <v>0.878434192299631</v>
      </c>
      <c r="BE173" s="31" t="n">
        <f aca="false">AM173</f>
        <v>19.7312888212522</v>
      </c>
      <c r="BF173" s="31" t="n">
        <f aca="false">AT173</f>
        <v>0.90432747992124</v>
      </c>
      <c r="BG173" s="31" t="n">
        <f aca="false">BA173</f>
        <v>0.878434192299631</v>
      </c>
      <c r="BH173" s="14" t="n">
        <f aca="false">10^6/((BE173+273.15)^2)</f>
        <v>11.6578039107913</v>
      </c>
      <c r="BI173" s="14" t="n">
        <f aca="false">BH173*(2*($BF173/($BE173+273.15)))</f>
        <v>0.0719914370391617</v>
      </c>
      <c r="BJ173" s="14" t="n">
        <f aca="false">BH173*(2*($BG173/($BE173+273.15)))</f>
        <v>0.0699301317853278</v>
      </c>
      <c r="BL173" s="14" t="n">
        <f aca="false">10^6/((AH173+273.15)^2)</f>
        <v>11.919355124455</v>
      </c>
      <c r="BM173" s="14" t="n">
        <f aca="false">BL173*(2*($AI173/($AH173+273.15)))</f>
        <v>0.00720337544069705</v>
      </c>
      <c r="BN173" s="14" t="n">
        <f aca="false">10^6/((AJ173+273.15)^2)</f>
        <v>11.919355124455</v>
      </c>
      <c r="BO173" s="14" t="n">
        <f aca="false">BN173*(2*($AK173/($AJ173+273.15)))</f>
        <v>0.00720337544069705</v>
      </c>
    </row>
    <row r="174" s="14" customFormat="true" ht="16" hidden="false" customHeight="false" outlineLevel="0" collapsed="false">
      <c r="A174" s="22" t="s">
        <v>184</v>
      </c>
      <c r="B174" s="40" t="s">
        <v>185</v>
      </c>
      <c r="C174" s="14" t="s">
        <v>53</v>
      </c>
      <c r="D174" s="23" t="s">
        <v>186</v>
      </c>
      <c r="E174" s="24" t="s">
        <v>169</v>
      </c>
      <c r="F174" s="22" t="n">
        <v>24.5</v>
      </c>
      <c r="G174" s="22" t="n">
        <v>-79.2</v>
      </c>
      <c r="H174" s="22" t="s">
        <v>78</v>
      </c>
      <c r="I174" s="22" t="s">
        <v>170</v>
      </c>
      <c r="J174" s="22" t="n">
        <v>390</v>
      </c>
      <c r="K174" s="25" t="s">
        <v>187</v>
      </c>
      <c r="L174" s="22" t="s">
        <v>184</v>
      </c>
      <c r="M174" s="22"/>
      <c r="N174" s="22" t="n">
        <v>390</v>
      </c>
      <c r="O174" s="22" t="s">
        <v>178</v>
      </c>
      <c r="P174" s="22" t="s">
        <v>178</v>
      </c>
      <c r="Q174" s="22" t="n">
        <v>1</v>
      </c>
      <c r="R174" s="25" t="s">
        <v>83</v>
      </c>
      <c r="S174" s="25" t="n">
        <v>36.112</v>
      </c>
      <c r="T174" s="22" t="n">
        <v>58.8078360655738</v>
      </c>
      <c r="U174" s="40" t="n">
        <v>11</v>
      </c>
      <c r="V174" s="42" t="n">
        <v>0.400909090909091</v>
      </c>
      <c r="W174" s="42" t="n">
        <v>0.0356243022260213</v>
      </c>
      <c r="X174" s="42" t="n">
        <v>0.0107411312638123</v>
      </c>
      <c r="Y174" s="42" t="n">
        <v>1.22636363636364</v>
      </c>
      <c r="Z174" s="42" t="n">
        <v>0.162189563614477</v>
      </c>
      <c r="AA174" s="42" t="n">
        <v>0.0489019934018816</v>
      </c>
      <c r="AB174" s="27" t="n">
        <v>0.827906056</v>
      </c>
      <c r="AC174" s="27" t="n">
        <v>0.2</v>
      </c>
      <c r="AD174" s="27" t="n">
        <v>0.2</v>
      </c>
      <c r="AE174" s="43" t="n">
        <v>0.622454545454546</v>
      </c>
      <c r="AF174" s="43" t="n">
        <v>0.0105091852779657</v>
      </c>
      <c r="AG174" s="61" t="n">
        <f aca="false">AF174*SQRT(U174)</f>
        <v>0.0348550244193391</v>
      </c>
      <c r="AH174" s="29" t="n">
        <v>16.5000583648682</v>
      </c>
      <c r="AI174" s="27" t="n">
        <v>0.0875239513814449</v>
      </c>
      <c r="AJ174" s="44" t="n">
        <v>16.5000583648682</v>
      </c>
      <c r="AK174" s="44" t="n">
        <v>0.0875239513814449</v>
      </c>
      <c r="AL174" s="27" t="s">
        <v>63</v>
      </c>
      <c r="AM174" s="14" t="n">
        <f aca="false">IF(AND(O174="Benthic, infaunal",M174="elegans"),(0.243-SQRT(((Y174)-(AB174))*0.0012+0.053337))/0.0006,IF(O174="Benthic",(0.245-SQRT(((Y174)-(AB174))*0.0044+0.045461))/0.0022,IF(O174="Benthic, infaunal",(0.245-(SQRT(0.045461+0.0044*((Y174-0.47)-(AB174)))))/0.0022,IF(O174="Benthic, epifaunal",(0.245-SQRT(((Y174)-(AB174))*0.0044+0.045461))/0.0022))))</f>
        <v>14.7834622504389</v>
      </c>
      <c r="AN174" s="45" t="n">
        <v>0.398457580363636</v>
      </c>
      <c r="AO174" s="45" t="n">
        <v>0.257498455423434</v>
      </c>
      <c r="AP174" s="46" t="n">
        <f aca="false">IF(NOT(M174="elegans"),(0.045461+0.0044*((AN174))),IF(M174="elegans",(0.053337+0.0012*((AN174)))))</f>
        <v>0.0472142133536</v>
      </c>
      <c r="AQ174" s="46" t="n">
        <v>0.00113299320386311</v>
      </c>
      <c r="AR174" s="46" t="n">
        <v>0.217288318493195</v>
      </c>
      <c r="AS174" s="46" t="n">
        <v>0.00260711945243986</v>
      </c>
      <c r="AT174" s="46" t="n">
        <v>1.18505429656357</v>
      </c>
      <c r="AU174" s="45" t="n">
        <v>0.398457580363636</v>
      </c>
      <c r="AV174" s="45" t="n">
        <v>0.205891731156639</v>
      </c>
      <c r="AW174" s="46" t="n">
        <v>0.0472142133536</v>
      </c>
      <c r="AX174" s="46" t="n">
        <v>0.000905923617089211</v>
      </c>
      <c r="AY174" s="46" t="n">
        <v>0.217288318493195</v>
      </c>
      <c r="AZ174" s="46" t="n">
        <v>0.00208461187276753</v>
      </c>
      <c r="BA174" s="46" t="n">
        <v>0.947550851257967</v>
      </c>
      <c r="BE174" s="31" t="n">
        <f aca="false">AM174</f>
        <v>14.7834622504389</v>
      </c>
      <c r="BF174" s="31" t="n">
        <f aca="false">AT174</f>
        <v>1.18505429656357</v>
      </c>
      <c r="BG174" s="31" t="n">
        <f aca="false">BA174</f>
        <v>0.947550851257967</v>
      </c>
      <c r="BH174" s="14" t="n">
        <f aca="false">10^6/((BE174+273.15)^2)</f>
        <v>12.0618999310927</v>
      </c>
      <c r="BI174" s="14" t="n">
        <f aca="false">BH174*(2*($BF174/($BE174+273.15)))</f>
        <v>0.0992868715316498</v>
      </c>
      <c r="BJ174" s="14" t="n">
        <f aca="false">BH174*(2*($BG174/($BE174+273.15)))</f>
        <v>0.0793882271144597</v>
      </c>
      <c r="BL174" s="14" t="n">
        <f aca="false">10^6/((AH174+273.15)^2)</f>
        <v>11.919355124455</v>
      </c>
      <c r="BM174" s="14" t="n">
        <f aca="false">BL174*(2*($AI174/($AH174+273.15)))</f>
        <v>0.00720337544069705</v>
      </c>
      <c r="BN174" s="14" t="n">
        <f aca="false">10^6/((AJ174+273.15)^2)</f>
        <v>11.919355124455</v>
      </c>
      <c r="BO174" s="14" t="n">
        <f aca="false">BN174*(2*($AK174/($AJ174+273.15)))</f>
        <v>0.00720337544069705</v>
      </c>
    </row>
    <row r="175" s="14" customFormat="true" ht="16" hidden="false" customHeight="false" outlineLevel="0" collapsed="false">
      <c r="A175" s="22" t="s">
        <v>173</v>
      </c>
      <c r="B175" s="42" t="s">
        <v>402</v>
      </c>
      <c r="C175" s="14" t="s">
        <v>53</v>
      </c>
      <c r="D175" s="51" t="s">
        <v>403</v>
      </c>
      <c r="E175" s="24" t="s">
        <v>401</v>
      </c>
      <c r="F175" s="57" t="n">
        <v>26.1928</v>
      </c>
      <c r="G175" s="57" t="n">
        <v>-77.7092</v>
      </c>
      <c r="H175" s="22" t="s">
        <v>78</v>
      </c>
      <c r="I175" s="22" t="s">
        <v>391</v>
      </c>
      <c r="J175" s="22" t="n">
        <v>1038</v>
      </c>
      <c r="K175" s="88" t="s">
        <v>173</v>
      </c>
      <c r="L175" s="22" t="s">
        <v>176</v>
      </c>
      <c r="M175" s="22" t="s">
        <v>177</v>
      </c>
      <c r="N175" s="22" t="n">
        <v>1038</v>
      </c>
      <c r="O175" s="22" t="s">
        <v>178</v>
      </c>
      <c r="P175" s="22" t="s">
        <v>178</v>
      </c>
      <c r="Q175" s="22" t="n">
        <v>1</v>
      </c>
      <c r="R175" s="25" t="s">
        <v>234</v>
      </c>
      <c r="S175" s="25" t="n">
        <v>35.07</v>
      </c>
      <c r="T175" s="22" t="n">
        <v>47.6362786561265</v>
      </c>
      <c r="U175" s="89" t="n">
        <v>5</v>
      </c>
      <c r="V175" s="42" t="n">
        <v>2.902</v>
      </c>
      <c r="W175" s="42" t="n">
        <v>0.0704982269280582</v>
      </c>
      <c r="X175" s="90" t="n">
        <f aca="false">W175/SQRT(U175)</f>
        <v>0.0315277655408688</v>
      </c>
      <c r="Y175" s="27" t="n">
        <v>3.83</v>
      </c>
      <c r="Z175" s="42" t="n">
        <v>0.0489897948556636</v>
      </c>
      <c r="AA175" s="27" t="n">
        <f aca="false">Z175/SQRT(U175)</f>
        <v>0.0219089023002067</v>
      </c>
      <c r="AB175" s="27" t="n">
        <v>0.2958504282</v>
      </c>
      <c r="AC175" s="27" t="n">
        <v>0.2</v>
      </c>
      <c r="AD175" s="27" t="n">
        <v>0.2</v>
      </c>
      <c r="AE175" s="43" t="n">
        <v>0.6462</v>
      </c>
      <c r="AF175" s="43" t="n">
        <v>0.0133056379027839</v>
      </c>
      <c r="AG175" s="61" t="n">
        <f aca="false">AF175*SQRT(U175)</f>
        <v>0.0297523108346226</v>
      </c>
      <c r="AH175" s="29" t="n">
        <v>5.50696525573731</v>
      </c>
      <c r="AI175" s="55" t="n">
        <v>0.0757131330668926</v>
      </c>
      <c r="AJ175" s="44" t="n">
        <v>5.50696525573731</v>
      </c>
      <c r="AK175" s="44" t="n">
        <v>0.0757131330668926</v>
      </c>
      <c r="AL175" s="27" t="s">
        <v>63</v>
      </c>
      <c r="AM175" s="14" t="n">
        <f aca="false">IF(AND(O175="Benthic, infaunal",M175="elegans"),(0.243-SQRT(((Y175)-(AB175))*0.0012+0.053337))/0.0006,IF(O175="Benthic",(0.245-SQRT(((Y175)-(AB175))*0.0044+0.045461))/0.0022,IF(O175="Benthic, infaunal",(0.245-(SQRT(0.045461+0.0044*((Y175-0.47)-(AB175)))))/0.0022,IF(O175="Benthic, epifaunal",(0.245-SQRT(((Y175)-(AB175))*0.0044+0.045461))/0.0022))))</f>
        <v>5.07646742658412</v>
      </c>
      <c r="AN175" s="45" t="n">
        <f aca="false">Y175-AB175</f>
        <v>3.5341495718</v>
      </c>
      <c r="AO175" s="45" t="n">
        <f aca="false">SQRT((Z175^2)+(AC175^2))</f>
        <v>0.20591260281974</v>
      </c>
      <c r="AP175" s="46" t="n">
        <f aca="false">IF(NOT($M175="elegans"),(0.045461+0.0044*((AN175))),IF($M175="elegans",(0.053337+0.0012*((AN175)))))</f>
        <v>0.05757797948616</v>
      </c>
      <c r="AQ175" s="46" t="n">
        <f aca="false">IF(NOT($M175="elegans"),(0.0044*((AO175))),IF($M175="elegans",(0.0012*((AO175)))))</f>
        <v>0.000247095123383688</v>
      </c>
      <c r="AR175" s="46" t="n">
        <f aca="false">SQRT(AP175)</f>
        <v>0.23995411954405</v>
      </c>
      <c r="AS175" s="46" t="n">
        <f aca="false">AR175*(0.5*(AQ175/AP175))</f>
        <v>0.000514879935908597</v>
      </c>
      <c r="AT175" s="46" t="n">
        <f aca="false">IF(NOT($M175="elegans"),AS175/0.0022,IF($M175="elegans",AS175/0.0006))</f>
        <v>0.858133226514328</v>
      </c>
      <c r="AU175" s="45" t="n">
        <f aca="false">Y175-AB175</f>
        <v>3.5341495718</v>
      </c>
      <c r="AV175" s="45" t="n">
        <f aca="false">SQRT((AA175^2)+(AD175^2))</f>
        <v>0.201196421439349</v>
      </c>
      <c r="AW175" s="46" t="n">
        <f aca="false">IF(NOT($M175="elegans"),(0.045461+0.0044*((AU175))),IF($M175="elegans",(0.053337+0.0012*((AU175)))))</f>
        <v>0.05757797948616</v>
      </c>
      <c r="AX175" s="46" t="n">
        <f aca="false">IF(NOT($M175="elegans"),(0.0044*((AV175))),IF($M175="elegans",(0.0012*((AV175)))))</f>
        <v>0.000241435705727218</v>
      </c>
      <c r="AY175" s="46" t="n">
        <f aca="false">SQRT(AW175)</f>
        <v>0.23995411954405</v>
      </c>
      <c r="AZ175" s="46" t="n">
        <f aca="false">AY175*(0.5*(AX175/AW175))</f>
        <v>0.000503087228062565</v>
      </c>
      <c r="BA175" s="46" t="n">
        <f aca="false">IF(NOT($M175="elegans"),AZ175/0.0022,IF($M175="elegans",AZ175/0.0006))</f>
        <v>0.838478713437608</v>
      </c>
      <c r="BE175" s="31" t="n">
        <f aca="false">AM175</f>
        <v>5.07646742658412</v>
      </c>
      <c r="BF175" s="31" t="n">
        <f aca="false">AT175</f>
        <v>0.858133226514328</v>
      </c>
      <c r="BG175" s="31" t="n">
        <f aca="false">BA175</f>
        <v>0.838478713437608</v>
      </c>
      <c r="BH175" s="14" t="n">
        <f aca="false">10^6/((BE175+273.15)^2)</f>
        <v>12.9182330967491</v>
      </c>
      <c r="BI175" s="14" t="n">
        <f aca="false">BH175*(2*($BF175/($BE175+273.15)))</f>
        <v>0.0796873507449658</v>
      </c>
      <c r="BJ175" s="14" t="n">
        <f aca="false">BH175*(2*($BG175/($BE175+273.15)))</f>
        <v>0.0778622074818061</v>
      </c>
      <c r="BL175" s="14" t="n">
        <f aca="false">10^6/((AH175+273.15)^2)</f>
        <v>12.8783491090031</v>
      </c>
      <c r="BM175" s="14" t="n">
        <f aca="false">BL175*(2*($AI175/($AH175+273.15)))</f>
        <v>0.00699828306015596</v>
      </c>
      <c r="BN175" s="14" t="n">
        <f aca="false">10^6/((AJ175+273.15)^2)</f>
        <v>12.8783491090031</v>
      </c>
      <c r="BO175" s="14" t="n">
        <f aca="false">BN175*(2*($AK175/($AJ175+273.15)))</f>
        <v>0.00699828306015596</v>
      </c>
    </row>
    <row r="176" s="14" customFormat="true" ht="16" hidden="false" customHeight="false" outlineLevel="0" collapsed="false">
      <c r="A176" s="22" t="s">
        <v>173</v>
      </c>
      <c r="B176" s="42" t="s">
        <v>407</v>
      </c>
      <c r="C176" s="14" t="s">
        <v>53</v>
      </c>
      <c r="D176" s="51" t="s">
        <v>408</v>
      </c>
      <c r="E176" s="24" t="s">
        <v>406</v>
      </c>
      <c r="F176" s="57" t="n">
        <v>26.1685</v>
      </c>
      <c r="G176" s="59" t="n">
        <v>-77.7075</v>
      </c>
      <c r="H176" s="22" t="s">
        <v>78</v>
      </c>
      <c r="I176" s="22" t="s">
        <v>391</v>
      </c>
      <c r="J176" s="22" t="n">
        <v>1140</v>
      </c>
      <c r="K176" s="88" t="s">
        <v>173</v>
      </c>
      <c r="L176" s="22" t="s">
        <v>176</v>
      </c>
      <c r="M176" s="22" t="s">
        <v>177</v>
      </c>
      <c r="N176" s="22" t="n">
        <v>1140</v>
      </c>
      <c r="O176" s="22" t="s">
        <v>178</v>
      </c>
      <c r="P176" s="22" t="s">
        <v>178</v>
      </c>
      <c r="Q176" s="22" t="n">
        <v>1</v>
      </c>
      <c r="R176" s="25" t="s">
        <v>234</v>
      </c>
      <c r="S176" s="25" t="n">
        <v>34.04</v>
      </c>
      <c r="T176" s="22" t="n">
        <v>47.3961956521739</v>
      </c>
      <c r="U176" s="89" t="n">
        <v>5</v>
      </c>
      <c r="V176" s="42" t="n">
        <v>2.566</v>
      </c>
      <c r="W176" s="42" t="n">
        <v>0.16379865689315</v>
      </c>
      <c r="X176" s="90" t="n">
        <f aca="false">W176/SQRT(U176)</f>
        <v>0.0732529862872497</v>
      </c>
      <c r="Y176" s="27" t="n">
        <v>3.628</v>
      </c>
      <c r="Z176" s="42" t="n">
        <v>0.321434285663493</v>
      </c>
      <c r="AA176" s="27" t="n">
        <f aca="false">Z176/SQRT(U176)</f>
        <v>0.143749782608531</v>
      </c>
      <c r="AB176" s="27" t="n">
        <v>0.2936</v>
      </c>
      <c r="AC176" s="27" t="n">
        <v>0.2</v>
      </c>
      <c r="AD176" s="27" t="n">
        <v>0.2</v>
      </c>
      <c r="AE176" s="43" t="n">
        <v>0.6402</v>
      </c>
      <c r="AF176" s="43" t="n">
        <v>0.0119306328415554</v>
      </c>
      <c r="AG176" s="61" t="n">
        <f aca="false">AF176*SQRT(U176)</f>
        <v>0.0266777060483093</v>
      </c>
      <c r="AH176" s="29" t="n">
        <v>4.73677349090576</v>
      </c>
      <c r="AI176" s="55" t="n">
        <v>0.0757131330668926</v>
      </c>
      <c r="AJ176" s="44" t="n">
        <v>4.73677349090576</v>
      </c>
      <c r="AK176" s="44" t="n">
        <v>0.0757131330668926</v>
      </c>
      <c r="AL176" s="27" t="s">
        <v>63</v>
      </c>
      <c r="AM176" s="14" t="n">
        <f aca="false">IF(AND(O176="Benthic, infaunal",M176="elegans"),(0.243-SQRT(((Y176)-(AB176))*0.0012+0.053337))/0.0006,IF(O176="Benthic",(0.245-SQRT(((Y176)-(AB176))*0.0044+0.045461))/0.0022,IF(O176="Benthic, infaunal",(0.245-(SQRT(0.045461+0.0044*((Y176-0.47)-(AB176)))))/0.0022,IF(O176="Benthic, epifaunal",(0.245-SQRT(((Y176)-(AB176))*0.0044+0.045461))/0.0022))))</f>
        <v>5.90978463510282</v>
      </c>
      <c r="AN176" s="45" t="n">
        <f aca="false">Y176-AB176</f>
        <v>3.3344</v>
      </c>
      <c r="AO176" s="45" t="n">
        <f aca="false">SQRT((Z176^2)+(AC176^2))</f>
        <v>0.378576280292361</v>
      </c>
      <c r="AP176" s="46" t="n">
        <f aca="false">IF(NOT($M176="elegans"),(0.045461+0.0044*((AN176))),IF($M176="elegans",(0.053337+0.0012*((AN176)))))</f>
        <v>0.05733828</v>
      </c>
      <c r="AQ176" s="46" t="n">
        <f aca="false">IF(NOT($M176="elegans"),(0.0044*((AO176))),IF($M176="elegans",(0.0012*((AO176)))))</f>
        <v>0.000454291536350833</v>
      </c>
      <c r="AR176" s="46" t="n">
        <f aca="false">SQRT(AP176)</f>
        <v>0.239454129218938</v>
      </c>
      <c r="AS176" s="46" t="n">
        <f aca="false">AR176*(0.5*(AQ176/AP176))</f>
        <v>0.000948598251015049</v>
      </c>
      <c r="AT176" s="46" t="n">
        <f aca="false">IF(NOT($M176="elegans"),AS176/0.0022,IF($M176="elegans",AS176/0.0006))</f>
        <v>1.58099708502508</v>
      </c>
      <c r="AU176" s="45" t="n">
        <f aca="false">Y176-AB176</f>
        <v>3.3344</v>
      </c>
      <c r="AV176" s="45" t="n">
        <f aca="false">SQRT((AA176^2)+(AD176^2))</f>
        <v>0.246300629313041</v>
      </c>
      <c r="AW176" s="46" t="n">
        <f aca="false">IF(NOT($M176="elegans"),(0.045461+0.0044*((AU176))),IF($M176="elegans",(0.053337+0.0012*((AU176)))))</f>
        <v>0.05733828</v>
      </c>
      <c r="AX176" s="46" t="n">
        <f aca="false">IF(NOT($M176="elegans"),(0.0044*((AV176))),IF($M176="elegans",(0.0012*((AV176)))))</f>
        <v>0.000295560755175649</v>
      </c>
      <c r="AY176" s="46" t="n">
        <f aca="false">SQRT(AW176)</f>
        <v>0.239454129218938</v>
      </c>
      <c r="AZ176" s="46" t="n">
        <f aca="false">AY176*(0.5*(AX176/AW176))</f>
        <v>0.000617155269236162</v>
      </c>
      <c r="BA176" s="46" t="n">
        <f aca="false">IF(NOT($M176="elegans"),AZ176/0.0022,IF($M176="elegans",AZ176/0.0006))</f>
        <v>1.0285921153936</v>
      </c>
      <c r="BE176" s="31" t="n">
        <f aca="false">AM176</f>
        <v>5.90978463510282</v>
      </c>
      <c r="BF176" s="31" t="n">
        <f aca="false">AT176</f>
        <v>1.58099708502508</v>
      </c>
      <c r="BG176" s="31" t="n">
        <f aca="false">BA176</f>
        <v>1.0285921153936</v>
      </c>
      <c r="BH176" s="14" t="n">
        <f aca="false">10^6/((BE176+273.15)^2)</f>
        <v>12.841196464823</v>
      </c>
      <c r="BI176" s="14" t="n">
        <f aca="false">BH176*(2*($BF176/($BE176+273.15)))</f>
        <v>0.145502113145155</v>
      </c>
      <c r="BJ176" s="14" t="n">
        <f aca="false">BH176*(2*($BG176/($BE176+273.15)))</f>
        <v>0.0946632525586469</v>
      </c>
      <c r="BL176" s="14" t="n">
        <f aca="false">10^6/((AH176+273.15)^2)</f>
        <v>12.9498353750707</v>
      </c>
      <c r="BM176" s="14" t="n">
        <f aca="false">BL176*(2*($AI176/($AH176+273.15)))</f>
        <v>0.00705663387019152</v>
      </c>
      <c r="BN176" s="14" t="n">
        <f aca="false">10^6/((AJ176+273.15)^2)</f>
        <v>12.9498353750707</v>
      </c>
      <c r="BO176" s="14" t="n">
        <f aca="false">BN176*(2*($AK176/($AJ176+273.15)))</f>
        <v>0.00705663387019152</v>
      </c>
    </row>
    <row r="177" s="14" customFormat="true" ht="16" hidden="false" customHeight="false" outlineLevel="0" collapsed="false">
      <c r="A177" s="22" t="s">
        <v>173</v>
      </c>
      <c r="B177" s="40" t="s">
        <v>192</v>
      </c>
      <c r="C177" s="14" t="s">
        <v>53</v>
      </c>
      <c r="D177" s="23" t="s">
        <v>193</v>
      </c>
      <c r="E177" s="24" t="s">
        <v>190</v>
      </c>
      <c r="F177" s="22" t="n">
        <v>24.2</v>
      </c>
      <c r="G177" s="22" t="n">
        <v>-83.3</v>
      </c>
      <c r="H177" s="22" t="s">
        <v>158</v>
      </c>
      <c r="I177" s="22" t="s">
        <v>191</v>
      </c>
      <c r="J177" s="22" t="n">
        <v>750</v>
      </c>
      <c r="K177" s="25" t="s">
        <v>173</v>
      </c>
      <c r="L177" s="22" t="s">
        <v>176</v>
      </c>
      <c r="M177" s="22" t="s">
        <v>177</v>
      </c>
      <c r="N177" s="22" t="n">
        <v>750</v>
      </c>
      <c r="O177" s="22" t="s">
        <v>178</v>
      </c>
      <c r="P177" s="22" t="s">
        <v>178</v>
      </c>
      <c r="Q177" s="22" t="n">
        <v>1</v>
      </c>
      <c r="R177" s="25" t="s">
        <v>83</v>
      </c>
      <c r="S177" s="25" t="n">
        <v>34.901</v>
      </c>
      <c r="T177" s="22" t="n">
        <v>44.9214701195219</v>
      </c>
      <c r="U177" s="40" t="n">
        <v>10</v>
      </c>
      <c r="V177" s="42" t="n">
        <v>1.905</v>
      </c>
      <c r="W177" s="42" t="n">
        <v>0.0452769256906871</v>
      </c>
      <c r="X177" s="42" t="n">
        <v>0.0143178210632763</v>
      </c>
      <c r="Y177" s="42" t="n">
        <v>2.482</v>
      </c>
      <c r="Z177" s="42" t="n">
        <v>0.0646013415753368</v>
      </c>
      <c r="AA177" s="42" t="n">
        <v>0.0204287379280594</v>
      </c>
      <c r="AB177" s="27" t="n">
        <v>0.22499483</v>
      </c>
      <c r="AC177" s="27" t="n">
        <v>0.2</v>
      </c>
      <c r="AD177" s="27" t="n">
        <v>0.2</v>
      </c>
      <c r="AE177" s="43" t="n">
        <v>0.6422</v>
      </c>
      <c r="AF177" s="43" t="n">
        <v>0.00780000000000001</v>
      </c>
      <c r="AG177" s="61" t="n">
        <f aca="false">AF177*SQRT(U177)</f>
        <v>0.0246657657493134</v>
      </c>
      <c r="AH177" s="29" t="n">
        <v>6.75129127502441</v>
      </c>
      <c r="AI177" s="27" t="n">
        <v>0.0743986049334386</v>
      </c>
      <c r="AJ177" s="44" t="n">
        <v>6.75129127502441</v>
      </c>
      <c r="AK177" s="44" t="n">
        <v>0.0743986049334386</v>
      </c>
      <c r="AL177" s="27" t="s">
        <v>63</v>
      </c>
      <c r="AM177" s="14" t="n">
        <f aca="false">IF(AND(O177="Benthic, infaunal",M177="elegans"),(0.243-SQRT(((Y177)-(AB177))*0.0012+0.053337))/0.0006,IF(O177="Benthic",(0.245-SQRT(((Y177)-(AB177))*0.0044+0.045461))/0.0022,IF(O177="Benthic, infaunal",(0.245-(SQRT(0.045461+0.0044*((Y177-0.47)-(AB177)))))/0.0022,IF(O177="Benthic, epifaunal",(0.245-SQRT(((Y177)-(AB177))*0.0044+0.045461))/0.0022))))</f>
        <v>10.4348166652308</v>
      </c>
      <c r="AN177" s="45" t="n">
        <v>2.25700517</v>
      </c>
      <c r="AO177" s="45" t="n">
        <v>0.210174530648538</v>
      </c>
      <c r="AP177" s="46" t="n">
        <f aca="false">IF(NOT(M177="elegans"),(0.045461+0.0044*((AN177))),IF(M177="elegans",(0.053337+0.0012*((AN177)))))</f>
        <v>0.056045406204</v>
      </c>
      <c r="AQ177" s="46" t="n">
        <v>0.000252209436778246</v>
      </c>
      <c r="AR177" s="46" t="n">
        <v>0.236739110000862</v>
      </c>
      <c r="AS177" s="46" t="n">
        <v>0.000532673787565832</v>
      </c>
      <c r="AT177" s="46" t="n">
        <v>0.887789645943053</v>
      </c>
      <c r="AU177" s="45" t="n">
        <v>2.25700517</v>
      </c>
      <c r="AV177" s="45" t="n">
        <v>0.201040626076754</v>
      </c>
      <c r="AW177" s="46" t="n">
        <v>0.056045406204</v>
      </c>
      <c r="AX177" s="46" t="n">
        <v>0.000241248751292105</v>
      </c>
      <c r="AY177" s="46" t="n">
        <v>0.236739110000862</v>
      </c>
      <c r="AZ177" s="46" t="n">
        <v>0.000509524495743917</v>
      </c>
      <c r="BA177" s="46" t="n">
        <v>0.849207492906528</v>
      </c>
      <c r="BE177" s="31" t="n">
        <f aca="false">AM177</f>
        <v>10.4348166652308</v>
      </c>
      <c r="BF177" s="31" t="n">
        <f aca="false">AT177</f>
        <v>0.887789645943053</v>
      </c>
      <c r="BG177" s="31" t="n">
        <f aca="false">BA177</f>
        <v>0.849207492906528</v>
      </c>
      <c r="BH177" s="14" t="n">
        <f aca="false">10^6/((BE177+273.15)^2)</f>
        <v>12.434663886032</v>
      </c>
      <c r="BI177" s="14" t="n">
        <f aca="false">BH177*(2*($BF177/($BE177+273.15)))</f>
        <v>0.0778558314836231</v>
      </c>
      <c r="BJ177" s="14" t="n">
        <f aca="false">BH177*(2*($BG177/($BE177+273.15)))</f>
        <v>0.0744723209653221</v>
      </c>
      <c r="BL177" s="14" t="n">
        <f aca="false">10^6/((AH177+273.15)^2)</f>
        <v>12.7640999404495</v>
      </c>
      <c r="BM177" s="14" t="n">
        <f aca="false">BL177*(2*($AI177/($AH177+273.15)))</f>
        <v>0.00678547229614129</v>
      </c>
      <c r="BN177" s="14" t="n">
        <f aca="false">10^6/((AJ177+273.15)^2)</f>
        <v>12.7640999404495</v>
      </c>
      <c r="BO177" s="14" t="n">
        <f aca="false">BN177*(2*($AK177/($AJ177+273.15)))</f>
        <v>0.00678547229614129</v>
      </c>
    </row>
    <row r="178" s="14" customFormat="true" ht="16" hidden="false" customHeight="false" outlineLevel="0" collapsed="false">
      <c r="A178" s="22" t="s">
        <v>184</v>
      </c>
      <c r="B178" s="40" t="s">
        <v>194</v>
      </c>
      <c r="C178" s="14" t="s">
        <v>53</v>
      </c>
      <c r="D178" s="23" t="s">
        <v>195</v>
      </c>
      <c r="E178" s="24" t="s">
        <v>190</v>
      </c>
      <c r="F178" s="22" t="n">
        <v>24.2</v>
      </c>
      <c r="G178" s="22" t="n">
        <v>-83.3</v>
      </c>
      <c r="H178" s="22" t="s">
        <v>158</v>
      </c>
      <c r="I178" s="22" t="s">
        <v>191</v>
      </c>
      <c r="J178" s="22" t="n">
        <v>750</v>
      </c>
      <c r="K178" s="25" t="s">
        <v>187</v>
      </c>
      <c r="L178" s="22" t="s">
        <v>184</v>
      </c>
      <c r="M178" s="22"/>
      <c r="N178" s="22" t="n">
        <v>750</v>
      </c>
      <c r="O178" s="22" t="s">
        <v>178</v>
      </c>
      <c r="P178" s="22" t="s">
        <v>178</v>
      </c>
      <c r="Q178" s="22" t="n">
        <v>1</v>
      </c>
      <c r="R178" s="25" t="s">
        <v>83</v>
      </c>
      <c r="S178" s="25" t="n">
        <v>34.901</v>
      </c>
      <c r="T178" s="22" t="n">
        <v>44.9214701195219</v>
      </c>
      <c r="U178" s="40" t="n">
        <v>8</v>
      </c>
      <c r="V178" s="42" t="n">
        <v>-0.12</v>
      </c>
      <c r="W178" s="42" t="n">
        <v>0.0272554057547698</v>
      </c>
      <c r="X178" s="42" t="n">
        <v>0.0096362411165943</v>
      </c>
      <c r="Y178" s="42" t="n">
        <v>2.885</v>
      </c>
      <c r="Z178" s="42" t="n">
        <v>0.186700677173766</v>
      </c>
      <c r="AA178" s="42" t="n">
        <v>0.0660086574408453</v>
      </c>
      <c r="AB178" s="27" t="n">
        <v>0.22499483</v>
      </c>
      <c r="AC178" s="27" t="n">
        <v>0.2</v>
      </c>
      <c r="AD178" s="27" t="n">
        <v>0.2</v>
      </c>
      <c r="AE178" s="43" t="n">
        <v>0.662625</v>
      </c>
      <c r="AF178" s="43" t="n">
        <v>0.00977412308817815</v>
      </c>
      <c r="AG178" s="61" t="n">
        <f aca="false">AF178*SQRT(U178)</f>
        <v>0.0276453948632111</v>
      </c>
      <c r="AH178" s="29" t="n">
        <v>6.75129127502441</v>
      </c>
      <c r="AI178" s="27" t="n">
        <v>0.0743986049334386</v>
      </c>
      <c r="AJ178" s="44" t="n">
        <v>6.75129127502441</v>
      </c>
      <c r="AK178" s="44" t="n">
        <v>0.0743986049334386</v>
      </c>
      <c r="AL178" s="27" t="s">
        <v>63</v>
      </c>
      <c r="AM178" s="14" t="n">
        <f aca="false">IF(AND(O178="Benthic, infaunal",M178="elegans"),(0.243-SQRT(((Y178)-(AB178))*0.0012+0.053337))/0.0006,IF(O178="Benthic",(0.245-SQRT(((Y178)-(AB178))*0.0044+0.045461))/0.0022,IF(O178="Benthic, infaunal",(0.245-(SQRT(0.045461+0.0044*((Y178-0.47)-(AB178)))))/0.0022,IF(O178="Benthic, epifaunal",(0.245-SQRT(((Y178)-(AB178))*0.0044+0.045461))/0.0022))))</f>
        <v>4.6692954361513</v>
      </c>
      <c r="AN178" s="45" t="n">
        <v>2.66000517</v>
      </c>
      <c r="AO178" s="45" t="n">
        <v>0.273600334168551</v>
      </c>
      <c r="AP178" s="46" t="n">
        <f aca="false">IF(NOT(M178="elegans"),(0.045461+0.0044*((AN178))),IF(M178="elegans",(0.053337+0.0012*((AN178)))))</f>
        <v>0.057165022748</v>
      </c>
      <c r="AQ178" s="46" t="n">
        <v>0.00120384147034163</v>
      </c>
      <c r="AR178" s="46" t="n">
        <v>0.239092080061218</v>
      </c>
      <c r="AS178" s="46" t="n">
        <v>0.00251752686670631</v>
      </c>
      <c r="AT178" s="46" t="n">
        <v>1.14433039395741</v>
      </c>
      <c r="AU178" s="45" t="n">
        <v>2.66000517</v>
      </c>
      <c r="AV178" s="45" t="n">
        <v>0.210611355005239</v>
      </c>
      <c r="AW178" s="46" t="n">
        <v>0.057165022748</v>
      </c>
      <c r="AX178" s="46" t="n">
        <v>0.000926689962023052</v>
      </c>
      <c r="AY178" s="46" t="n">
        <v>0.239092080061218</v>
      </c>
      <c r="AZ178" s="46" t="n">
        <v>0.00193793529627953</v>
      </c>
      <c r="BA178" s="46" t="n">
        <v>0.880879680127059</v>
      </c>
      <c r="BE178" s="31" t="n">
        <f aca="false">AM178</f>
        <v>4.6692954361513</v>
      </c>
      <c r="BF178" s="31" t="n">
        <f aca="false">AT178</f>
        <v>1.14433039395741</v>
      </c>
      <c r="BG178" s="31" t="n">
        <f aca="false">BA178</f>
        <v>0.880879680127059</v>
      </c>
      <c r="BH178" s="14" t="n">
        <f aca="false">10^6/((BE178+273.15)^2)</f>
        <v>12.9561267726431</v>
      </c>
      <c r="BI178" s="14" t="n">
        <f aca="false">BH178*(2*($BF178/($BE178+273.15)))</f>
        <v>0.106731892978313</v>
      </c>
      <c r="BJ178" s="14" t="n">
        <f aca="false">BH178*(2*($BG178/($BE178+273.15)))</f>
        <v>0.0821597995146766</v>
      </c>
      <c r="BL178" s="14" t="n">
        <f aca="false">10^6/((AH178+273.15)^2)</f>
        <v>12.7640999404495</v>
      </c>
      <c r="BM178" s="14" t="n">
        <f aca="false">BL178*(2*($AI178/($AH178+273.15)))</f>
        <v>0.00678547229614129</v>
      </c>
      <c r="BN178" s="14" t="n">
        <f aca="false">10^6/((AJ178+273.15)^2)</f>
        <v>12.7640999404495</v>
      </c>
      <c r="BO178" s="14" t="n">
        <f aca="false">BN178*(2*($AK178/($AJ178+273.15)))</f>
        <v>0.00678547229614129</v>
      </c>
    </row>
    <row r="179" s="14" customFormat="true" ht="16" hidden="false" customHeight="false" outlineLevel="0" collapsed="false">
      <c r="A179" s="22" t="s">
        <v>173</v>
      </c>
      <c r="B179" s="40" t="s">
        <v>199</v>
      </c>
      <c r="C179" s="14" t="s">
        <v>53</v>
      </c>
      <c r="D179" s="23" t="s">
        <v>200</v>
      </c>
      <c r="E179" s="24" t="s">
        <v>201</v>
      </c>
      <c r="F179" s="22" t="n">
        <v>24.2</v>
      </c>
      <c r="G179" s="22" t="n">
        <v>-83.3</v>
      </c>
      <c r="H179" s="22" t="s">
        <v>158</v>
      </c>
      <c r="I179" s="22" t="s">
        <v>191</v>
      </c>
      <c r="J179" s="22" t="n">
        <v>648</v>
      </c>
      <c r="K179" s="25" t="s">
        <v>173</v>
      </c>
      <c r="L179" s="22" t="s">
        <v>176</v>
      </c>
      <c r="M179" s="22" t="s">
        <v>177</v>
      </c>
      <c r="N179" s="22" t="n">
        <v>648</v>
      </c>
      <c r="O179" s="22" t="s">
        <v>178</v>
      </c>
      <c r="P179" s="22" t="s">
        <v>178</v>
      </c>
      <c r="Q179" s="22" t="n">
        <v>1</v>
      </c>
      <c r="R179" s="25" t="s">
        <v>83</v>
      </c>
      <c r="S179" s="25" t="n">
        <v>34.9565</v>
      </c>
      <c r="T179" s="22" t="n">
        <v>44.9304103585657</v>
      </c>
      <c r="U179" s="40" t="n">
        <v>4</v>
      </c>
      <c r="V179" s="42" t="n">
        <v>2.055</v>
      </c>
      <c r="W179" s="42" t="n">
        <v>0.0238047614284761</v>
      </c>
      <c r="X179" s="42" t="n">
        <v>0.011902380714238</v>
      </c>
      <c r="Y179" s="42" t="n">
        <v>2.655</v>
      </c>
      <c r="Z179" s="42" t="n">
        <v>0.0387298334620741</v>
      </c>
      <c r="AA179" s="42" t="n">
        <v>0.0193649167310371</v>
      </c>
      <c r="AB179" s="27" t="n">
        <v>0.2899595268</v>
      </c>
      <c r="AC179" s="27" t="n">
        <v>0.2</v>
      </c>
      <c r="AD179" s="27" t="n">
        <v>0.2</v>
      </c>
      <c r="AE179" s="43" t="n">
        <v>0.6635</v>
      </c>
      <c r="AF179" s="43" t="n">
        <v>0.00870344759276461</v>
      </c>
      <c r="AG179" s="61" t="n">
        <f aca="false">AF179*SQRT(U179)</f>
        <v>0.0174068951855292</v>
      </c>
      <c r="AH179" s="29" t="n">
        <v>7.75941673278809</v>
      </c>
      <c r="AI179" s="27" t="n">
        <v>0.0743986049334386</v>
      </c>
      <c r="AJ179" s="44" t="n">
        <v>7.75941673278809</v>
      </c>
      <c r="AK179" s="44" t="n">
        <v>0.0743986049334386</v>
      </c>
      <c r="AL179" s="27" t="s">
        <v>63</v>
      </c>
      <c r="AM179" s="14" t="n">
        <f aca="false">IF(AND(O179="Benthic, infaunal",M179="elegans"),(0.243-SQRT(((Y179)-(AB179))*0.0012+0.053337))/0.0006,IF(O179="Benthic",(0.245-SQRT(((Y179)-(AB179))*0.0044+0.045461))/0.0022,IF(O179="Benthic, infaunal",(0.245-(SQRT(0.045461+0.0044*((Y179-0.47)-(AB179)))))/0.0022,IF(O179="Benthic, epifaunal",(0.245-SQRT(((Y179)-(AB179))*0.0044+0.045461))/0.0022))))</f>
        <v>9.978732753117</v>
      </c>
      <c r="AN179" s="45" t="n">
        <v>2.3650404732</v>
      </c>
      <c r="AO179" s="45" t="n">
        <v>0.203715487874634</v>
      </c>
      <c r="AP179" s="46" t="n">
        <f aca="false">IF(NOT(M179="elegans"),(0.045461+0.0044*((AN179))),IF(M179="elegans",(0.053337+0.0012*((AN179)))))</f>
        <v>0.05617504856784</v>
      </c>
      <c r="AQ179" s="46" t="n">
        <v>0.00024445858544956</v>
      </c>
      <c r="AR179" s="46" t="n">
        <v>0.23701276034813</v>
      </c>
      <c r="AS179" s="46" t="n">
        <v>0.000515707646057735</v>
      </c>
      <c r="AT179" s="46" t="n">
        <v>0.859512743429559</v>
      </c>
      <c r="AU179" s="45" t="n">
        <v>2.3650404732</v>
      </c>
      <c r="AV179" s="45" t="n">
        <v>0.200935312974101</v>
      </c>
      <c r="AW179" s="46" t="n">
        <v>0.05617504856784</v>
      </c>
      <c r="AX179" s="46" t="n">
        <v>0.000241122375568921</v>
      </c>
      <c r="AY179" s="46" t="n">
        <v>0.23701276034813</v>
      </c>
      <c r="AZ179" s="46" t="n">
        <v>0.00050866960752399</v>
      </c>
      <c r="BA179" s="46" t="n">
        <v>0.84778267920665</v>
      </c>
      <c r="BE179" s="31" t="n">
        <f aca="false">AM179</f>
        <v>9.978732753117</v>
      </c>
      <c r="BF179" s="31" t="n">
        <f aca="false">AT179</f>
        <v>0.859512743429559</v>
      </c>
      <c r="BG179" s="31" t="n">
        <f aca="false">BA179</f>
        <v>0.84778267920665</v>
      </c>
      <c r="BH179" s="14" t="n">
        <f aca="false">10^6/((BE179+273.15)^2)</f>
        <v>12.4747574358631</v>
      </c>
      <c r="BI179" s="14" t="n">
        <f aca="false">BH179*(2*($BF179/($BE179+273.15)))</f>
        <v>0.0757409033202334</v>
      </c>
      <c r="BJ179" s="14" t="n">
        <f aca="false">BH179*(2*($BG179/($BE179+273.15)))</f>
        <v>0.074707241321573</v>
      </c>
      <c r="BL179" s="14" t="n">
        <f aca="false">10^6/((AH179+273.15)^2)</f>
        <v>12.6726489361301</v>
      </c>
      <c r="BM179" s="14" t="n">
        <f aca="false">BL179*(2*($AI179/($AH179+273.15)))</f>
        <v>0.00671267921613435</v>
      </c>
      <c r="BN179" s="14" t="n">
        <f aca="false">10^6/((AJ179+273.15)^2)</f>
        <v>12.6726489361301</v>
      </c>
      <c r="BO179" s="14" t="n">
        <f aca="false">BN179*(2*($AK179/($AJ179+273.15)))</f>
        <v>0.00671267921613435</v>
      </c>
    </row>
    <row r="180" s="14" customFormat="true" ht="16" hidden="false" customHeight="false" outlineLevel="0" collapsed="false">
      <c r="A180" s="22" t="s">
        <v>184</v>
      </c>
      <c r="B180" s="40" t="s">
        <v>202</v>
      </c>
      <c r="C180" s="14" t="s">
        <v>53</v>
      </c>
      <c r="D180" s="23" t="s">
        <v>203</v>
      </c>
      <c r="E180" s="24" t="s">
        <v>201</v>
      </c>
      <c r="F180" s="22" t="n">
        <v>24.2</v>
      </c>
      <c r="G180" s="22" t="n">
        <v>-83.3</v>
      </c>
      <c r="H180" s="22" t="s">
        <v>158</v>
      </c>
      <c r="I180" s="22" t="s">
        <v>191</v>
      </c>
      <c r="J180" s="22" t="n">
        <v>648</v>
      </c>
      <c r="K180" s="25" t="s">
        <v>187</v>
      </c>
      <c r="L180" s="22" t="s">
        <v>184</v>
      </c>
      <c r="M180" s="22"/>
      <c r="N180" s="22" t="n">
        <v>648</v>
      </c>
      <c r="O180" s="22" t="s">
        <v>178</v>
      </c>
      <c r="P180" s="22" t="s">
        <v>178</v>
      </c>
      <c r="Q180" s="22" t="n">
        <v>1</v>
      </c>
      <c r="R180" s="25" t="s">
        <v>83</v>
      </c>
      <c r="S180" s="25" t="n">
        <v>34.9565</v>
      </c>
      <c r="T180" s="22" t="n">
        <v>44.9304103585657</v>
      </c>
      <c r="U180" s="40" t="n">
        <v>7</v>
      </c>
      <c r="V180" s="42" t="n">
        <v>-0.228571428571429</v>
      </c>
      <c r="W180" s="42" t="n">
        <v>0.0448807944925859</v>
      </c>
      <c r="X180" s="42" t="n">
        <v>0.0169633458386257</v>
      </c>
      <c r="Y180" s="42" t="n">
        <v>2.74571428571429</v>
      </c>
      <c r="Z180" s="42" t="n">
        <v>0.0830375703837612</v>
      </c>
      <c r="AA180" s="42" t="n">
        <v>0.0313852515300649</v>
      </c>
      <c r="AB180" s="27" t="n">
        <v>0.2899595268</v>
      </c>
      <c r="AC180" s="27" t="n">
        <v>0.2</v>
      </c>
      <c r="AD180" s="27" t="n">
        <v>0.2</v>
      </c>
      <c r="AE180" s="43" t="n">
        <v>0.661714285714286</v>
      </c>
      <c r="AF180" s="43" t="n">
        <v>0.0171112804420752</v>
      </c>
      <c r="AG180" s="61" t="n">
        <f aca="false">AF180*SQRT(U180)</f>
        <v>0.0452721926636145</v>
      </c>
      <c r="AH180" s="29" t="n">
        <v>7.75941673278809</v>
      </c>
      <c r="AI180" s="27" t="n">
        <v>0.0743986049334386</v>
      </c>
      <c r="AJ180" s="44" t="n">
        <v>7.75941673278809</v>
      </c>
      <c r="AK180" s="44" t="n">
        <v>0.0743986049334386</v>
      </c>
      <c r="AL180" s="27" t="s">
        <v>63</v>
      </c>
      <c r="AM180" s="14" t="n">
        <f aca="false">IF(AND(O180="Benthic, infaunal",M180="elegans"),(0.243-SQRT(((Y180)-(AB180))*0.0012+0.053337))/0.0006,IF(O180="Benthic",(0.245-SQRT(((Y180)-(AB180))*0.0044+0.045461))/0.0022,IF(O180="Benthic, infaunal",(0.245-(SQRT(0.045461+0.0044*((Y180-0.47)-(AB180)))))/0.0022,IF(O180="Benthic, epifaunal",(0.245-SQRT(((Y180)-(AB180))*0.0044+0.045461))/0.0022))))</f>
        <v>5.54303253784868</v>
      </c>
      <c r="AN180" s="45" t="n">
        <v>2.45575475891429</v>
      </c>
      <c r="AO180" s="45" t="n">
        <v>0.216553083781409</v>
      </c>
      <c r="AP180" s="46" t="n">
        <f aca="false">IF(NOT(M180="elegans"),(0.045461+0.0044*((AN180))),IF(M180="elegans",(0.053337+0.0012*((AN180)))))</f>
        <v>0.0562663209392229</v>
      </c>
      <c r="AQ180" s="46" t="n">
        <v>0.000952833568638201</v>
      </c>
      <c r="AR180" s="46" t="n">
        <v>0.23720522957815</v>
      </c>
      <c r="AS180" s="46" t="n">
        <v>0.00200845818267316</v>
      </c>
      <c r="AT180" s="46" t="n">
        <v>0.912935537578709</v>
      </c>
      <c r="AU180" s="45" t="n">
        <v>2.45575475891429</v>
      </c>
      <c r="AV180" s="45" t="n">
        <v>0.202447608070842</v>
      </c>
      <c r="AW180" s="46" t="n">
        <v>0.0562663209392229</v>
      </c>
      <c r="AX180" s="46" t="n">
        <v>0.000890769475511707</v>
      </c>
      <c r="AY180" s="46" t="n">
        <v>0.23720522957815</v>
      </c>
      <c r="AZ180" s="46" t="n">
        <v>0.00187763456374016</v>
      </c>
      <c r="BA180" s="46" t="n">
        <v>0.853470256245526</v>
      </c>
      <c r="BE180" s="31" t="n">
        <f aca="false">AM180</f>
        <v>5.54303253784868</v>
      </c>
      <c r="BF180" s="31" t="n">
        <f aca="false">AT180</f>
        <v>0.912935537578709</v>
      </c>
      <c r="BG180" s="31" t="n">
        <f aca="false">BA180</f>
        <v>0.853470256245526</v>
      </c>
      <c r="BH180" s="14" t="n">
        <f aca="false">10^6/((BE180+273.15)^2)</f>
        <v>12.8750160009578</v>
      </c>
      <c r="BI180" s="14" t="n">
        <f aca="false">BH180*(2*($BF180/($BE180+273.15)))</f>
        <v>0.0843512989695755</v>
      </c>
      <c r="BJ180" s="14" t="n">
        <f aca="false">BH180*(2*($BG180/($BE180+273.15)))</f>
        <v>0.0788569639178931</v>
      </c>
      <c r="BL180" s="14" t="n">
        <f aca="false">10^6/((AH180+273.15)^2)</f>
        <v>12.6726489361301</v>
      </c>
      <c r="BM180" s="14" t="n">
        <f aca="false">BL180*(2*($AI180/($AH180+273.15)))</f>
        <v>0.00671267921613435</v>
      </c>
      <c r="BN180" s="14" t="n">
        <f aca="false">10^6/((AJ180+273.15)^2)</f>
        <v>12.6726489361301</v>
      </c>
      <c r="BO180" s="14" t="n">
        <f aca="false">BN180*(2*($AK180/($AJ180+273.15)))</f>
        <v>0.00671267921613435</v>
      </c>
    </row>
    <row r="181" s="14" customFormat="true" ht="16" hidden="false" customHeight="false" outlineLevel="0" collapsed="false">
      <c r="A181" s="22" t="s">
        <v>184</v>
      </c>
      <c r="B181" s="42" t="s">
        <v>411</v>
      </c>
      <c r="C181" s="14" t="s">
        <v>53</v>
      </c>
      <c r="D181" s="23" t="s">
        <v>412</v>
      </c>
      <c r="E181" s="24" t="s">
        <v>413</v>
      </c>
      <c r="F181" s="59" t="n">
        <v>23.3</v>
      </c>
      <c r="G181" s="59" t="n">
        <v>66.7</v>
      </c>
      <c r="H181" s="22" t="s">
        <v>125</v>
      </c>
      <c r="I181" s="22" t="s">
        <v>121</v>
      </c>
      <c r="J181" s="22" t="n">
        <v>151</v>
      </c>
      <c r="K181" s="88" t="s">
        <v>184</v>
      </c>
      <c r="L181" s="22" t="s">
        <v>184</v>
      </c>
      <c r="M181" s="22"/>
      <c r="N181" s="22" t="n">
        <v>151</v>
      </c>
      <c r="O181" s="22" t="s">
        <v>178</v>
      </c>
      <c r="P181" s="22" t="s">
        <v>178</v>
      </c>
      <c r="Q181" s="22" t="n">
        <v>1</v>
      </c>
      <c r="R181" s="25" t="s">
        <v>234</v>
      </c>
      <c r="S181" s="25" t="n">
        <v>35.742</v>
      </c>
      <c r="T181" s="22" t="n">
        <v>62.2654680851064</v>
      </c>
      <c r="U181" s="89" t="n">
        <v>5</v>
      </c>
      <c r="V181" s="42" t="n">
        <v>-0.39</v>
      </c>
      <c r="W181" s="42" t="n">
        <v>0.085732140997411</v>
      </c>
      <c r="X181" s="90" t="n">
        <f aca="false">W181/SQRT(U181)</f>
        <v>0.0383405790253615</v>
      </c>
      <c r="Y181" s="27" t="n">
        <v>0.944</v>
      </c>
      <c r="Z181" s="42" t="n">
        <v>0.096591925128346</v>
      </c>
      <c r="AA181" s="27" t="n">
        <f aca="false">Z181/SQRT(U181)</f>
        <v>0.0431972221329104</v>
      </c>
      <c r="AB181" s="27" t="n">
        <v>0.6055</v>
      </c>
      <c r="AC181" s="27" t="n">
        <v>0.2</v>
      </c>
      <c r="AD181" s="27" t="n">
        <v>0.2</v>
      </c>
      <c r="AE181" s="43" t="n">
        <v>0.6288</v>
      </c>
      <c r="AF181" s="43" t="n">
        <v>0.00406693988153256</v>
      </c>
      <c r="AG181" s="61" t="n">
        <f aca="false">AF181*SQRT(U181)</f>
        <v>0.00909395403551173</v>
      </c>
      <c r="AH181" s="29" t="n">
        <v>19.9146427154541</v>
      </c>
      <c r="AI181" s="55" t="n">
        <v>0.0979857999350755</v>
      </c>
      <c r="AJ181" s="44" t="n">
        <v>19.9146427154541</v>
      </c>
      <c r="AK181" s="44" t="n">
        <v>0.0979857999350755</v>
      </c>
      <c r="AL181" s="27" t="s">
        <v>63</v>
      </c>
      <c r="AM181" s="14" t="n">
        <f aca="false">IF(AND(O181="Benthic, infaunal",M181="elegans"),(0.243-SQRT(((Y181)-(AB181))*0.0012+0.053337))/0.0006,IF(O181="Benthic",(0.245-SQRT(((Y181)-(AB181))*0.0044+0.045461))/0.0022,IF(O181="Benthic, infaunal",(0.245-(SQRT(0.045461+0.0044*((Y181-0.47)-(AB181)))))/0.0022,IF(O181="Benthic, epifaunal",(0.245-SQRT(((Y181)-(AB181))*0.0044+0.045461))/0.0022))))</f>
        <v>15.0660603791088</v>
      </c>
      <c r="AN181" s="45" t="n">
        <f aca="false">Y181-AB181</f>
        <v>0.3385</v>
      </c>
      <c r="AO181" s="45" t="n">
        <f aca="false">SQRT((Z181^2)+(AC181^2))</f>
        <v>0.222103579439864</v>
      </c>
      <c r="AP181" s="46" t="n">
        <f aca="false">IF(NOT($M181="elegans"),(0.045461+0.0044*((AN181))),IF($M181="elegans",(0.053337+0.0012*((AN181)))))</f>
        <v>0.0469504</v>
      </c>
      <c r="AQ181" s="46" t="n">
        <f aca="false">IF(NOT($M181="elegans"),(0.0044*((AO181))),IF($M181="elegans",(0.0012*((AO181)))))</f>
        <v>0.000977255749535402</v>
      </c>
      <c r="AR181" s="46" t="n">
        <f aca="false">SQRT(AP181)</f>
        <v>0.216680409820546</v>
      </c>
      <c r="AS181" s="46" t="n">
        <f aca="false">AR181*(0.5*(AQ181/AP181))</f>
        <v>0.00225506253736727</v>
      </c>
      <c r="AT181" s="46" t="n">
        <f aca="false">IF(NOT($M181="elegans"),AS181/0.0022,IF($M181="elegans",AS181/0.0006))</f>
        <v>1.02502842607603</v>
      </c>
      <c r="AU181" s="45" t="n">
        <f aca="false">Y181-AB181</f>
        <v>0.3385</v>
      </c>
      <c r="AV181" s="45" t="n">
        <f aca="false">SQRT((AA181^2)+(AD181^2))</f>
        <v>0.204611827615121</v>
      </c>
      <c r="AW181" s="46" t="n">
        <f aca="false">IF(NOT($M181="elegans"),(0.045461+0.0044*((AU181))),IF($M181="elegans",(0.053337+0.0012*((AU181)))))</f>
        <v>0.0469504</v>
      </c>
      <c r="AX181" s="46" t="n">
        <f aca="false">IF(NOT($M181="elegans"),(0.0044*((AV181))),IF($M181="elegans",(0.0012*((AV181)))))</f>
        <v>0.000900292041506533</v>
      </c>
      <c r="AY181" s="46" t="n">
        <f aca="false">SQRT(AW181)</f>
        <v>0.216680409820546</v>
      </c>
      <c r="AZ181" s="46" t="n">
        <f aca="false">AY181*(0.5*(AX181/AW181))</f>
        <v>0.00207746524536332</v>
      </c>
      <c r="BA181" s="46" t="n">
        <f aca="false">IF(NOT($M181="elegans"),AZ181/0.0022,IF($M181="elegans",AZ181/0.0006))</f>
        <v>0.944302384256054</v>
      </c>
      <c r="BE181" s="31" t="n">
        <f aca="false">AM181</f>
        <v>15.0660603791088</v>
      </c>
      <c r="BF181" s="31" t="n">
        <f aca="false">AT181</f>
        <v>1.02502842607603</v>
      </c>
      <c r="BG181" s="31" t="n">
        <f aca="false">BA181</f>
        <v>0.944302384256054</v>
      </c>
      <c r="BH181" s="14" t="n">
        <f aca="false">10^6/((BE181+273.15)^2)</f>
        <v>12.0382579506276</v>
      </c>
      <c r="BI181" s="14" t="n">
        <f aca="false">BH181*(2*($BF181/($BE181+273.15)))</f>
        <v>0.085627126979656</v>
      </c>
      <c r="BJ181" s="14" t="n">
        <f aca="false">BH181*(2*($BG181/($BE181+273.15)))</f>
        <v>0.0788835685986015</v>
      </c>
      <c r="BL181" s="14" t="n">
        <f aca="false">10^6/((AH181+273.15)^2)</f>
        <v>11.6432212230418</v>
      </c>
      <c r="BM181" s="14" t="n">
        <f aca="false">BL181*(2*($AI181/($AH181+273.15)))</f>
        <v>0.00778579316010158</v>
      </c>
      <c r="BN181" s="14" t="n">
        <f aca="false">10^6/((AJ181+273.15)^2)</f>
        <v>11.6432212230418</v>
      </c>
      <c r="BO181" s="14" t="n">
        <f aca="false">BN181*(2*($AK181/($AJ181+273.15)))</f>
        <v>0.00778579316010158</v>
      </c>
    </row>
    <row r="182" s="14" customFormat="true" ht="16" hidden="false" customHeight="false" outlineLevel="0" collapsed="false">
      <c r="A182" s="22" t="s">
        <v>414</v>
      </c>
      <c r="B182" s="42" t="s">
        <v>415</v>
      </c>
      <c r="C182" s="14" t="s">
        <v>53</v>
      </c>
      <c r="D182" s="23" t="s">
        <v>416</v>
      </c>
      <c r="E182" s="24" t="s">
        <v>413</v>
      </c>
      <c r="F182" s="59" t="n">
        <v>23.3</v>
      </c>
      <c r="G182" s="59" t="n">
        <v>66.7</v>
      </c>
      <c r="H182" s="22" t="s">
        <v>125</v>
      </c>
      <c r="I182" s="22" t="s">
        <v>121</v>
      </c>
      <c r="J182" s="22" t="n">
        <v>151</v>
      </c>
      <c r="K182" s="88" t="s">
        <v>414</v>
      </c>
      <c r="L182" s="22" t="s">
        <v>414</v>
      </c>
      <c r="M182" s="22"/>
      <c r="N182" s="22" t="n">
        <v>151</v>
      </c>
      <c r="O182" s="22" t="s">
        <v>178</v>
      </c>
      <c r="P182" s="22" t="s">
        <v>178</v>
      </c>
      <c r="Q182" s="22" t="n">
        <v>1</v>
      </c>
      <c r="R182" s="25" t="s">
        <v>234</v>
      </c>
      <c r="S182" s="25" t="n">
        <v>35.742</v>
      </c>
      <c r="T182" s="22" t="n">
        <v>62.2654680851064</v>
      </c>
      <c r="U182" s="89" t="n">
        <v>3</v>
      </c>
      <c r="V182" s="42" t="n">
        <v>-0.236666666666667</v>
      </c>
      <c r="W182" s="42" t="n">
        <v>0.0115470053837925</v>
      </c>
      <c r="X182" s="90" t="n">
        <f aca="false">W182/SQRT(U182)</f>
        <v>0.00666666666666666</v>
      </c>
      <c r="Y182" s="27" t="n">
        <v>0.846666666666667</v>
      </c>
      <c r="Z182" s="42" t="n">
        <v>0.0577350269189626</v>
      </c>
      <c r="AA182" s="27" t="n">
        <f aca="false">Z182/SQRT(U182)</f>
        <v>0.0333333333333333</v>
      </c>
      <c r="AB182" s="27" t="n">
        <v>0.6055</v>
      </c>
      <c r="AC182" s="27" t="n">
        <v>0.2</v>
      </c>
      <c r="AD182" s="27" t="n">
        <v>0.2</v>
      </c>
      <c r="AE182" s="43" t="n">
        <v>0.620666666666667</v>
      </c>
      <c r="AF182" s="43" t="n">
        <v>0.0167564249700758</v>
      </c>
      <c r="AG182" s="61" t="n">
        <f aca="false">AF182*SQRT(U182)</f>
        <v>0.029022979401387</v>
      </c>
      <c r="AH182" s="29" t="n">
        <v>19.9146427154541</v>
      </c>
      <c r="AI182" s="55" t="n">
        <v>0.0979857999350755</v>
      </c>
      <c r="AJ182" s="44" t="n">
        <v>19.9146427154541</v>
      </c>
      <c r="AK182" s="44" t="n">
        <v>0.0979857999350755</v>
      </c>
      <c r="AL182" s="27" t="s">
        <v>63</v>
      </c>
      <c r="AM182" s="14" t="n">
        <f aca="false">IF(AND(O182="Benthic, infaunal",M182="elegans"),(0.243-SQRT(((Y182)-(AB182))*0.0012+0.053337))/0.0006,IF(O182="Benthic",(0.245-SQRT(((Y182)-(AB182))*0.0044+0.045461))/0.0022,IF(O182="Benthic, infaunal",(0.245-(SQRT(0.045461+0.0044*((Y182-0.47)-(AB182)))))/0.0022,IF(O182="Benthic, epifaunal",(0.245-SQRT(((Y182)-(AB182))*0.0044+0.045461))/0.0022))))</f>
        <v>15.5265960712159</v>
      </c>
      <c r="AN182" s="45" t="n">
        <f aca="false">Y182-AB182</f>
        <v>0.241166666666667</v>
      </c>
      <c r="AO182" s="45" t="n">
        <f aca="false">SQRT((Z182^2)+(AC182^2))</f>
        <v>0.208166599946613</v>
      </c>
      <c r="AP182" s="46" t="n">
        <f aca="false">IF(NOT($M182="elegans"),(0.045461+0.0044*((AN182))),IF($M182="elegans",(0.053337+0.0012*((AN182)))))</f>
        <v>0.0465221333333333</v>
      </c>
      <c r="AQ182" s="46" t="n">
        <f aca="false">IF(NOT($M182="elegans"),(0.0044*((AO182))),IF($M182="elegans",(0.0012*((AO182)))))</f>
        <v>0.000915933039765099</v>
      </c>
      <c r="AR182" s="46" t="n">
        <f aca="false">SQRT(AP182)</f>
        <v>0.21568990086078</v>
      </c>
      <c r="AS182" s="46" t="n">
        <f aca="false">AR182*(0.5*(AQ182/AP182))</f>
        <v>0.00212326362085051</v>
      </c>
      <c r="AT182" s="46" t="n">
        <f aca="false">IF(NOT($M182="elegans"),AS182/0.0022,IF($M182="elegans",AS182/0.0006))</f>
        <v>0.965119827659324</v>
      </c>
      <c r="AU182" s="45" t="n">
        <f aca="false">Y182-AB182</f>
        <v>0.241166666666667</v>
      </c>
      <c r="AV182" s="45" t="n">
        <f aca="false">SQRT((AA182^2)+(AD182^2))</f>
        <v>0.202758751009941</v>
      </c>
      <c r="AW182" s="46" t="n">
        <f aca="false">IF(NOT($M182="elegans"),(0.045461+0.0044*((AU182))),IF($M182="elegans",(0.053337+0.0012*((AU182)))))</f>
        <v>0.0465221333333333</v>
      </c>
      <c r="AX182" s="46" t="n">
        <f aca="false">IF(NOT($M182="elegans"),(0.0044*((AV182))),IF($M182="elegans",(0.0012*((AV182)))))</f>
        <v>0.000892138504443739</v>
      </c>
      <c r="AY182" s="46" t="n">
        <f aca="false">SQRT(AW182)</f>
        <v>0.21568990086078</v>
      </c>
      <c r="AZ182" s="46" t="n">
        <f aca="false">AY182*(0.5*(AX182/AW182))</f>
        <v>0.00206810448909145</v>
      </c>
      <c r="BA182" s="46" t="n">
        <f aca="false">IF(NOT($M182="elegans"),AZ182/0.0022,IF($M182="elegans",AZ182/0.0006))</f>
        <v>0.940047495041567</v>
      </c>
      <c r="BE182" s="31" t="n">
        <f aca="false">AM182</f>
        <v>15.5265960712159</v>
      </c>
      <c r="BF182" s="31" t="n">
        <f aca="false">AT182</f>
        <v>0.965119827659324</v>
      </c>
      <c r="BG182" s="31" t="n">
        <f aca="false">BA182</f>
        <v>0.940047495041567</v>
      </c>
      <c r="BH182" s="14" t="n">
        <f aca="false">10^6/((BE182+273.15)^2)</f>
        <v>11.9998784960563</v>
      </c>
      <c r="BI182" s="14" t="n">
        <f aca="false">BH182*(2*($BF182/($BE182+273.15)))</f>
        <v>0.0802373370315727</v>
      </c>
      <c r="BJ182" s="14" t="n">
        <f aca="false">BH182*(2*($BG182/($BE182+273.15)))</f>
        <v>0.0781528941004833</v>
      </c>
      <c r="BL182" s="14" t="n">
        <f aca="false">10^6/((AH182+273.15)^2)</f>
        <v>11.6432212230418</v>
      </c>
      <c r="BM182" s="14" t="n">
        <f aca="false">BL182*(2*($AI182/($AH182+273.15)))</f>
        <v>0.00778579316010158</v>
      </c>
      <c r="BN182" s="14" t="n">
        <f aca="false">10^6/((AJ182+273.15)^2)</f>
        <v>11.6432212230418</v>
      </c>
      <c r="BO182" s="14" t="n">
        <f aca="false">BN182*(2*($AK182/($AJ182+273.15)))</f>
        <v>0.00778579316010158</v>
      </c>
    </row>
    <row r="183" s="14" customFormat="true" ht="16" hidden="false" customHeight="false" outlineLevel="0" collapsed="false">
      <c r="A183" s="22" t="s">
        <v>74</v>
      </c>
      <c r="B183" s="23" t="s">
        <v>75</v>
      </c>
      <c r="C183" s="14" t="s">
        <v>53</v>
      </c>
      <c r="D183" s="23" t="s">
        <v>76</v>
      </c>
      <c r="E183" s="24" t="s">
        <v>77</v>
      </c>
      <c r="F183" s="22" t="n">
        <v>57.1</v>
      </c>
      <c r="G183" s="22" t="n">
        <v>-31</v>
      </c>
      <c r="H183" s="22" t="s">
        <v>78</v>
      </c>
      <c r="I183" s="22" t="s">
        <v>79</v>
      </c>
      <c r="J183" s="22" t="n">
        <v>3569</v>
      </c>
      <c r="K183" s="25" t="s">
        <v>74</v>
      </c>
      <c r="L183" s="22" t="s">
        <v>80</v>
      </c>
      <c r="M183" s="22" t="s">
        <v>81</v>
      </c>
      <c r="N183" s="22" t="s">
        <v>82</v>
      </c>
      <c r="O183" s="22" t="s">
        <v>71</v>
      </c>
      <c r="P183" s="22" t="s">
        <v>71</v>
      </c>
      <c r="Q183" s="22" t="n">
        <v>5</v>
      </c>
      <c r="R183" s="25" t="s">
        <v>83</v>
      </c>
      <c r="S183" s="25" t="n">
        <v>34.98956</v>
      </c>
      <c r="T183" s="22" t="n">
        <v>20.2704233870968</v>
      </c>
      <c r="U183" s="23" t="n">
        <v>10</v>
      </c>
      <c r="V183" s="27" t="n">
        <v>1.092</v>
      </c>
      <c r="W183" s="27" t="n">
        <v>0.0482585628556103</v>
      </c>
      <c r="X183" s="27" t="n">
        <v>0.0152606975230128</v>
      </c>
      <c r="Y183" s="27" t="n">
        <v>1.649</v>
      </c>
      <c r="Z183" s="27" t="n">
        <v>0.125826158735862</v>
      </c>
      <c r="AA183" s="27" t="n">
        <v>0.0397897250835215</v>
      </c>
      <c r="AB183" s="27" t="n">
        <v>0.505954531</v>
      </c>
      <c r="AC183" s="27" t="n">
        <v>0.200281414333029</v>
      </c>
      <c r="AD183" s="27" t="n">
        <v>0.200028159249451</v>
      </c>
      <c r="AE183" s="28" t="n">
        <v>0.644</v>
      </c>
      <c r="AF183" s="28" t="n">
        <v>0.00598516684999026</v>
      </c>
      <c r="AG183" s="61" t="n">
        <f aca="false">AF183*SQRT(U183)</f>
        <v>0.0189267594221045</v>
      </c>
      <c r="AH183" s="29" t="n">
        <v>11.8298603057861</v>
      </c>
      <c r="AI183" s="27" t="n">
        <v>0.57634974197418</v>
      </c>
      <c r="AJ183" s="27" t="n">
        <f aca="false">VLOOKUP(B183,proft,2,0)</f>
        <v>9.24781913919639</v>
      </c>
      <c r="AK183" s="27" t="n">
        <f aca="false">VLOOKUP(B183,proft,3,0)</f>
        <v>0.200197219848629</v>
      </c>
      <c r="AL183" s="27" t="s">
        <v>84</v>
      </c>
      <c r="AN183" s="33"/>
      <c r="BB183" s="30" t="n">
        <v>13.1372</v>
      </c>
      <c r="BC183" s="30" t="n">
        <v>2.181</v>
      </c>
      <c r="BD183" s="30" t="n">
        <v>0.02205</v>
      </c>
      <c r="BE183" s="31" t="n">
        <v>13.1372</v>
      </c>
      <c r="BF183" s="31" t="n">
        <v>2.181</v>
      </c>
      <c r="BG183" s="31" t="n">
        <v>0.02205</v>
      </c>
      <c r="BH183" s="14" t="n">
        <f aca="false">10^6/((BB183+273.15)^2)</f>
        <v>12.201019971316</v>
      </c>
      <c r="BI183" s="14" t="n">
        <f aca="false">BH183*(2*($BF183/($BE183+273.15)))</f>
        <v>0.185900204811394</v>
      </c>
      <c r="BJ183" s="14" t="n">
        <f aca="false">BH183*(2*($BG183/($BE183+273.15)))</f>
        <v>0.00187945874190336</v>
      </c>
      <c r="BK183" s="37"/>
      <c r="BL183" s="14" t="n">
        <f aca="false">10^6/((AH183+273.15)^2)</f>
        <v>12.3132206361312</v>
      </c>
      <c r="BM183" s="14" t="n">
        <f aca="false">BL183*(2*($AI183/($AH183+273.15)))</f>
        <v>0.0498050741472784</v>
      </c>
      <c r="BN183" s="14" t="n">
        <f aca="false">10^6/((AJ183+273.15)^2)</f>
        <v>12.539416361488</v>
      </c>
      <c r="BO183" s="14" t="n">
        <f aca="false">BN183*(2*($AK183/($AJ183+273.15)))</f>
        <v>0.0177788645942548</v>
      </c>
    </row>
    <row r="184" s="14" customFormat="true" ht="16" hidden="false" customHeight="false" outlineLevel="0" collapsed="false">
      <c r="A184" s="22" t="s">
        <v>100</v>
      </c>
      <c r="B184" s="23" t="s">
        <v>101</v>
      </c>
      <c r="C184" s="14" t="s">
        <v>53</v>
      </c>
      <c r="D184" s="23" t="s">
        <v>102</v>
      </c>
      <c r="E184" s="24" t="s">
        <v>103</v>
      </c>
      <c r="F184" s="22" t="n">
        <v>57.425</v>
      </c>
      <c r="G184" s="22" t="n">
        <v>-42</v>
      </c>
      <c r="H184" s="22" t="s">
        <v>78</v>
      </c>
      <c r="I184" s="22" t="s">
        <v>79</v>
      </c>
      <c r="J184" s="22" t="n">
        <v>1100</v>
      </c>
      <c r="K184" s="25" t="s">
        <v>100</v>
      </c>
      <c r="L184" s="22" t="s">
        <v>104</v>
      </c>
      <c r="M184" s="22" t="s">
        <v>105</v>
      </c>
      <c r="N184" s="22" t="s">
        <v>106</v>
      </c>
      <c r="O184" s="22" t="s">
        <v>71</v>
      </c>
      <c r="P184" s="22" t="s">
        <v>71</v>
      </c>
      <c r="Q184" s="22" t="n">
        <v>5</v>
      </c>
      <c r="R184" s="25" t="s">
        <v>83</v>
      </c>
      <c r="S184" s="25" t="n">
        <v>34.786619047619</v>
      </c>
      <c r="T184" s="22" t="n">
        <v>58.1093626943005</v>
      </c>
      <c r="U184" s="23" t="n">
        <v>8</v>
      </c>
      <c r="V184" s="27" t="n">
        <v>0.115</v>
      </c>
      <c r="W184" s="27" t="n">
        <v>0.0417475405605784</v>
      </c>
      <c r="X184" s="27" t="n">
        <v>0.0147599845141227</v>
      </c>
      <c r="Y184" s="27" t="n">
        <v>1.6</v>
      </c>
      <c r="Z184" s="27" t="n">
        <v>0.0207019667802706</v>
      </c>
      <c r="AA184" s="27" t="n">
        <v>0.00731925054711399</v>
      </c>
      <c r="AB184" s="27" t="n">
        <v>0.124730989571429</v>
      </c>
      <c r="AC184" s="27" t="n">
        <v>0.201624817861066</v>
      </c>
      <c r="AD184" s="27" t="n">
        <v>0.200232924072194</v>
      </c>
      <c r="AE184" s="28" t="n">
        <v>0.6265</v>
      </c>
      <c r="AF184" s="28" t="n">
        <v>0.0108956085518105</v>
      </c>
      <c r="AG184" s="61" t="n">
        <f aca="false">AF184*SQRT(U184)</f>
        <v>0.0308174347685574</v>
      </c>
      <c r="AH184" s="29" t="n">
        <v>5.07696446918306</v>
      </c>
      <c r="AI184" s="27" t="n">
        <v>0.671147192649546</v>
      </c>
      <c r="AJ184" s="27" t="n">
        <f aca="false">VLOOKUP(B184,proft,2,0)</f>
        <v>8.25142997237538</v>
      </c>
      <c r="AK184" s="27" t="n">
        <f aca="false">VLOOKUP(B184,proft,3,0)</f>
        <v>0.360736370086671</v>
      </c>
      <c r="AL184" s="27" t="s">
        <v>107</v>
      </c>
      <c r="AN184" s="33"/>
      <c r="BB184" s="30" t="n">
        <v>10.8067</v>
      </c>
      <c r="BC184" s="30" t="n">
        <v>2.42</v>
      </c>
      <c r="BD184" s="30" t="n">
        <v>0.0242</v>
      </c>
      <c r="BE184" s="31" t="n">
        <v>10.8067</v>
      </c>
      <c r="BF184" s="31" t="n">
        <v>2.42</v>
      </c>
      <c r="BG184" s="31" t="n">
        <v>0.0242</v>
      </c>
      <c r="BH184" s="14" t="n">
        <f aca="false">10^6/((BB184+273.15)^2)</f>
        <v>12.4021151473936</v>
      </c>
      <c r="BI184" s="14" t="n">
        <f aca="false">BH184*(2*($BF184/($BE184+273.15)))</f>
        <v>0.211392220410313</v>
      </c>
      <c r="BJ184" s="14" t="n">
        <f aca="false">BH184*(2*($BG184/($BE184+273.15)))</f>
        <v>0.00211392220410313</v>
      </c>
      <c r="BL184" s="14" t="n">
        <f aca="false">10^6/((AH184+273.15)^2)</f>
        <v>12.9181869408603</v>
      </c>
      <c r="BM184" s="14" t="n">
        <f aca="false">BL184*(2*($AI184/($AH184+273.15)))</f>
        <v>0.0623232540815844</v>
      </c>
      <c r="BN184" s="14" t="n">
        <f aca="false">10^6/((AJ184+273.15)^2)</f>
        <v>12.6283729692162</v>
      </c>
      <c r="BO184" s="14" t="n">
        <f aca="false">BN184*(2*($AK184/($AJ184+273.15)))</f>
        <v>0.0323773296067677</v>
      </c>
    </row>
    <row r="185" s="14" customFormat="true" ht="16" hidden="false" customHeight="false" outlineLevel="0" collapsed="false">
      <c r="A185" s="22" t="s">
        <v>100</v>
      </c>
      <c r="B185" s="23" t="s">
        <v>108</v>
      </c>
      <c r="C185" s="14" t="s">
        <v>53</v>
      </c>
      <c r="D185" s="23" t="s">
        <v>109</v>
      </c>
      <c r="E185" s="24" t="s">
        <v>110</v>
      </c>
      <c r="F185" s="22" t="n">
        <v>57.1</v>
      </c>
      <c r="G185" s="22" t="n">
        <v>-31</v>
      </c>
      <c r="H185" s="22" t="s">
        <v>78</v>
      </c>
      <c r="I185" s="22" t="s">
        <v>79</v>
      </c>
      <c r="J185" s="22" t="n">
        <v>1925</v>
      </c>
      <c r="K185" s="25" t="s">
        <v>100</v>
      </c>
      <c r="L185" s="22" t="s">
        <v>104</v>
      </c>
      <c r="M185" s="22" t="s">
        <v>105</v>
      </c>
      <c r="N185" s="22" t="s">
        <v>106</v>
      </c>
      <c r="O185" s="22" t="s">
        <v>71</v>
      </c>
      <c r="P185" s="22" t="s">
        <v>71</v>
      </c>
      <c r="Q185" s="22" t="n">
        <v>5</v>
      </c>
      <c r="R185" s="25" t="s">
        <v>83</v>
      </c>
      <c r="S185" s="25" t="n">
        <v>34.9837619047619</v>
      </c>
      <c r="T185" s="22" t="n">
        <v>40.8612947976879</v>
      </c>
      <c r="U185" s="23" t="n">
        <v>4</v>
      </c>
      <c r="V185" s="27" t="n">
        <v>0.1575</v>
      </c>
      <c r="W185" s="27" t="n">
        <v>0.005</v>
      </c>
      <c r="X185" s="27" t="n">
        <v>0.0025</v>
      </c>
      <c r="Y185" s="27" t="n">
        <v>1.56</v>
      </c>
      <c r="Z185" s="27" t="n">
        <v>0.0294392028877595</v>
      </c>
      <c r="AA185" s="27" t="n">
        <v>0.0147196014438798</v>
      </c>
      <c r="AB185" s="27" t="n">
        <v>0.251920211428571</v>
      </c>
      <c r="AC185" s="27" t="n">
        <v>0.200078748367218</v>
      </c>
      <c r="AD185" s="27" t="n">
        <v>0.200011251664997</v>
      </c>
      <c r="AE185" s="28" t="n">
        <v>0.62575</v>
      </c>
      <c r="AF185" s="28" t="n">
        <v>0.0153860055461665</v>
      </c>
      <c r="AG185" s="61" t="n">
        <f aca="false">AF185*SQRT(U185)</f>
        <v>0.0307720110923331</v>
      </c>
      <c r="AH185" s="29" t="n">
        <v>8.32444940294538</v>
      </c>
      <c r="AI185" s="27" t="n">
        <v>0.0405101782816313</v>
      </c>
      <c r="AJ185" s="27" t="n">
        <f aca="false">VLOOKUP(B185,proft,2,0)</f>
        <v>9.01539964636174</v>
      </c>
      <c r="AK185" s="27" t="n">
        <f aca="false">VLOOKUP(B185,proft,3,0)</f>
        <v>0.22110652923584</v>
      </c>
      <c r="AL185" s="27" t="s">
        <v>107</v>
      </c>
      <c r="AN185" s="33"/>
      <c r="BB185" s="30" t="n">
        <v>11.4569</v>
      </c>
      <c r="BC185" s="30" t="n">
        <v>2.394</v>
      </c>
      <c r="BD185" s="30" t="n">
        <v>0.02394</v>
      </c>
      <c r="BE185" s="31" t="n">
        <v>11.4569</v>
      </c>
      <c r="BF185" s="31" t="n">
        <v>2.394</v>
      </c>
      <c r="BG185" s="31" t="n">
        <v>0.02394</v>
      </c>
      <c r="BH185" s="14" t="n">
        <f aca="false">10^6/((BB185+273.15)^2)</f>
        <v>12.345513258191</v>
      </c>
      <c r="BI185" s="14" t="n">
        <f aca="false">BH185*(2*($BF185/($BE185+273.15)))</f>
        <v>0.207691090694634</v>
      </c>
      <c r="BJ185" s="14" t="n">
        <f aca="false">BH185*(2*($BG185/($BE185+273.15)))</f>
        <v>0.00207691090694634</v>
      </c>
      <c r="BL185" s="14" t="n">
        <f aca="false">10^6/((AH185+273.15)^2)</f>
        <v>12.6218217742601</v>
      </c>
      <c r="BM185" s="14" t="n">
        <f aca="false">BL185*(2*($AI185/($AH185+273.15)))</f>
        <v>0.00363309885780989</v>
      </c>
      <c r="BN185" s="14" t="n">
        <f aca="false">10^6/((AJ185+273.15)^2)</f>
        <v>12.5600822907032</v>
      </c>
      <c r="BO185" s="14" t="n">
        <f aca="false">BN185*(2*($AK185/($AJ185+273.15)))</f>
        <v>0.019684314275914</v>
      </c>
    </row>
    <row r="186" s="14" customFormat="true" ht="16" hidden="false" customHeight="false" outlineLevel="0" collapsed="false">
      <c r="A186" s="22" t="s">
        <v>100</v>
      </c>
      <c r="B186" s="23" t="s">
        <v>111</v>
      </c>
      <c r="C186" s="14" t="s">
        <v>53</v>
      </c>
      <c r="D186" s="23" t="s">
        <v>112</v>
      </c>
      <c r="E186" s="24" t="s">
        <v>113</v>
      </c>
      <c r="F186" s="22" t="n">
        <v>57.1</v>
      </c>
      <c r="G186" s="22" t="n">
        <v>-31</v>
      </c>
      <c r="H186" s="22" t="s">
        <v>78</v>
      </c>
      <c r="I186" s="22" t="s">
        <v>79</v>
      </c>
      <c r="J186" s="22" t="n">
        <v>1925</v>
      </c>
      <c r="K186" s="25" t="s">
        <v>100</v>
      </c>
      <c r="L186" s="22" t="s">
        <v>104</v>
      </c>
      <c r="M186" s="22" t="s">
        <v>105</v>
      </c>
      <c r="N186" s="22" t="s">
        <v>106</v>
      </c>
      <c r="O186" s="22" t="s">
        <v>71</v>
      </c>
      <c r="P186" s="22" t="s">
        <v>71</v>
      </c>
      <c r="Q186" s="22" t="n">
        <v>5</v>
      </c>
      <c r="R186" s="25" t="s">
        <v>83</v>
      </c>
      <c r="S186" s="25" t="n">
        <v>34.9837619047619</v>
      </c>
      <c r="T186" s="22" t="n">
        <v>40.8612947976879</v>
      </c>
      <c r="U186" s="23" t="n">
        <v>3</v>
      </c>
      <c r="V186" s="27" t="n">
        <v>0.213333333333333</v>
      </c>
      <c r="W186" s="27" t="n">
        <v>0.120968315410827</v>
      </c>
      <c r="X186" s="27" t="n">
        <v>0.0698410894658565</v>
      </c>
      <c r="Y186" s="27" t="n">
        <v>1.54666666666667</v>
      </c>
      <c r="Z186" s="27" t="n">
        <v>0.0351188458428425</v>
      </c>
      <c r="AA186" s="27" t="n">
        <v>0.0202758751009941</v>
      </c>
      <c r="AB186" s="27" t="n">
        <v>0.251920211428571</v>
      </c>
      <c r="AC186" s="27" t="n">
        <v>0.200078748367218</v>
      </c>
      <c r="AD186" s="27" t="n">
        <v>0.200011251664997</v>
      </c>
      <c r="AE186" s="28" t="n">
        <v>0.628</v>
      </c>
      <c r="AF186" s="28" t="n">
        <v>0.0285715476187996</v>
      </c>
      <c r="AG186" s="61" t="n">
        <f aca="false">AF186*SQRT(U186)</f>
        <v>0.0494873721266345</v>
      </c>
      <c r="AH186" s="29" t="n">
        <v>8.32444940294538</v>
      </c>
      <c r="AI186" s="27" t="n">
        <v>0.0405101782816313</v>
      </c>
      <c r="AJ186" s="27" t="n">
        <f aca="false">VLOOKUP(B186,proft,2,0)</f>
        <v>9.07311266313437</v>
      </c>
      <c r="AK186" s="27" t="n">
        <f aca="false">VLOOKUP(B186,proft,3,0)</f>
        <v>0.49534893035888</v>
      </c>
      <c r="AL186" s="27" t="s">
        <v>107</v>
      </c>
      <c r="AN186" s="33"/>
      <c r="BB186" s="30" t="n">
        <v>11.4912</v>
      </c>
      <c r="BC186" s="30" t="n">
        <v>2.435</v>
      </c>
      <c r="BD186" s="30" t="n">
        <v>0.02435</v>
      </c>
      <c r="BE186" s="31" t="n">
        <v>11.4912</v>
      </c>
      <c r="BF186" s="31" t="n">
        <v>2.435</v>
      </c>
      <c r="BG186" s="31" t="n">
        <v>0.02435</v>
      </c>
      <c r="BH186" s="14" t="n">
        <f aca="false">10^6/((BB186+273.15)^2)</f>
        <v>12.3425381049716</v>
      </c>
      <c r="BI186" s="14" t="n">
        <f aca="false">BH186*(2*($BF186/($BE186+273.15)))</f>
        <v>0.211171680597228</v>
      </c>
      <c r="BJ186" s="14" t="n">
        <f aca="false">BH186*(2*($BG186/($BE186+273.15)))</f>
        <v>0.00211171680597228</v>
      </c>
      <c r="BL186" s="14" t="n">
        <f aca="false">10^6/((AH186+273.15)^2)</f>
        <v>12.6218217742601</v>
      </c>
      <c r="BM186" s="14" t="n">
        <f aca="false">BL186*(2*($AI186/($AH186+273.15)))</f>
        <v>0.00363309885780989</v>
      </c>
      <c r="BN186" s="14" t="n">
        <f aca="false">10^6/((AJ186+273.15)^2)</f>
        <v>12.5549458855652</v>
      </c>
      <c r="BO186" s="14" t="n">
        <f aca="false">BN186*(2*($AK186/($AJ186+273.15)))</f>
        <v>0.044072074440987</v>
      </c>
    </row>
    <row r="187" s="14" customFormat="true" ht="16" hidden="false" customHeight="false" outlineLevel="0" collapsed="false">
      <c r="A187" s="22" t="s">
        <v>100</v>
      </c>
      <c r="B187" s="23" t="s">
        <v>114</v>
      </c>
      <c r="C187" s="14" t="s">
        <v>53</v>
      </c>
      <c r="D187" s="23" t="s">
        <v>115</v>
      </c>
      <c r="E187" s="24" t="s">
        <v>116</v>
      </c>
      <c r="F187" s="22" t="n">
        <v>57.1</v>
      </c>
      <c r="G187" s="22" t="n">
        <v>-31</v>
      </c>
      <c r="H187" s="22" t="s">
        <v>78</v>
      </c>
      <c r="I187" s="22" t="s">
        <v>79</v>
      </c>
      <c r="J187" s="22" t="n">
        <v>1925</v>
      </c>
      <c r="K187" s="25" t="s">
        <v>100</v>
      </c>
      <c r="L187" s="22" t="s">
        <v>104</v>
      </c>
      <c r="M187" s="22" t="s">
        <v>105</v>
      </c>
      <c r="N187" s="22" t="s">
        <v>106</v>
      </c>
      <c r="O187" s="22" t="s">
        <v>71</v>
      </c>
      <c r="P187" s="22" t="s">
        <v>71</v>
      </c>
      <c r="Q187" s="22" t="n">
        <v>5</v>
      </c>
      <c r="R187" s="25" t="s">
        <v>83</v>
      </c>
      <c r="S187" s="25" t="n">
        <v>34.9837619047619</v>
      </c>
      <c r="T187" s="22" t="n">
        <v>40.8612947976879</v>
      </c>
      <c r="U187" s="23" t="n">
        <v>7</v>
      </c>
      <c r="V187" s="27" t="n">
        <v>0.0357142857142857</v>
      </c>
      <c r="W187" s="27" t="n">
        <v>0.0151185789203691</v>
      </c>
      <c r="X187" s="27" t="n">
        <v>0.00571428571428572</v>
      </c>
      <c r="Y187" s="27" t="n">
        <v>1.54857142857143</v>
      </c>
      <c r="Z187" s="27" t="n">
        <v>0.0405908739450021</v>
      </c>
      <c r="AA187" s="27" t="n">
        <v>0.0153419082796067</v>
      </c>
      <c r="AB187" s="27" t="n">
        <v>0.251920211428571</v>
      </c>
      <c r="AC187" s="27" t="n">
        <v>0.200078748367218</v>
      </c>
      <c r="AD187" s="27" t="n">
        <v>0.200011251664997</v>
      </c>
      <c r="AE187" s="28" t="n">
        <v>0.651857142857143</v>
      </c>
      <c r="AF187" s="28" t="n">
        <v>0.00626185949648677</v>
      </c>
      <c r="AG187" s="61" t="n">
        <f aca="false">AF187*SQRT(U187)</f>
        <v>0.0165673229725321</v>
      </c>
      <c r="AH187" s="29" t="n">
        <v>8.32444940294538</v>
      </c>
      <c r="AI187" s="27" t="n">
        <v>0.414495997533471</v>
      </c>
      <c r="AJ187" s="27" t="n">
        <f aca="false">VLOOKUP(B187,proft,2,0)</f>
        <v>9.0644329882666</v>
      </c>
      <c r="AK187" s="27" t="n">
        <f aca="false">VLOOKUP(B187,proft,3,0)</f>
        <v>0.22110652923584</v>
      </c>
      <c r="AL187" s="27" t="s">
        <v>107</v>
      </c>
      <c r="AN187" s="33"/>
      <c r="BB187" s="30" t="n">
        <v>11.4714</v>
      </c>
      <c r="BC187" s="30" t="n">
        <v>2.425</v>
      </c>
      <c r="BD187" s="30" t="n">
        <v>0.02425</v>
      </c>
      <c r="BE187" s="31" t="n">
        <v>11.4714</v>
      </c>
      <c r="BF187" s="31" t="n">
        <v>2.425</v>
      </c>
      <c r="BG187" s="31" t="n">
        <v>0.02425</v>
      </c>
      <c r="BH187" s="14" t="n">
        <f aca="false">10^6/((BB187+273.15)^2)</f>
        <v>12.3442554091155</v>
      </c>
      <c r="BI187" s="14" t="n">
        <f aca="false">BH187*(2*($BF187/($BE187+273.15)))</f>
        <v>0.21034833900125</v>
      </c>
      <c r="BJ187" s="14" t="n">
        <f aca="false">BH187*(2*($BG187/($BE187+273.15)))</f>
        <v>0.0021034833900125</v>
      </c>
      <c r="BL187" s="14" t="n">
        <f aca="false">10^6/((AH187+273.15)^2)</f>
        <v>12.6218217742601</v>
      </c>
      <c r="BM187" s="14" t="n">
        <f aca="false">BL187*(2*($AI187/($AH187+273.15)))</f>
        <v>0.0371734956271089</v>
      </c>
      <c r="BN187" s="14" t="n">
        <f aca="false">10^6/((AJ187+273.15)^2)</f>
        <v>12.5557181672865</v>
      </c>
      <c r="BO187" s="14" t="n">
        <f aca="false">BN187*(2*($AK187/($AJ187+273.15)))</f>
        <v>0.0196740559059041</v>
      </c>
    </row>
    <row r="188" s="14" customFormat="true" ht="16" hidden="false" customHeight="false" outlineLevel="0" collapsed="false">
      <c r="A188" s="22" t="s">
        <v>100</v>
      </c>
      <c r="B188" s="23" t="s">
        <v>136</v>
      </c>
      <c r="C188" s="14" t="s">
        <v>53</v>
      </c>
      <c r="D188" s="23" t="s">
        <v>137</v>
      </c>
      <c r="E188" s="24" t="s">
        <v>138</v>
      </c>
      <c r="F188" s="22" t="n">
        <v>56.57</v>
      </c>
      <c r="G188" s="22" t="n">
        <v>9.815</v>
      </c>
      <c r="H188" s="22" t="s">
        <v>78</v>
      </c>
      <c r="I188" s="22" t="s">
        <v>79</v>
      </c>
      <c r="J188" s="22" t="n">
        <v>1683</v>
      </c>
      <c r="K188" s="25" t="s">
        <v>100</v>
      </c>
      <c r="L188" s="22" t="s">
        <v>104</v>
      </c>
      <c r="M188" s="22" t="s">
        <v>105</v>
      </c>
      <c r="N188" s="22" t="s">
        <v>106</v>
      </c>
      <c r="O188" s="22" t="s">
        <v>71</v>
      </c>
      <c r="P188" s="22" t="s">
        <v>71</v>
      </c>
      <c r="Q188" s="22" t="n">
        <v>5</v>
      </c>
      <c r="R188" s="25" t="s">
        <v>83</v>
      </c>
      <c r="S188" s="25" t="n">
        <v>34.3637142857143</v>
      </c>
      <c r="T188" s="22" t="n">
        <v>51.8466066666667</v>
      </c>
      <c r="U188" s="23" t="n">
        <v>6</v>
      </c>
      <c r="V188" s="27" t="n">
        <v>0.106666666666667</v>
      </c>
      <c r="W188" s="27" t="n">
        <v>0.0163299316185545</v>
      </c>
      <c r="X188" s="27" t="n">
        <v>0.00666666666666665</v>
      </c>
      <c r="Y188" s="27" t="n">
        <v>1.40833333333333</v>
      </c>
      <c r="Z188" s="27" t="n">
        <v>0.0563619256827396</v>
      </c>
      <c r="AA188" s="27" t="n">
        <v>0.0230096598072297</v>
      </c>
      <c r="AB188" s="27" t="n">
        <v>0.451063955714286</v>
      </c>
      <c r="AC188" s="27" t="n">
        <v>0.200255769484757</v>
      </c>
      <c r="AD188" s="27" t="n">
        <v>0.200036558520091</v>
      </c>
      <c r="AE188" s="28" t="n">
        <v>0.624166666666667</v>
      </c>
      <c r="AF188" s="28" t="n">
        <v>0.00939296427001498</v>
      </c>
      <c r="AG188" s="61" t="n">
        <f aca="false">AF188*SQRT(U188)</f>
        <v>0.0230079696337306</v>
      </c>
      <c r="AH188" s="29" t="n">
        <v>10.7087024507069</v>
      </c>
      <c r="AI188" s="27" t="n">
        <v>0.403429550005036</v>
      </c>
      <c r="AJ188" s="27" t="n">
        <f aca="false">VLOOKUP(B188,proft,2,0)</f>
        <v>10.6026433784806</v>
      </c>
      <c r="AK188" s="27" t="n">
        <f aca="false">VLOOKUP(B188,proft,3,0)</f>
        <v>0.1038608551025</v>
      </c>
      <c r="AL188" s="27" t="s">
        <v>107</v>
      </c>
      <c r="AN188" s="33"/>
      <c r="BB188" s="30" t="n">
        <v>12.7913</v>
      </c>
      <c r="BC188" s="30" t="n">
        <v>2.405</v>
      </c>
      <c r="BD188" s="30" t="n">
        <v>0.02405</v>
      </c>
      <c r="BE188" s="31" t="n">
        <v>12.7913</v>
      </c>
      <c r="BF188" s="31" t="n">
        <v>2.405</v>
      </c>
      <c r="BG188" s="31" t="n">
        <v>0.02405</v>
      </c>
      <c r="BH188" s="14" t="n">
        <f aca="false">10^6/((BB188+273.15)^2)</f>
        <v>12.2305567010772</v>
      </c>
      <c r="BI188" s="14" t="n">
        <f aca="false">BH188*(2*($BF188/($BE188+273.15)))</f>
        <v>0.205737952972101</v>
      </c>
      <c r="BJ188" s="14" t="n">
        <f aca="false">BH188*(2*($BG188/($BE188+273.15)))</f>
        <v>0.00205737952972101</v>
      </c>
      <c r="BL188" s="14" t="n">
        <f aca="false">10^6/((AH188+273.15)^2)</f>
        <v>12.4106798781871</v>
      </c>
      <c r="BM188" s="14" t="n">
        <f aca="false">BL188*(2*($AI188/($AH188+273.15)))</f>
        <v>0.0352769526196438</v>
      </c>
      <c r="BN188" s="14" t="n">
        <f aca="false">10^6/((AJ188+273.15)^2)</f>
        <v>12.419959165739</v>
      </c>
      <c r="BO188" s="14" t="n">
        <f aca="false">BN188*(2*($AK188/($AJ188+273.15)))</f>
        <v>0.0090920568276166</v>
      </c>
    </row>
    <row r="189" s="14" customFormat="true" ht="16" hidden="false" customHeight="false" outlineLevel="0" collapsed="false">
      <c r="A189" s="22" t="s">
        <v>100</v>
      </c>
      <c r="B189" s="23" t="s">
        <v>324</v>
      </c>
      <c r="C189" s="14" t="s">
        <v>53</v>
      </c>
      <c r="D189" s="23" t="s">
        <v>325</v>
      </c>
      <c r="E189" s="24" t="s">
        <v>326</v>
      </c>
      <c r="F189" s="22" t="n">
        <v>38.72</v>
      </c>
      <c r="G189" s="22" t="n">
        <v>-72.65</v>
      </c>
      <c r="H189" s="22" t="s">
        <v>78</v>
      </c>
      <c r="I189" s="22" t="s">
        <v>327</v>
      </c>
      <c r="J189" s="22" t="n">
        <v>2186</v>
      </c>
      <c r="K189" s="25" t="s">
        <v>100</v>
      </c>
      <c r="L189" s="22" t="s">
        <v>104</v>
      </c>
      <c r="M189" s="22" t="s">
        <v>105</v>
      </c>
      <c r="N189" s="22" t="s">
        <v>151</v>
      </c>
      <c r="O189" s="22" t="s">
        <v>71</v>
      </c>
      <c r="P189" s="22" t="s">
        <v>71</v>
      </c>
      <c r="Q189" s="22" t="n">
        <v>5</v>
      </c>
      <c r="R189" s="25" t="s">
        <v>83</v>
      </c>
      <c r="S189" s="25" t="n">
        <v>35.5613333333333</v>
      </c>
      <c r="T189" s="22" t="n">
        <v>40.8718326693227</v>
      </c>
      <c r="U189" s="23" t="n">
        <v>3</v>
      </c>
      <c r="V189" s="27" t="n">
        <v>-0.756666666666667</v>
      </c>
      <c r="W189" s="27" t="n">
        <v>0.087368949480541</v>
      </c>
      <c r="X189" s="27" t="n">
        <v>0.0504424865014052</v>
      </c>
      <c r="Y189" s="27" t="n">
        <v>0.716666666666667</v>
      </c>
      <c r="Z189" s="27" t="n">
        <v>0.0776745346515403</v>
      </c>
      <c r="AA189" s="27" t="n">
        <v>0.0448454134902457</v>
      </c>
      <c r="AB189" s="27" t="n">
        <v>0.77012674</v>
      </c>
      <c r="AC189" s="27" t="n">
        <v>0.200264499766632</v>
      </c>
      <c r="AD189" s="27" t="n">
        <v>0.200088205438484</v>
      </c>
      <c r="AE189" s="28" t="n">
        <v>0.616</v>
      </c>
      <c r="AF189" s="28" t="n">
        <v>0.00503322295684717</v>
      </c>
      <c r="AG189" s="61" t="n">
        <f aca="false">AF189*SQRT(U189)</f>
        <v>0.00871779788708136</v>
      </c>
      <c r="AH189" s="29" t="n">
        <v>13.0738903681437</v>
      </c>
      <c r="AI189" s="27" t="n">
        <v>0.375704201280508</v>
      </c>
      <c r="AJ189" s="27" t="n">
        <f aca="false">VLOOKUP(B189,proft,2,0)</f>
        <v>14.1803857368207</v>
      </c>
      <c r="AK189" s="27" t="n">
        <f aca="false">VLOOKUP(B189,proft,3,0)</f>
        <v>0.142725944518999</v>
      </c>
      <c r="AL189" s="27" t="s">
        <v>107</v>
      </c>
      <c r="BB189" s="30" t="n">
        <v>16.692</v>
      </c>
      <c r="BC189" s="30" t="n">
        <v>2.441</v>
      </c>
      <c r="BD189" s="30" t="n">
        <v>0.0248</v>
      </c>
      <c r="BE189" s="31" t="n">
        <v>16.692</v>
      </c>
      <c r="BF189" s="31" t="n">
        <v>2.441</v>
      </c>
      <c r="BG189" s="31" t="n">
        <v>0.0248</v>
      </c>
      <c r="BH189" s="14" t="n">
        <f aca="false">10^6/((BB189+273.15)^2)</f>
        <v>11.9035736781338</v>
      </c>
      <c r="BI189" s="14" t="n">
        <f aca="false">BH189*(2*($BF189/($BE189+273.15)))</f>
        <v>0.200499743641878</v>
      </c>
      <c r="BJ189" s="14" t="n">
        <f aca="false">BH189*(2*($BG189/($BE189+273.15)))</f>
        <v>0.0020370313979183</v>
      </c>
      <c r="BL189" s="14" t="n">
        <f aca="false">10^6/((AH189+273.15)^2)</f>
        <v>12.2064180358143</v>
      </c>
      <c r="BM189" s="14" t="n">
        <f aca="false">BL189*(2*($AI189/($AH189+273.15)))</f>
        <v>0.032044862032607</v>
      </c>
      <c r="BN189" s="14" t="n">
        <f aca="false">10^6/((AJ189+273.15)^2)</f>
        <v>12.1125864081523</v>
      </c>
      <c r="BO189" s="14" t="n">
        <f aca="false">BN189*(2*($AK189/($AJ189+273.15)))</f>
        <v>0.0120333972422603</v>
      </c>
    </row>
    <row r="190" s="14" customFormat="true" ht="16" hidden="false" customHeight="false" outlineLevel="0" collapsed="false">
      <c r="A190" s="22" t="s">
        <v>154</v>
      </c>
      <c r="B190" s="23" t="s">
        <v>155</v>
      </c>
      <c r="C190" s="14" t="s">
        <v>53</v>
      </c>
      <c r="D190" s="23" t="s">
        <v>156</v>
      </c>
      <c r="E190" s="24" t="s">
        <v>157</v>
      </c>
      <c r="F190" s="22" t="n">
        <v>24.33</v>
      </c>
      <c r="G190" s="22" t="n">
        <v>-83.25</v>
      </c>
      <c r="H190" s="22" t="s">
        <v>158</v>
      </c>
      <c r="I190" s="22" t="s">
        <v>159</v>
      </c>
      <c r="J190" s="22" t="n">
        <v>546</v>
      </c>
      <c r="K190" s="25" t="s">
        <v>154</v>
      </c>
      <c r="L190" s="22" t="s">
        <v>160</v>
      </c>
      <c r="M190" s="22" t="s">
        <v>161</v>
      </c>
      <c r="N190" s="22" t="s">
        <v>162</v>
      </c>
      <c r="O190" s="22" t="s">
        <v>71</v>
      </c>
      <c r="P190" s="22" t="s">
        <v>71</v>
      </c>
      <c r="Q190" s="22" t="n">
        <v>5</v>
      </c>
      <c r="R190" s="25" t="s">
        <v>62</v>
      </c>
      <c r="S190" s="25" t="n">
        <v>36.2192727272727</v>
      </c>
      <c r="T190" s="22" t="n">
        <v>45.456968</v>
      </c>
      <c r="U190" s="23" t="n">
        <v>3</v>
      </c>
      <c r="V190" s="27" t="n">
        <v>2.01333333333333</v>
      </c>
      <c r="W190" s="27" t="n">
        <v>0.0288675134594812</v>
      </c>
      <c r="X190" s="27" t="n">
        <v>0.0166666666666666</v>
      </c>
      <c r="Y190" s="27" t="n">
        <v>-1.76</v>
      </c>
      <c r="Z190" s="27" t="n">
        <v>0.104403065089105</v>
      </c>
      <c r="AA190" s="27" t="n">
        <v>0.0602771377334171</v>
      </c>
      <c r="AB190" s="27" t="n">
        <v>0.84408022</v>
      </c>
      <c r="AC190" s="27" t="n">
        <v>0.200143824684118</v>
      </c>
      <c r="AD190" s="27" t="n">
        <v>0.20002877320985</v>
      </c>
      <c r="AE190" s="28" t="n">
        <v>0.599666666666667</v>
      </c>
      <c r="AF190" s="28" t="n">
        <v>0.0163333333333333</v>
      </c>
      <c r="AG190" s="61" t="n">
        <f aca="false">AF190*SQRT(U190)</f>
        <v>0.0282901631902917</v>
      </c>
      <c r="AH190" s="29" t="n">
        <v>26.6725117076527</v>
      </c>
      <c r="AI190" s="27" t="n">
        <v>0.315001585725403</v>
      </c>
      <c r="AJ190" s="27" t="n">
        <f aca="false">VLOOKUP(B190,proft,2,0)</f>
        <v>27.4936464387386</v>
      </c>
      <c r="AK190" s="27" t="n">
        <f aca="false">VLOOKUP(B190,proft,3,0)</f>
        <v>0.2823810577393</v>
      </c>
      <c r="AL190" s="27" t="s">
        <v>163</v>
      </c>
      <c r="BB190" s="30" t="n">
        <v>26.852</v>
      </c>
      <c r="BC190" s="30" t="n">
        <v>1.905</v>
      </c>
      <c r="BD190" s="30" t="n">
        <v>0.01905</v>
      </c>
      <c r="BE190" s="31" t="n">
        <v>26.852</v>
      </c>
      <c r="BF190" s="31" t="n">
        <v>1.905</v>
      </c>
      <c r="BG190" s="31" t="n">
        <v>0.01905</v>
      </c>
      <c r="BH190" s="14" t="n">
        <f aca="false">10^6/((BB190+273.15)^2)</f>
        <v>11.1109629644444</v>
      </c>
      <c r="BI190" s="14" t="n">
        <f aca="false">BH190*(2*($BF190/($BE190+273.15)))</f>
        <v>0.141108288926518</v>
      </c>
      <c r="BJ190" s="14" t="n">
        <f aca="false">BH190*(2*($BG190/($BE190+273.15)))</f>
        <v>0.00141108288926518</v>
      </c>
      <c r="BL190" s="14" t="n">
        <f aca="false">10^6/((AH190+273.15)^2)</f>
        <v>11.1242700686784</v>
      </c>
      <c r="BM190" s="14" t="n">
        <f aca="false">BL190*(2*($AI190/($AH190+273.15)))</f>
        <v>0.0233749139897016</v>
      </c>
      <c r="BN190" s="14" t="n">
        <f aca="false">10^6/((AJ190+273.15)^2)</f>
        <v>11.0635865966844</v>
      </c>
      <c r="BO190" s="14" t="n">
        <f aca="false">BN190*(2*($AK190/($AJ190+273.15)))</f>
        <v>0.0207830587645477</v>
      </c>
    </row>
    <row r="191" s="14" customFormat="true" ht="16" hidden="false" customHeight="false" outlineLevel="0" collapsed="false">
      <c r="A191" s="22" t="s">
        <v>67</v>
      </c>
      <c r="B191" s="23" t="s">
        <v>164</v>
      </c>
      <c r="C191" s="14" t="s">
        <v>53</v>
      </c>
      <c r="D191" s="23" t="s">
        <v>165</v>
      </c>
      <c r="E191" s="24" t="s">
        <v>157</v>
      </c>
      <c r="F191" s="22" t="n">
        <v>24.33</v>
      </c>
      <c r="G191" s="22" t="n">
        <v>-83.25</v>
      </c>
      <c r="H191" s="22" t="s">
        <v>158</v>
      </c>
      <c r="I191" s="22" t="s">
        <v>159</v>
      </c>
      <c r="J191" s="22" t="n">
        <v>546</v>
      </c>
      <c r="K191" s="25" t="s">
        <v>67</v>
      </c>
      <c r="L191" s="22" t="s">
        <v>68</v>
      </c>
      <c r="M191" s="22" t="s">
        <v>69</v>
      </c>
      <c r="N191" s="22" t="s">
        <v>162</v>
      </c>
      <c r="O191" s="22" t="s">
        <v>71</v>
      </c>
      <c r="P191" s="22" t="s">
        <v>71</v>
      </c>
      <c r="Q191" s="22" t="n">
        <v>5</v>
      </c>
      <c r="R191" s="25" t="s">
        <v>62</v>
      </c>
      <c r="S191" s="25" t="n">
        <v>36.2192727272727</v>
      </c>
      <c r="T191" s="22" t="n">
        <v>45.456968</v>
      </c>
      <c r="U191" s="23" t="n">
        <v>3</v>
      </c>
      <c r="V191" s="27" t="n">
        <v>2.33333333333333</v>
      </c>
      <c r="W191" s="27" t="n">
        <v>0.0208166599946613</v>
      </c>
      <c r="X191" s="27" t="n">
        <v>0.0120185042515466</v>
      </c>
      <c r="Y191" s="27" t="n">
        <v>-1.05</v>
      </c>
      <c r="Z191" s="27" t="n">
        <v>0.0529150262212919</v>
      </c>
      <c r="AA191" s="27" t="n">
        <v>0.030550504633039</v>
      </c>
      <c r="AB191" s="27" t="n">
        <v>0.84408022</v>
      </c>
      <c r="AC191" s="27" t="n">
        <v>0.200143824684118</v>
      </c>
      <c r="AD191" s="27" t="n">
        <v>0.20002877320985</v>
      </c>
      <c r="AE191" s="28" t="n">
        <v>0.592666666666667</v>
      </c>
      <c r="AF191" s="28" t="n">
        <v>0.00768837506311387</v>
      </c>
      <c r="AG191" s="61" t="n">
        <f aca="false">AF191*SQRT(U191)</f>
        <v>0.0133166562369588</v>
      </c>
      <c r="AH191" s="29" t="n">
        <v>25.1756154840643</v>
      </c>
      <c r="AI191" s="27" t="n">
        <v>0.630925684651956</v>
      </c>
      <c r="AJ191" s="27" t="n">
        <f aca="false">VLOOKUP(B191,proft,2,0)</f>
        <v>24.1738308377395</v>
      </c>
      <c r="AK191" s="27" t="n">
        <f aca="false">VLOOKUP(B191,proft,3,0)</f>
        <v>0.3927612304687</v>
      </c>
      <c r="AL191" s="27" t="s">
        <v>72</v>
      </c>
      <c r="BB191" s="30" t="n">
        <v>24.6878</v>
      </c>
      <c r="BC191" s="30" t="n">
        <v>2.102</v>
      </c>
      <c r="BD191" s="30" t="n">
        <v>0.02102</v>
      </c>
      <c r="BE191" s="31" t="n">
        <v>24.6878</v>
      </c>
      <c r="BF191" s="31" t="n">
        <v>2.102</v>
      </c>
      <c r="BG191" s="31" t="n">
        <v>0.02102</v>
      </c>
      <c r="BH191" s="14" t="n">
        <f aca="false">10^6/((BB191+273.15)^2)</f>
        <v>11.2730223866222</v>
      </c>
      <c r="BI191" s="14" t="n">
        <f aca="false">BH191*(2*($BF191/($BE191+273.15)))</f>
        <v>0.159119447274187</v>
      </c>
      <c r="BJ191" s="14" t="n">
        <f aca="false">BH191*(2*($BG191/($BE191+273.15)))</f>
        <v>0.00159119447274187</v>
      </c>
      <c r="BL191" s="14" t="n">
        <f aca="false">10^6/((AH191+273.15)^2)</f>
        <v>11.2361857320497</v>
      </c>
      <c r="BM191" s="14" t="n">
        <f aca="false">BL191*(2*($AI191/($AH191+273.15)))</f>
        <v>0.0475265804068957</v>
      </c>
      <c r="BN191" s="14" t="n">
        <f aca="false">10^6/((AJ191+273.15)^2)</f>
        <v>11.3120303177782</v>
      </c>
      <c r="BO191" s="14" t="n">
        <f aca="false">BN191*(2*($AK191/($AJ191+273.15)))</f>
        <v>0.0298861139666566</v>
      </c>
    </row>
    <row r="192" s="14" customFormat="true" ht="16" hidden="false" customHeight="false" outlineLevel="0" collapsed="false">
      <c r="A192" s="22" t="s">
        <v>67</v>
      </c>
      <c r="B192" s="23" t="s">
        <v>126</v>
      </c>
      <c r="C192" s="14" t="s">
        <v>53</v>
      </c>
      <c r="D192" s="23" t="s">
        <v>127</v>
      </c>
      <c r="E192" s="24" t="s">
        <v>124</v>
      </c>
      <c r="F192" s="22" t="n">
        <v>23.3</v>
      </c>
      <c r="G192" s="22" t="n">
        <v>66.7</v>
      </c>
      <c r="H192" s="22" t="s">
        <v>120</v>
      </c>
      <c r="I192" s="22" t="s">
        <v>121</v>
      </c>
      <c r="J192" s="22" t="n">
        <v>151</v>
      </c>
      <c r="K192" s="25" t="s">
        <v>67</v>
      </c>
      <c r="L192" s="22" t="s">
        <v>68</v>
      </c>
      <c r="M192" s="22" t="s">
        <v>69</v>
      </c>
      <c r="N192" s="22" t="s">
        <v>70</v>
      </c>
      <c r="O192" s="22" t="s">
        <v>71</v>
      </c>
      <c r="P192" s="22" t="s">
        <v>71</v>
      </c>
      <c r="Q192" s="22" t="n">
        <v>5</v>
      </c>
      <c r="R192" s="25" t="s">
        <v>62</v>
      </c>
      <c r="S192" s="25" t="n">
        <v>36.4610909090909</v>
      </c>
      <c r="T192" s="22" t="n">
        <v>56.9964680851064</v>
      </c>
      <c r="U192" s="23" t="n">
        <v>6</v>
      </c>
      <c r="V192" s="27" t="n">
        <v>1.865</v>
      </c>
      <c r="W192" s="27" t="n">
        <v>0.0122474487139159</v>
      </c>
      <c r="X192" s="27" t="n">
        <v>0.00500000000000001</v>
      </c>
      <c r="Y192" s="27" t="n">
        <v>-1.48666666666667</v>
      </c>
      <c r="Z192" s="27" t="n">
        <v>0.0344480284873702</v>
      </c>
      <c r="AA192" s="27" t="n">
        <v>0.0140633487398193</v>
      </c>
      <c r="AB192" s="27" t="n">
        <v>0.689166983333333</v>
      </c>
      <c r="AC192" s="27" t="n">
        <v>0.204659376502973</v>
      </c>
      <c r="AD192" s="27" t="n">
        <v>0.20156509320034</v>
      </c>
      <c r="AE192" s="28" t="n">
        <v>0.592666666666667</v>
      </c>
      <c r="AF192" s="28" t="n">
        <v>0.00643255608430878</v>
      </c>
      <c r="AG192" s="61" t="n">
        <f aca="false">AF192*SQRT(U192)</f>
        <v>0.0157564801483919</v>
      </c>
      <c r="AH192" s="29" t="n">
        <v>23.2379514520819</v>
      </c>
      <c r="AI192" s="27" t="n">
        <v>0.704713829882255</v>
      </c>
      <c r="AJ192" s="27" t="n">
        <f aca="false">VLOOKUP(B192,proft,2,0)</f>
        <v>25.0508900884719</v>
      </c>
      <c r="AK192" s="27" t="n">
        <f aca="false">VLOOKUP(B192,proft,3,0)</f>
        <v>0.630332946777401</v>
      </c>
      <c r="AL192" s="27" t="s">
        <v>72</v>
      </c>
      <c r="AN192" s="33"/>
      <c r="BB192" s="30" t="n">
        <v>26.0933</v>
      </c>
      <c r="BC192" s="30" t="n">
        <v>2.111</v>
      </c>
      <c r="BD192" s="30" t="n">
        <v>0.02111</v>
      </c>
      <c r="BE192" s="31" t="n">
        <v>26.0933</v>
      </c>
      <c r="BF192" s="31" t="n">
        <v>2.111</v>
      </c>
      <c r="BG192" s="31" t="n">
        <v>0.02111</v>
      </c>
      <c r="BH192" s="14" t="n">
        <f aca="false">10^6/((BB192+273.15)^2)</f>
        <v>11.1673757506223</v>
      </c>
      <c r="BI192" s="14" t="n">
        <f aca="false">BH192*(2*($BF192/($BE192+273.15)))</f>
        <v>0.15755961927678</v>
      </c>
      <c r="BJ192" s="14" t="n">
        <f aca="false">BH192*(2*($BG192/($BE192+273.15)))</f>
        <v>0.0015755961927678</v>
      </c>
      <c r="BL192" s="14" t="n">
        <f aca="false">10^6/((AH192+273.15)^2)</f>
        <v>11.3835812043346</v>
      </c>
      <c r="BM192" s="14" t="n">
        <f aca="false">BL192*(2*($AI192/($AH192+273.15)))</f>
        <v>0.0541328827233332</v>
      </c>
      <c r="BN192" s="14" t="n">
        <f aca="false">10^6/((AJ192+273.15)^2)</f>
        <v>11.2455869836179</v>
      </c>
      <c r="BO192" s="14" t="n">
        <f aca="false">BN192*(2*($AK192/($AJ192+273.15)))</f>
        <v>0.0475415346984539</v>
      </c>
    </row>
    <row r="193" s="14" customFormat="true" ht="16" hidden="false" customHeight="false" outlineLevel="0" collapsed="false">
      <c r="A193" s="22" t="s">
        <v>67</v>
      </c>
      <c r="B193" s="23" t="s">
        <v>128</v>
      </c>
      <c r="C193" s="14" t="s">
        <v>53</v>
      </c>
      <c r="D193" s="23" t="s">
        <v>127</v>
      </c>
      <c r="E193" s="24" t="s">
        <v>124</v>
      </c>
      <c r="F193" s="22" t="n">
        <v>23.3</v>
      </c>
      <c r="G193" s="22" t="n">
        <v>66.7</v>
      </c>
      <c r="H193" s="22" t="s">
        <v>120</v>
      </c>
      <c r="I193" s="22" t="s">
        <v>121</v>
      </c>
      <c r="J193" s="22" t="n">
        <v>151</v>
      </c>
      <c r="K193" s="25" t="s">
        <v>67</v>
      </c>
      <c r="L193" s="22" t="s">
        <v>68</v>
      </c>
      <c r="M193" s="22" t="s">
        <v>69</v>
      </c>
      <c r="N193" s="22" t="s">
        <v>70</v>
      </c>
      <c r="O193" s="22" t="s">
        <v>71</v>
      </c>
      <c r="P193" s="22" t="s">
        <v>71</v>
      </c>
      <c r="Q193" s="22" t="n">
        <v>5</v>
      </c>
      <c r="R193" s="25" t="s">
        <v>62</v>
      </c>
      <c r="S193" s="25" t="n">
        <v>36.4610909090909</v>
      </c>
      <c r="T193" s="22" t="n">
        <v>56.9964680851064</v>
      </c>
      <c r="U193" s="23" t="n">
        <v>4</v>
      </c>
      <c r="V193" s="27" t="n">
        <v>1.905</v>
      </c>
      <c r="W193" s="27" t="n">
        <v>0.03</v>
      </c>
      <c r="X193" s="27" t="n">
        <v>0.015</v>
      </c>
      <c r="Y193" s="27" t="n">
        <v>-1.1625</v>
      </c>
      <c r="Z193" s="27" t="n">
        <v>0.0320156211871643</v>
      </c>
      <c r="AA193" s="27" t="n">
        <v>0.0160078105935821</v>
      </c>
      <c r="AB193" s="27" t="n">
        <v>0.689166983333333</v>
      </c>
      <c r="AC193" s="27" t="n">
        <v>0.204659376502973</v>
      </c>
      <c r="AD193" s="27" t="n">
        <v>0.20156509320034</v>
      </c>
      <c r="AE193" s="28" t="n">
        <v>0.603</v>
      </c>
      <c r="AF193" s="28" t="n">
        <v>0.00686779925934551</v>
      </c>
      <c r="AG193" s="61" t="n">
        <f aca="false">AF193*SQRT(U193)</f>
        <v>0.013735598518691</v>
      </c>
      <c r="AH193" s="29" t="n">
        <v>23.2379514520819</v>
      </c>
      <c r="AI193" s="27" t="n">
        <v>0.704713829882255</v>
      </c>
      <c r="AJ193" s="27" t="n">
        <f aca="false">VLOOKUP(B193,proft,2,0)</f>
        <v>23.7863393740519</v>
      </c>
      <c r="AK193" s="27" t="n">
        <f aca="false">VLOOKUP(B193,proft,3,0)</f>
        <v>0.151922225952099</v>
      </c>
      <c r="AL193" s="27" t="s">
        <v>72</v>
      </c>
      <c r="AN193" s="33"/>
      <c r="BB193" s="30" t="n">
        <v>24.5218</v>
      </c>
      <c r="BC193" s="30" t="n">
        <v>2.088</v>
      </c>
      <c r="BD193" s="30" t="n">
        <v>0.02088</v>
      </c>
      <c r="BE193" s="31" t="n">
        <v>24.5218</v>
      </c>
      <c r="BF193" s="31" t="n">
        <v>2.088</v>
      </c>
      <c r="BG193" s="31" t="n">
        <v>0.02088</v>
      </c>
      <c r="BH193" s="14" t="n">
        <f aca="false">10^6/((BB193+273.15)^2)</f>
        <v>11.2855989457581</v>
      </c>
      <c r="BI193" s="14" t="n">
        <f aca="false">BH193*(2*($BF193/($BE193+273.15)))</f>
        <v>0.158324238968844</v>
      </c>
      <c r="BJ193" s="14" t="n">
        <f aca="false">BH193*(2*($BG193/($BE193+273.15)))</f>
        <v>0.00158324238968844</v>
      </c>
      <c r="BL193" s="14" t="n">
        <f aca="false">10^6/((AH193+273.15)^2)</f>
        <v>11.3835812043346</v>
      </c>
      <c r="BM193" s="14" t="n">
        <f aca="false">BL193*(2*($AI193/($AH193+273.15)))</f>
        <v>0.0541328827233332</v>
      </c>
      <c r="BN193" s="14" t="n">
        <f aca="false">10^6/((AJ193+273.15)^2)</f>
        <v>11.341573183635</v>
      </c>
      <c r="BO193" s="14" t="n">
        <f aca="false">BN193*(2*($AK193/($AJ193+273.15)))</f>
        <v>0.0116054306285897</v>
      </c>
    </row>
    <row r="194" s="14" customFormat="true" ht="16" hidden="false" customHeight="false" outlineLevel="0" collapsed="false">
      <c r="A194" s="22" t="s">
        <v>67</v>
      </c>
      <c r="B194" s="23" t="s">
        <v>339</v>
      </c>
      <c r="C194" s="14" t="s">
        <v>53</v>
      </c>
      <c r="D194" s="23" t="s">
        <v>340</v>
      </c>
      <c r="E194" s="24" t="s">
        <v>341</v>
      </c>
      <c r="F194" s="22" t="n">
        <v>-29.12483</v>
      </c>
      <c r="G194" s="22" t="n">
        <v>47.549</v>
      </c>
      <c r="H194" s="22" t="s">
        <v>120</v>
      </c>
      <c r="I194" s="22" t="s">
        <v>342</v>
      </c>
      <c r="J194" s="22" t="n">
        <v>3520</v>
      </c>
      <c r="K194" s="25" t="s">
        <v>67</v>
      </c>
      <c r="L194" s="22" t="s">
        <v>68</v>
      </c>
      <c r="M194" s="22" t="s">
        <v>69</v>
      </c>
      <c r="N194" s="22" t="s">
        <v>162</v>
      </c>
      <c r="O194" s="22" t="s">
        <v>71</v>
      </c>
      <c r="P194" s="22" t="s">
        <v>71</v>
      </c>
      <c r="Q194" s="22" t="n">
        <v>5</v>
      </c>
      <c r="R194" s="25" t="s">
        <v>62</v>
      </c>
      <c r="S194" s="25" t="n">
        <v>35.4604545454546</v>
      </c>
      <c r="T194" s="22" t="n">
        <v>-2.645</v>
      </c>
      <c r="U194" s="23" t="n">
        <v>8</v>
      </c>
      <c r="V194" s="27" t="n">
        <v>1.7925</v>
      </c>
      <c r="W194" s="27" t="n">
        <v>0.0843038721361175</v>
      </c>
      <c r="X194" s="27" t="n">
        <v>0.0298059198338662</v>
      </c>
      <c r="Y194" s="27" t="n">
        <v>-1.125</v>
      </c>
      <c r="Z194" s="27" t="n">
        <v>0.0272554057547698</v>
      </c>
      <c r="AA194" s="27" t="n">
        <v>0.00963624111659429</v>
      </c>
      <c r="AB194" s="27" t="n">
        <v>0.484385772</v>
      </c>
      <c r="AC194" s="27" t="n">
        <v>0.200027430747895</v>
      </c>
      <c r="AD194" s="27" t="n">
        <v>0.200005486450549</v>
      </c>
      <c r="AE194" s="28" t="n">
        <v>0.612</v>
      </c>
      <c r="AF194" s="28" t="n">
        <v>0.00512695955569325</v>
      </c>
      <c r="AG194" s="61" t="n">
        <f aca="false">AF194*SQRT(U194)</f>
        <v>0.0145012314747995</v>
      </c>
      <c r="AH194" s="29" t="n">
        <v>20.1604333357377</v>
      </c>
      <c r="AI194" s="27" t="n">
        <v>0.87499928202944</v>
      </c>
      <c r="AJ194" s="27" t="n">
        <f aca="false">VLOOKUP(B194,proft,2,0)</f>
        <v>22.4771565388523</v>
      </c>
      <c r="AK194" s="27" t="n">
        <f aca="false">VLOOKUP(B194,proft,3,0)</f>
        <v>0.113695144653303</v>
      </c>
      <c r="AL194" s="27" t="s">
        <v>72</v>
      </c>
      <c r="AN194" s="33"/>
      <c r="BB194" s="30" t="n">
        <v>23.3187</v>
      </c>
      <c r="BC194" s="30" t="n">
        <v>2.141</v>
      </c>
      <c r="BD194" s="30" t="n">
        <v>0.02141</v>
      </c>
      <c r="BE194" s="31" t="n">
        <v>23.3187</v>
      </c>
      <c r="BF194" s="31" t="n">
        <v>2.141</v>
      </c>
      <c r="BG194" s="31" t="n">
        <v>0.02141</v>
      </c>
      <c r="BH194" s="14" t="n">
        <f aca="false">10^6/((BB194+273.15)^2)</f>
        <v>11.3773810053183</v>
      </c>
      <c r="BI194" s="14" t="n">
        <f aca="false">BH194*(2*($BF194/($BE194+273.15)))</f>
        <v>0.164327449962755</v>
      </c>
      <c r="BJ194" s="14" t="n">
        <f aca="false">BH194*(2*($BG194/($BE194+273.15)))</f>
        <v>0.00164327449962755</v>
      </c>
      <c r="BL194" s="14" t="n">
        <f aca="false">10^6/((AH194+273.15)^2)</f>
        <v>11.6237156401054</v>
      </c>
      <c r="BM194" s="14" t="n">
        <f aca="false">BL194*(2*($AI194/($AH194+273.15)))</f>
        <v>0.0693513880426109</v>
      </c>
      <c r="BN194" s="14" t="n">
        <f aca="false">10^6/((AJ194+273.15)^2)</f>
        <v>11.4422477675988</v>
      </c>
      <c r="BO194" s="14" t="n">
        <f aca="false">BN194*(2*($AK194/($AJ194+273.15)))</f>
        <v>0.00880114012749771</v>
      </c>
    </row>
    <row r="195" s="14" customFormat="true" ht="16" hidden="false" customHeight="false" outlineLevel="0" collapsed="false">
      <c r="A195" s="22" t="s">
        <v>100</v>
      </c>
      <c r="B195" s="38" t="s">
        <v>147</v>
      </c>
      <c r="C195" s="14" t="s">
        <v>53</v>
      </c>
      <c r="D195" s="23" t="s">
        <v>148</v>
      </c>
      <c r="E195" s="24" t="s">
        <v>149</v>
      </c>
      <c r="F195" s="22" t="n">
        <v>-53.35</v>
      </c>
      <c r="G195" s="22" t="n">
        <v>72.18</v>
      </c>
      <c r="H195" s="22" t="s">
        <v>125</v>
      </c>
      <c r="I195" s="22" t="s">
        <v>150</v>
      </c>
      <c r="J195" s="22" t="n">
        <v>958</v>
      </c>
      <c r="K195" s="25" t="s">
        <v>100</v>
      </c>
      <c r="L195" s="22" t="s">
        <v>104</v>
      </c>
      <c r="M195" s="22" t="s">
        <v>105</v>
      </c>
      <c r="N195" s="22" t="s">
        <v>151</v>
      </c>
      <c r="O195" s="22" t="s">
        <v>71</v>
      </c>
      <c r="P195" s="22" t="s">
        <v>71</v>
      </c>
      <c r="Q195" s="22" t="n">
        <v>5</v>
      </c>
      <c r="R195" s="25" t="s">
        <v>83</v>
      </c>
      <c r="S195" s="25" t="n">
        <v>33.8536666666667</v>
      </c>
      <c r="T195" s="22" t="n">
        <v>32.135932885906</v>
      </c>
      <c r="U195" s="23" t="n">
        <v>3</v>
      </c>
      <c r="V195" s="27" t="n">
        <v>0.486666666666667</v>
      </c>
      <c r="W195" s="27" t="n">
        <v>0.00577350269189626</v>
      </c>
      <c r="X195" s="27" t="n">
        <v>0.00333333333333334</v>
      </c>
      <c r="Y195" s="27" t="n">
        <v>3.3</v>
      </c>
      <c r="Z195" s="27" t="n">
        <v>0.0754983443527074</v>
      </c>
      <c r="AA195" s="27" t="n">
        <v>0.0435889894354067</v>
      </c>
      <c r="AB195" s="27" t="n">
        <v>-0.380149128571429</v>
      </c>
      <c r="AC195" s="27" t="n">
        <v>0.200388212954911</v>
      </c>
      <c r="AD195" s="27" t="n">
        <v>0.200055505116263</v>
      </c>
      <c r="AE195" s="28" t="n">
        <v>0.666333333333333</v>
      </c>
      <c r="AF195" s="28" t="n">
        <v>0.0186219702979512</v>
      </c>
      <c r="AG195" s="61" t="n">
        <f aca="false">AF195*SQRT(U195)</f>
        <v>0.03225419869309</v>
      </c>
      <c r="AH195" s="29" t="n">
        <v>2.769453729902</v>
      </c>
      <c r="AI195" s="27" t="n">
        <v>0.0831228297017378</v>
      </c>
      <c r="AJ195" s="27" t="n">
        <f aca="false">VLOOKUP(B195,proft,2,0)</f>
        <v>2.79193711280823</v>
      </c>
      <c r="AK195" s="27" t="n">
        <f aca="false">VLOOKUP(B195,proft,3,0)</f>
        <v>0.089419461786747</v>
      </c>
      <c r="AL195" s="27" t="s">
        <v>107</v>
      </c>
      <c r="BB195" s="30" t="n">
        <v>2.3407</v>
      </c>
      <c r="BC195" s="30" t="n">
        <v>2.429</v>
      </c>
      <c r="BD195" s="30" t="n">
        <v>0.02395</v>
      </c>
      <c r="BE195" s="31" t="n">
        <v>2.3407</v>
      </c>
      <c r="BF195" s="31" t="n">
        <v>2.429</v>
      </c>
      <c r="BG195" s="31" t="n">
        <v>0.02395</v>
      </c>
      <c r="BH195" s="14" t="n">
        <f aca="false">10^6/((BB195+273.15)^2)</f>
        <v>13.1760767195146</v>
      </c>
      <c r="BI195" s="14" t="n">
        <f aca="false">BH195*(2*($BF195/($BE195+273.15)))</f>
        <v>0.232346793207182</v>
      </c>
      <c r="BJ195" s="14" t="n">
        <f aca="false">BH195*(2*($BG195/($BE195+273.15)))</f>
        <v>0.00229094512034253</v>
      </c>
      <c r="BL195" s="14" t="n">
        <f aca="false">10^6/((AH195+273.15)^2)</f>
        <v>13.1351596857954</v>
      </c>
      <c r="BM195" s="14" t="n">
        <f aca="false">BL195*(2*($AI195/($AH195+273.15)))</f>
        <v>0.00791413310593387</v>
      </c>
      <c r="BN195" s="14" t="n">
        <f aca="false">10^6/((AJ195+273.15)^2)</f>
        <v>13.1330193022308</v>
      </c>
      <c r="BO195" s="14" t="n">
        <f aca="false">BN195*(2*($AK195/($AJ195+273.15)))</f>
        <v>0.00851155522011393</v>
      </c>
    </row>
    <row r="196" s="14" customFormat="true" ht="16" hidden="false" customHeight="false" outlineLevel="0" collapsed="false">
      <c r="A196" s="22" t="s">
        <v>74</v>
      </c>
      <c r="B196" s="23" t="s">
        <v>152</v>
      </c>
      <c r="C196" s="14" t="s">
        <v>53</v>
      </c>
      <c r="D196" s="23" t="s">
        <v>153</v>
      </c>
      <c r="E196" s="24" t="s">
        <v>149</v>
      </c>
      <c r="F196" s="22" t="n">
        <v>-53.35</v>
      </c>
      <c r="G196" s="22" t="n">
        <v>72.18</v>
      </c>
      <c r="H196" s="22" t="s">
        <v>120</v>
      </c>
      <c r="I196" s="22" t="s">
        <v>150</v>
      </c>
      <c r="J196" s="22" t="n">
        <v>958</v>
      </c>
      <c r="K196" s="25" t="s">
        <v>74</v>
      </c>
      <c r="L196" s="22" t="s">
        <v>80</v>
      </c>
      <c r="M196" s="22" t="s">
        <v>81</v>
      </c>
      <c r="N196" s="22" t="s">
        <v>82</v>
      </c>
      <c r="O196" s="22" t="s">
        <v>71</v>
      </c>
      <c r="P196" s="22" t="s">
        <v>71</v>
      </c>
      <c r="Q196" s="22" t="n">
        <v>5</v>
      </c>
      <c r="R196" s="25" t="s">
        <v>83</v>
      </c>
      <c r="S196" s="25" t="n">
        <v>33.86156</v>
      </c>
      <c r="T196" s="22" t="n">
        <v>32.135932885906</v>
      </c>
      <c r="U196" s="23" t="n">
        <v>3</v>
      </c>
      <c r="V196" s="27" t="n">
        <v>1.1575</v>
      </c>
      <c r="W196" s="27" t="n">
        <v>0.0309569593683445</v>
      </c>
      <c r="X196" s="27" t="n">
        <v>0.0154784796841723</v>
      </c>
      <c r="Y196" s="27" t="n">
        <v>3.2875</v>
      </c>
      <c r="Z196" s="27" t="n">
        <v>0.147280910734103</v>
      </c>
      <c r="AA196" s="27" t="n">
        <v>0.0736404553670513</v>
      </c>
      <c r="AB196" s="27" t="n">
        <v>-0.375181146</v>
      </c>
      <c r="AC196" s="27" t="n">
        <v>0.200523714291119</v>
      </c>
      <c r="AD196" s="27" t="n">
        <v>0.200052433125195</v>
      </c>
      <c r="AE196" s="28" t="n">
        <v>0.68275</v>
      </c>
      <c r="AF196" s="28" t="n">
        <v>0.0154400723228012</v>
      </c>
      <c r="AG196" s="61" t="n">
        <f aca="false">AF196*SQRT(U196)</f>
        <v>0.0267429897356298</v>
      </c>
      <c r="AH196" s="29" t="n">
        <v>2.57459985256195</v>
      </c>
      <c r="AI196" s="27" t="n">
        <v>0.489552000728121</v>
      </c>
      <c r="AJ196" s="27" t="n">
        <f aca="false">VLOOKUP(B196,proft,2,0)</f>
        <v>2.79193711280823</v>
      </c>
      <c r="AK196" s="27" t="n">
        <f aca="false">VLOOKUP(B196,proft,3,0)</f>
        <v>0.089419461786747</v>
      </c>
      <c r="AL196" s="27" t="s">
        <v>84</v>
      </c>
      <c r="BB196" s="30" t="n">
        <v>2.1797</v>
      </c>
      <c r="BC196" s="30" t="n">
        <v>2.145</v>
      </c>
      <c r="BD196" s="30" t="n">
        <v>0.02145</v>
      </c>
      <c r="BE196" s="31" t="n">
        <v>2.1797</v>
      </c>
      <c r="BF196" s="31" t="n">
        <v>2.145</v>
      </c>
      <c r="BG196" s="31" t="n">
        <v>0.02145</v>
      </c>
      <c r="BH196" s="14" t="n">
        <f aca="false">10^6/((BB196+273.15)^2)</f>
        <v>13.1914907383055</v>
      </c>
      <c r="BI196" s="14" t="n">
        <f aca="false">BH196*(2*($BF196/($BE196+273.15)))</f>
        <v>0.205540830747031</v>
      </c>
      <c r="BJ196" s="14" t="n">
        <f aca="false">BH196*(2*($BG196/($BE196+273.15)))</f>
        <v>0.00205540830747031</v>
      </c>
      <c r="BL196" s="14" t="n">
        <f aca="false">10^6/((AH196+273.15)^2)</f>
        <v>13.1537314140299</v>
      </c>
      <c r="BM196" s="14" t="n">
        <f aca="false">BL196*(2*($AI196/($AH196+273.15)))</f>
        <v>0.0467091839772151</v>
      </c>
      <c r="BN196" s="14" t="n">
        <f aca="false">10^6/((AJ196+273.15)^2)</f>
        <v>13.1330193022308</v>
      </c>
      <c r="BO196" s="14" t="n">
        <f aca="false">BN196*(2*($AK196/($AJ196+273.15)))</f>
        <v>0.00851155522011393</v>
      </c>
    </row>
    <row r="197" s="14" customFormat="true" ht="16" hidden="false" customHeight="false" outlineLevel="0" collapsed="false">
      <c r="A197" s="22" t="s">
        <v>67</v>
      </c>
      <c r="B197" s="23" t="s">
        <v>336</v>
      </c>
      <c r="C197" s="14" t="s">
        <v>53</v>
      </c>
      <c r="D197" s="23" t="s">
        <v>337</v>
      </c>
      <c r="E197" s="24" t="s">
        <v>338</v>
      </c>
      <c r="F197" s="22" t="n">
        <v>-41</v>
      </c>
      <c r="G197" s="22" t="n">
        <v>26</v>
      </c>
      <c r="H197" s="22" t="s">
        <v>120</v>
      </c>
      <c r="I197" s="22" t="s">
        <v>150</v>
      </c>
      <c r="J197" s="22" t="n">
        <v>3636</v>
      </c>
      <c r="K197" s="25" t="s">
        <v>67</v>
      </c>
      <c r="L197" s="22" t="s">
        <v>68</v>
      </c>
      <c r="M197" s="22" t="s">
        <v>69</v>
      </c>
      <c r="N197" s="22" t="s">
        <v>162</v>
      </c>
      <c r="O197" s="22" t="s">
        <v>71</v>
      </c>
      <c r="P197" s="22" t="s">
        <v>71</v>
      </c>
      <c r="Q197" s="22" t="n">
        <v>5</v>
      </c>
      <c r="R197" s="25" t="s">
        <v>62</v>
      </c>
      <c r="S197" s="25" t="n">
        <v>35.1762727272727</v>
      </c>
      <c r="T197" s="22" t="n">
        <v>-5.00207462686567</v>
      </c>
      <c r="U197" s="23" t="n">
        <v>5</v>
      </c>
      <c r="V197" s="27" t="n">
        <v>1.154</v>
      </c>
      <c r="W197" s="27" t="n">
        <v>0.00894427190999917</v>
      </c>
      <c r="X197" s="27" t="n">
        <v>0.004</v>
      </c>
      <c r="Y197" s="27" t="n">
        <v>1.462</v>
      </c>
      <c r="Z197" s="27" t="n">
        <v>0.0376828873628336</v>
      </c>
      <c r="AA197" s="27" t="n">
        <v>0.0168522995463527</v>
      </c>
      <c r="AB197" s="27" t="n">
        <v>0.170879984</v>
      </c>
      <c r="AC197" s="27" t="n">
        <v>0.20085735092127</v>
      </c>
      <c r="AD197" s="27" t="n">
        <v>0.200171763952417</v>
      </c>
      <c r="AE197" s="28" t="n">
        <v>0.647</v>
      </c>
      <c r="AF197" s="28" t="n">
        <v>0.00697137002317336</v>
      </c>
      <c r="AG197" s="61" t="n">
        <f aca="false">AF197*SQRT(U197)</f>
        <v>0.0155884572681199</v>
      </c>
      <c r="AH197" s="29" t="n">
        <v>15.1947893662886</v>
      </c>
      <c r="AI197" s="27" t="n">
        <v>0.182127281819609</v>
      </c>
      <c r="AJ197" s="27" t="n">
        <f aca="false">VLOOKUP(B197,proft,2,0)</f>
        <v>8.60406054439054</v>
      </c>
      <c r="AK197" s="27" t="n">
        <f aca="false">VLOOKUP(B197,proft,3,0)</f>
        <v>0.331708908081051</v>
      </c>
      <c r="AL197" s="27" t="s">
        <v>72</v>
      </c>
      <c r="BB197" s="30" t="n">
        <v>8.9887</v>
      </c>
      <c r="BC197" s="30" t="n">
        <v>2.208</v>
      </c>
      <c r="BD197" s="30" t="n">
        <v>0.0224</v>
      </c>
      <c r="BE197" s="31" t="n">
        <v>8.9887</v>
      </c>
      <c r="BF197" s="31" t="n">
        <v>2.208</v>
      </c>
      <c r="BG197" s="31" t="n">
        <v>0.0224</v>
      </c>
      <c r="BH197" s="14" t="n">
        <f aca="false">10^6/((BB197+273.15)^2)</f>
        <v>12.5624596010334</v>
      </c>
      <c r="BI197" s="14" t="n">
        <f aca="false">BH197*(2*($BF197/($BE197+273.15)))</f>
        <v>0.196626062281294</v>
      </c>
      <c r="BJ197" s="14" t="n">
        <f aca="false">BH197*(2*($BG197/($BE197+273.15)))</f>
        <v>0.00199475715357835</v>
      </c>
      <c r="BL197" s="14" t="n">
        <f aca="false">10^6/((AH197+273.15)^2)</f>
        <v>12.0275116018697</v>
      </c>
      <c r="BM197" s="14" t="n">
        <f aca="false">BL197*(2*($AI197/($AH197+273.15)))</f>
        <v>0.015193879521226</v>
      </c>
      <c r="BN197" s="14" t="n">
        <f aca="false">10^6/((AJ197+273.15)^2)</f>
        <v>12.5967825552581</v>
      </c>
      <c r="BO197" s="14" t="n">
        <f aca="false">BN197*(2*($AK197/($AJ197+273.15)))</f>
        <v>0.0296603710247561</v>
      </c>
    </row>
    <row r="198" s="14" customFormat="true" ht="16" hidden="false" customHeight="false" outlineLevel="0" collapsed="false">
      <c r="A198" s="22" t="s">
        <v>64</v>
      </c>
      <c r="B198" s="23" t="s">
        <v>343</v>
      </c>
      <c r="C198" s="14" t="s">
        <v>53</v>
      </c>
      <c r="D198" s="23" t="s">
        <v>344</v>
      </c>
      <c r="E198" s="24" t="s">
        <v>345</v>
      </c>
      <c r="F198" s="22" t="n">
        <v>-11.2</v>
      </c>
      <c r="G198" s="22" t="n">
        <v>58.8</v>
      </c>
      <c r="H198" s="22" t="s">
        <v>120</v>
      </c>
      <c r="I198" s="22" t="s">
        <v>346</v>
      </c>
      <c r="J198" s="22" t="n">
        <v>2871</v>
      </c>
      <c r="K198" s="25" t="s">
        <v>67</v>
      </c>
      <c r="L198" s="22" t="s">
        <v>68</v>
      </c>
      <c r="M198" s="22" t="s">
        <v>69</v>
      </c>
      <c r="N198" s="22" t="s">
        <v>70</v>
      </c>
      <c r="O198" s="22" t="s">
        <v>71</v>
      </c>
      <c r="P198" s="22" t="s">
        <v>71</v>
      </c>
      <c r="Q198" s="22" t="n">
        <v>5</v>
      </c>
      <c r="R198" s="25" t="s">
        <v>62</v>
      </c>
      <c r="S198" s="25" t="n">
        <v>35.1836363636364</v>
      </c>
      <c r="T198" s="22" t="n">
        <v>7.05296756756757</v>
      </c>
      <c r="U198" s="23" t="n">
        <v>7</v>
      </c>
      <c r="V198" s="27" t="n">
        <v>2.38571428571429</v>
      </c>
      <c r="W198" s="27" t="n">
        <v>0.0359894164336975</v>
      </c>
      <c r="X198" s="27" t="n">
        <v>0.0136027208162721</v>
      </c>
      <c r="Y198" s="27" t="n">
        <v>-1.53571428571429</v>
      </c>
      <c r="Z198" s="27" t="n">
        <v>0.0171824938596845</v>
      </c>
      <c r="AA198" s="27" t="n">
        <v>0.00649437223665994</v>
      </c>
      <c r="AB198" s="27" t="n">
        <v>0.27877157</v>
      </c>
      <c r="AC198" s="27" t="n">
        <v>0.232499021638854</v>
      </c>
      <c r="AD198" s="27" t="n">
        <v>0.211388895216868</v>
      </c>
      <c r="AE198" s="28" t="n">
        <v>0.600571428571429</v>
      </c>
      <c r="AF198" s="28" t="n">
        <v>0.00647286329097669</v>
      </c>
      <c r="AG198" s="61" t="n">
        <f aca="false">AF198*SQRT(U198)</f>
        <v>0.0171255865384434</v>
      </c>
      <c r="AH198" s="29" t="n">
        <v>22.7537625052712</v>
      </c>
      <c r="AI198" s="27" t="n">
        <v>1.86578283762149</v>
      </c>
      <c r="AJ198" s="27" t="n">
        <f aca="false">VLOOKUP(B198,proft,2,0)</f>
        <v>23.9805856975407</v>
      </c>
      <c r="AK198" s="27" t="n">
        <f aca="false">VLOOKUP(B198,proft,3,0)</f>
        <v>0.838485717773501</v>
      </c>
      <c r="AL198" s="27" t="s">
        <v>72</v>
      </c>
      <c r="AN198" s="33"/>
      <c r="AT198" s="49"/>
      <c r="AU198" s="49"/>
      <c r="AV198" s="49"/>
      <c r="AW198" s="49"/>
      <c r="AX198" s="49"/>
      <c r="AY198" s="49"/>
      <c r="AZ198" s="49"/>
      <c r="BA198" s="49"/>
      <c r="BB198" s="30" t="n">
        <v>24.3136</v>
      </c>
      <c r="BC198" s="30" t="n">
        <v>2.12</v>
      </c>
      <c r="BD198" s="30" t="n">
        <v>0.0212</v>
      </c>
      <c r="BE198" s="31" t="n">
        <v>24.3136</v>
      </c>
      <c r="BF198" s="31" t="n">
        <v>2.12</v>
      </c>
      <c r="BG198" s="31" t="n">
        <v>0.0212</v>
      </c>
      <c r="BH198" s="14" t="n">
        <f aca="false">10^6/((BB198+273.15)^2)</f>
        <v>11.3014024523738</v>
      </c>
      <c r="BI198" s="14" t="n">
        <f aca="false">BH198*(2*($BF198/($BE198+273.15)))</f>
        <v>0.161088437032514</v>
      </c>
      <c r="BJ198" s="14" t="n">
        <f aca="false">BH198*(2*($BG198/($BE198+273.15)))</f>
        <v>0.00161088437032514</v>
      </c>
      <c r="BL198" s="14" t="n">
        <f aca="false">10^6/((AH198+273.15)^2)</f>
        <v>11.4208657163343</v>
      </c>
      <c r="BM198" s="14" t="n">
        <f aca="false">BL198*(2*($AI198/($AH198+273.15)))</f>
        <v>0.144025578207622</v>
      </c>
      <c r="BN198" s="14" t="n">
        <f aca="false">10^6/((AJ198+273.15)^2)</f>
        <v>11.3267491373402</v>
      </c>
      <c r="BO198" s="14" t="n">
        <f aca="false">BN198*(2*($AK198/($AJ198+273.15)))</f>
        <v>0.0639268916605626</v>
      </c>
    </row>
    <row r="199" s="14" customFormat="true" ht="16" hidden="false" customHeight="false" outlineLevel="0" collapsed="false">
      <c r="A199" s="22" t="s">
        <v>154</v>
      </c>
      <c r="B199" s="23" t="s">
        <v>205</v>
      </c>
      <c r="C199" s="14" t="s">
        <v>53</v>
      </c>
      <c r="D199" s="23" t="s">
        <v>206</v>
      </c>
      <c r="E199" s="24" t="s">
        <v>207</v>
      </c>
      <c r="F199" s="22" t="n">
        <v>0</v>
      </c>
      <c r="G199" s="22" t="n">
        <v>-156</v>
      </c>
      <c r="H199" s="22" t="s">
        <v>56</v>
      </c>
      <c r="I199" s="22" t="s">
        <v>208</v>
      </c>
      <c r="J199" s="22" t="n">
        <v>3050</v>
      </c>
      <c r="K199" s="25" t="s">
        <v>154</v>
      </c>
      <c r="L199" s="22" t="s">
        <v>160</v>
      </c>
      <c r="M199" s="22" t="s">
        <v>161</v>
      </c>
      <c r="N199" s="22" t="s">
        <v>162</v>
      </c>
      <c r="O199" s="22" t="s">
        <v>71</v>
      </c>
      <c r="P199" s="22" t="s">
        <v>71</v>
      </c>
      <c r="Q199" s="22" t="n">
        <v>5</v>
      </c>
      <c r="R199" s="25" t="s">
        <v>62</v>
      </c>
      <c r="S199" s="25" t="n">
        <v>35.1607272727273</v>
      </c>
      <c r="T199" s="22" t="n">
        <v>-5.31611739130435</v>
      </c>
      <c r="U199" s="23" t="n">
        <v>3</v>
      </c>
      <c r="V199" s="27" t="n">
        <v>1.56666666666667</v>
      </c>
      <c r="W199" s="27" t="n">
        <v>0.0404145188432738</v>
      </c>
      <c r="X199" s="27" t="n">
        <v>0.0233333333333334</v>
      </c>
      <c r="Y199" s="27" t="n">
        <v>-0.513333333333333</v>
      </c>
      <c r="Z199" s="27" t="n">
        <v>0.0152752523165195</v>
      </c>
      <c r="AA199" s="27" t="n">
        <v>0.00881917103688198</v>
      </c>
      <c r="AB199" s="27" t="n">
        <v>0.399574824</v>
      </c>
      <c r="AC199" s="27" t="n">
        <v>0.222421984069211</v>
      </c>
      <c r="AD199" s="27" t="n">
        <v>0.20468099032264</v>
      </c>
      <c r="AE199" s="28" t="n">
        <v>0.604333333333333</v>
      </c>
      <c r="AF199" s="28" t="n">
        <v>0.00296273147243853</v>
      </c>
      <c r="AG199" s="61" t="n">
        <f aca="false">AF199*SQRT(U199)</f>
        <v>0.00513160143944689</v>
      </c>
      <c r="AH199" s="29" t="n">
        <v>27.0522008375688</v>
      </c>
      <c r="AI199" s="27" t="n">
        <v>0.0931819674294649</v>
      </c>
      <c r="AJ199" s="27" t="n">
        <f aca="false">VLOOKUP(B199,proft,2,0)</f>
        <v>18.5318543247938</v>
      </c>
      <c r="AK199" s="27" t="n">
        <f aca="false">VLOOKUP(B199,proft,3,0)</f>
        <v>3.3219356536865</v>
      </c>
      <c r="AL199" s="27" t="s">
        <v>163</v>
      </c>
      <c r="BB199" s="30" t="n">
        <v>20.427</v>
      </c>
      <c r="BC199" s="30" t="n">
        <v>1.897</v>
      </c>
      <c r="BD199" s="30" t="n">
        <v>0.01805</v>
      </c>
      <c r="BE199" s="31" t="n">
        <v>20.427</v>
      </c>
      <c r="BF199" s="31" t="n">
        <v>1.897</v>
      </c>
      <c r="BG199" s="31" t="n">
        <v>0.01805</v>
      </c>
      <c r="BH199" s="14" t="n">
        <f aca="false">10^6/((BB199+273.15)^2)</f>
        <v>11.6026166548692</v>
      </c>
      <c r="BI199" s="14" t="n">
        <f aca="false">BH199*(2*($BF199/($BE199+273.15)))</f>
        <v>0.149944742226311</v>
      </c>
      <c r="BJ199" s="14" t="n">
        <f aca="false">BH199*(2*($BG199/($BE199+273.15)))</f>
        <v>0.00142672777922241</v>
      </c>
      <c r="BL199" s="14" t="n">
        <f aca="false">10^6/((AH199+273.15)^2)</f>
        <v>11.0961484003532</v>
      </c>
      <c r="BM199" s="14" t="n">
        <f aca="false">BL199*(2*($AI199/($AH199+273.15)))</f>
        <v>0.00688843010443929</v>
      </c>
      <c r="BN199" s="14" t="n">
        <f aca="false">10^6/((AJ199+273.15)^2)</f>
        <v>11.7538779137726</v>
      </c>
      <c r="BO199" s="14" t="n">
        <f aca="false">BN199*(2*($AK199/($AJ199+273.15)))</f>
        <v>0.267727495090328</v>
      </c>
    </row>
    <row r="200" s="14" customFormat="true" ht="16" hidden="false" customHeight="false" outlineLevel="0" collapsed="false">
      <c r="A200" s="22" t="s">
        <v>154</v>
      </c>
      <c r="B200" s="23" t="s">
        <v>209</v>
      </c>
      <c r="C200" s="14" t="s">
        <v>53</v>
      </c>
      <c r="D200" s="23" t="s">
        <v>206</v>
      </c>
      <c r="E200" s="24" t="s">
        <v>207</v>
      </c>
      <c r="F200" s="22" t="n">
        <v>0</v>
      </c>
      <c r="G200" s="22" t="n">
        <v>-156</v>
      </c>
      <c r="H200" s="22" t="s">
        <v>56</v>
      </c>
      <c r="I200" s="22" t="s">
        <v>208</v>
      </c>
      <c r="J200" s="22" t="n">
        <v>3050</v>
      </c>
      <c r="K200" s="25" t="s">
        <v>154</v>
      </c>
      <c r="L200" s="22" t="s">
        <v>160</v>
      </c>
      <c r="M200" s="22" t="s">
        <v>161</v>
      </c>
      <c r="N200" s="22" t="s">
        <v>162</v>
      </c>
      <c r="O200" s="22" t="s">
        <v>71</v>
      </c>
      <c r="P200" s="22" t="s">
        <v>71</v>
      </c>
      <c r="Q200" s="22" t="n">
        <v>5</v>
      </c>
      <c r="R200" s="25" t="s">
        <v>62</v>
      </c>
      <c r="S200" s="25" t="n">
        <v>35.1607272727273</v>
      </c>
      <c r="T200" s="22" t="n">
        <v>-5.31611739130435</v>
      </c>
      <c r="U200" s="23" t="n">
        <v>4</v>
      </c>
      <c r="V200" s="27" t="n">
        <v>1.74</v>
      </c>
      <c r="W200" s="27" t="n">
        <v>0.0535412613473634</v>
      </c>
      <c r="X200" s="27" t="n">
        <v>0.0267706306736817</v>
      </c>
      <c r="Y200" s="27" t="n">
        <v>-1.6475</v>
      </c>
      <c r="Z200" s="27" t="n">
        <v>0.0287228132326901</v>
      </c>
      <c r="AA200" s="27" t="n">
        <v>0.014361406616345</v>
      </c>
      <c r="AB200" s="27" t="n">
        <v>0.399574824</v>
      </c>
      <c r="AC200" s="27" t="n">
        <v>0.222421984069211</v>
      </c>
      <c r="AD200" s="27" t="n">
        <v>0.20468099032264</v>
      </c>
      <c r="AE200" s="28" t="n">
        <v>0.5795</v>
      </c>
      <c r="AF200" s="28" t="n">
        <v>0.013003204733193</v>
      </c>
      <c r="AG200" s="61" t="n">
        <f aca="false">AF200*SQRT(U200)</f>
        <v>0.026006409466386</v>
      </c>
      <c r="AH200" s="29" t="n">
        <v>27.0522008375688</v>
      </c>
      <c r="AI200" s="27" t="n">
        <v>0.0931819674294649</v>
      </c>
      <c r="AJ200" s="27" t="n">
        <f aca="false">VLOOKUP(B200,proft,2,0)</f>
        <v>23.8653467820226</v>
      </c>
      <c r="AK200" s="27" t="n">
        <f aca="false">VLOOKUP(B200,proft,3,0)</f>
        <v>3.0497035980225</v>
      </c>
      <c r="AL200" s="27" t="s">
        <v>163</v>
      </c>
      <c r="BB200" s="30" t="n">
        <v>24.701</v>
      </c>
      <c r="BC200" s="30" t="n">
        <v>1.907</v>
      </c>
      <c r="BD200" s="30" t="n">
        <v>0.01907</v>
      </c>
      <c r="BE200" s="31" t="n">
        <v>24.701</v>
      </c>
      <c r="BF200" s="31" t="n">
        <v>1.907</v>
      </c>
      <c r="BG200" s="31" t="n">
        <v>0.01907</v>
      </c>
      <c r="BH200" s="14" t="n">
        <f aca="false">10^6/((BB200+273.15)^2)</f>
        <v>11.2720232253087</v>
      </c>
      <c r="BI200" s="14" t="n">
        <f aca="false">BH200*(2*($BF200/($BE200+273.15)))</f>
        <v>0.144338936519694</v>
      </c>
      <c r="BJ200" s="14" t="n">
        <f aca="false">BH200*(2*($BG200/($BE200+273.15)))</f>
        <v>0.00144338936519694</v>
      </c>
      <c r="BL200" s="14" t="n">
        <f aca="false">10^6/((AH200+273.15)^2)</f>
        <v>11.0961484003532</v>
      </c>
      <c r="BM200" s="14" t="n">
        <f aca="false">BL200*(2*($AI200/($AH200+273.15)))</f>
        <v>0.00688843010443929</v>
      </c>
      <c r="BN200" s="14" t="n">
        <f aca="false">10^6/((AJ200+273.15)^2)</f>
        <v>11.3355401679665</v>
      </c>
      <c r="BO200" s="14" t="n">
        <f aca="false">BN200*(2*($AK200/($AJ200+273.15)))</f>
        <v>0.232782837724184</v>
      </c>
    </row>
    <row r="201" s="14" customFormat="true" ht="16" hidden="false" customHeight="false" outlineLevel="0" collapsed="false">
      <c r="A201" s="22" t="s">
        <v>67</v>
      </c>
      <c r="B201" s="23" t="s">
        <v>210</v>
      </c>
      <c r="C201" s="14" t="s">
        <v>53</v>
      </c>
      <c r="D201" s="23" t="s">
        <v>211</v>
      </c>
      <c r="E201" s="24" t="s">
        <v>207</v>
      </c>
      <c r="F201" s="22" t="n">
        <v>0</v>
      </c>
      <c r="G201" s="22" t="n">
        <v>-156</v>
      </c>
      <c r="H201" s="22" t="s">
        <v>56</v>
      </c>
      <c r="I201" s="22" t="s">
        <v>208</v>
      </c>
      <c r="J201" s="22" t="n">
        <v>3050</v>
      </c>
      <c r="K201" s="25" t="s">
        <v>67</v>
      </c>
      <c r="L201" s="22" t="s">
        <v>68</v>
      </c>
      <c r="M201" s="22" t="s">
        <v>69</v>
      </c>
      <c r="N201" s="22" t="s">
        <v>70</v>
      </c>
      <c r="O201" s="22" t="s">
        <v>71</v>
      </c>
      <c r="P201" s="22" t="s">
        <v>71</v>
      </c>
      <c r="Q201" s="22" t="n">
        <v>5</v>
      </c>
      <c r="R201" s="25" t="s">
        <v>62</v>
      </c>
      <c r="S201" s="25" t="n">
        <v>35.187</v>
      </c>
      <c r="T201" s="22" t="n">
        <v>-5.31611739130435</v>
      </c>
      <c r="U201" s="23" t="n">
        <v>8</v>
      </c>
      <c r="V201" s="27" t="n">
        <v>2.2675</v>
      </c>
      <c r="W201" s="27" t="n">
        <v>0.0777817459305202</v>
      </c>
      <c r="X201" s="27" t="n">
        <v>0.0275</v>
      </c>
      <c r="Y201" s="27" t="n">
        <v>-1.275</v>
      </c>
      <c r="Z201" s="27" t="n">
        <v>0.0509901951359279</v>
      </c>
      <c r="AA201" s="27" t="n">
        <v>0.01802775637732</v>
      </c>
      <c r="AB201" s="27" t="n">
        <v>0.324139543333333</v>
      </c>
      <c r="AC201" s="27" t="n">
        <v>0.239696840952221</v>
      </c>
      <c r="AD201" s="27" t="n">
        <v>0.214051843846668</v>
      </c>
      <c r="AE201" s="28" t="n">
        <v>0.632</v>
      </c>
      <c r="AF201" s="28" t="n">
        <v>0.0118246111382755</v>
      </c>
      <c r="AG201" s="61" t="n">
        <f aca="false">AF201*SQRT(U201)</f>
        <v>0.0334450508830743</v>
      </c>
      <c r="AH201" s="29" t="n">
        <v>26.3530342795632</v>
      </c>
      <c r="AI201" s="27" t="n">
        <v>0.501473293025532</v>
      </c>
      <c r="AJ201" s="27" t="n">
        <f aca="false">VLOOKUP(B201,proft,2,0)</f>
        <v>22.3627952391225</v>
      </c>
      <c r="AK201" s="27" t="n">
        <f aca="false">VLOOKUP(B201,proft,3,0)</f>
        <v>2.9489555358887</v>
      </c>
      <c r="AL201" s="27" t="s">
        <v>72</v>
      </c>
      <c r="BB201" s="30" t="n">
        <v>23.258</v>
      </c>
      <c r="BC201" s="30" t="n">
        <v>2.124</v>
      </c>
      <c r="BD201" s="30" t="n">
        <v>0.02092</v>
      </c>
      <c r="BE201" s="31" t="n">
        <v>23.258</v>
      </c>
      <c r="BF201" s="31" t="n">
        <v>2.124</v>
      </c>
      <c r="BG201" s="31" t="n">
        <v>0.02092</v>
      </c>
      <c r="BH201" s="14" t="n">
        <f aca="false">10^6/((BB201+273.15)^2)</f>
        <v>11.3820413231242</v>
      </c>
      <c r="BI201" s="14" t="n">
        <f aca="false">BH201*(2*($BF201/($BE201+273.15)))</f>
        <v>0.163122829143045</v>
      </c>
      <c r="BJ201" s="14" t="n">
        <f aca="false">BH201*(2*($BG201/($BE201+273.15)))</f>
        <v>0.00160665234730344</v>
      </c>
      <c r="BL201" s="14" t="n">
        <f aca="false">10^6/((AH201+273.15)^2)</f>
        <v>11.1480150613515</v>
      </c>
      <c r="BM201" s="14" t="n">
        <f aca="false">BL201*(2*($AI201/($AH201+273.15)))</f>
        <v>0.0373313868886946</v>
      </c>
      <c r="BN201" s="14" t="n">
        <f aca="false">10^6/((AJ201+273.15)^2)</f>
        <v>11.4511056143475</v>
      </c>
      <c r="BO201" s="14" t="n">
        <f aca="false">BN201*(2*($AK201/($AJ201+273.15)))</f>
        <v>0.228543750643022</v>
      </c>
    </row>
    <row r="202" s="14" customFormat="true" ht="16" hidden="false" customHeight="false" outlineLevel="0" collapsed="false">
      <c r="A202" s="22" t="s">
        <v>67</v>
      </c>
      <c r="B202" s="23" t="s">
        <v>212</v>
      </c>
      <c r="C202" s="14" t="s">
        <v>53</v>
      </c>
      <c r="D202" s="23" t="s">
        <v>211</v>
      </c>
      <c r="E202" s="24" t="s">
        <v>207</v>
      </c>
      <c r="F202" s="22" t="n">
        <v>0</v>
      </c>
      <c r="G202" s="22" t="n">
        <v>-156</v>
      </c>
      <c r="H202" s="22" t="s">
        <v>56</v>
      </c>
      <c r="I202" s="22" t="s">
        <v>208</v>
      </c>
      <c r="J202" s="22" t="n">
        <v>3050</v>
      </c>
      <c r="K202" s="25" t="s">
        <v>67</v>
      </c>
      <c r="L202" s="22" t="s">
        <v>68</v>
      </c>
      <c r="M202" s="22" t="s">
        <v>69</v>
      </c>
      <c r="N202" s="22" t="s">
        <v>70</v>
      </c>
      <c r="O202" s="22" t="s">
        <v>71</v>
      </c>
      <c r="P202" s="22" t="s">
        <v>71</v>
      </c>
      <c r="Q202" s="22" t="n">
        <v>5</v>
      </c>
      <c r="R202" s="25" t="s">
        <v>62</v>
      </c>
      <c r="S202" s="25" t="n">
        <v>35.187</v>
      </c>
      <c r="T202" s="22" t="n">
        <v>-5.31611739130435</v>
      </c>
      <c r="U202" s="23" t="n">
        <v>5</v>
      </c>
      <c r="V202" s="27" t="n">
        <v>2.17</v>
      </c>
      <c r="W202" s="27" t="n">
        <v>0.0282842712474619</v>
      </c>
      <c r="X202" s="27" t="n">
        <v>0.0126491106406735</v>
      </c>
      <c r="Y202" s="27" t="n">
        <v>-0.09</v>
      </c>
      <c r="Z202" s="27" t="n">
        <v>0.0754983443527075</v>
      </c>
      <c r="AA202" s="27" t="n">
        <v>0.0337638860322683</v>
      </c>
      <c r="AB202" s="27" t="n">
        <v>0.324139543333333</v>
      </c>
      <c r="AC202" s="27" t="n">
        <v>0.239696840952221</v>
      </c>
      <c r="AD202" s="27" t="n">
        <v>0.214051843846668</v>
      </c>
      <c r="AE202" s="28" t="n">
        <v>0.6092</v>
      </c>
      <c r="AF202" s="28" t="n">
        <v>0.0134885136319759</v>
      </c>
      <c r="AG202" s="61" t="n">
        <f aca="false">AF202*SQRT(U202)</f>
        <v>0.0301612333965307</v>
      </c>
      <c r="AH202" s="29" t="n">
        <v>26.3530342795632</v>
      </c>
      <c r="AI202" s="27" t="n">
        <v>0.501473293025532</v>
      </c>
      <c r="AJ202" s="27" t="n">
        <f aca="false">VLOOKUP(B202,proft,2,0)</f>
        <v>16.2889640480297</v>
      </c>
      <c r="AK202" s="27" t="n">
        <f aca="false">VLOOKUP(B202,proft,3,0)</f>
        <v>2.7022895812988</v>
      </c>
      <c r="AL202" s="27" t="s">
        <v>72</v>
      </c>
      <c r="BB202" s="30" t="n">
        <v>17.4066</v>
      </c>
      <c r="BC202" s="30" t="n">
        <v>2.151</v>
      </c>
      <c r="BD202" s="30" t="n">
        <v>0.02151</v>
      </c>
      <c r="BE202" s="31" t="n">
        <v>17.4066</v>
      </c>
      <c r="BF202" s="31" t="n">
        <v>2.151</v>
      </c>
      <c r="BG202" s="31" t="n">
        <v>0.02151</v>
      </c>
      <c r="BH202" s="14" t="n">
        <f aca="false">10^6/((BB202+273.15)^2)</f>
        <v>11.8450939637763</v>
      </c>
      <c r="BI202" s="14" t="n">
        <f aca="false">BH202*(2*($BF202/($BE202+273.15)))</f>
        <v>0.175379234999878</v>
      </c>
      <c r="BJ202" s="14" t="n">
        <f aca="false">BH202*(2*($BG202/($BE202+273.15)))</f>
        <v>0.00175379234999878</v>
      </c>
      <c r="BL202" s="14" t="n">
        <f aca="false">10^6/((AH202+273.15)^2)</f>
        <v>11.1480150613515</v>
      </c>
      <c r="BM202" s="14" t="n">
        <f aca="false">BL202*(2*($AI202/($AH202+273.15)))</f>
        <v>0.0373313868886946</v>
      </c>
      <c r="BN202" s="14" t="n">
        <f aca="false">10^6/((AJ202+273.15)^2)</f>
        <v>11.9367475696113</v>
      </c>
      <c r="BO202" s="14" t="n">
        <f aca="false">BN202*(2*($AK202/($AJ202+273.15)))</f>
        <v>0.22289016061156</v>
      </c>
    </row>
    <row r="203" s="14" customFormat="true" ht="16" hidden="false" customHeight="false" outlineLevel="0" collapsed="false">
      <c r="A203" s="22" t="s">
        <v>154</v>
      </c>
      <c r="B203" s="23" t="s">
        <v>213</v>
      </c>
      <c r="C203" s="14" t="s">
        <v>53</v>
      </c>
      <c r="D203" s="23" t="s">
        <v>214</v>
      </c>
      <c r="E203" s="24" t="s">
        <v>215</v>
      </c>
      <c r="F203" s="22" t="n">
        <v>7</v>
      </c>
      <c r="G203" s="22" t="n">
        <v>-161</v>
      </c>
      <c r="H203" s="22" t="s">
        <v>56</v>
      </c>
      <c r="I203" s="22" t="s">
        <v>208</v>
      </c>
      <c r="J203" s="22" t="n">
        <v>2855</v>
      </c>
      <c r="K203" s="25" t="s">
        <v>154</v>
      </c>
      <c r="L203" s="22" t="s">
        <v>160</v>
      </c>
      <c r="M203" s="22" t="s">
        <v>161</v>
      </c>
      <c r="N203" s="22" t="s">
        <v>162</v>
      </c>
      <c r="O203" s="22" t="s">
        <v>71</v>
      </c>
      <c r="P203" s="22" t="s">
        <v>71</v>
      </c>
      <c r="Q203" s="22" t="n">
        <v>5</v>
      </c>
      <c r="R203" s="25" t="s">
        <v>62</v>
      </c>
      <c r="S203" s="25" t="n">
        <v>34.4701818181818</v>
      </c>
      <c r="T203" s="22" t="n">
        <v>9.48991020408163</v>
      </c>
      <c r="U203" s="23" t="n">
        <v>4</v>
      </c>
      <c r="V203" s="27" t="n">
        <v>1.52</v>
      </c>
      <c r="W203" s="27" t="n">
        <v>0.105514611942296</v>
      </c>
      <c r="X203" s="27" t="n">
        <v>0.0527573059711481</v>
      </c>
      <c r="Y203" s="27" t="n">
        <v>-1.0675</v>
      </c>
      <c r="Z203" s="27" t="n">
        <v>0.323251707909899</v>
      </c>
      <c r="AA203" s="27" t="n">
        <v>0.16162585395495</v>
      </c>
      <c r="AB203" s="27" t="n">
        <v>0.24942589</v>
      </c>
      <c r="AC203" s="27" t="n">
        <v>0.205249291640743</v>
      </c>
      <c r="AD203" s="27" t="n">
        <v>0.20106082249858</v>
      </c>
      <c r="AE203" s="28" t="n">
        <v>0.608</v>
      </c>
      <c r="AF203" s="28" t="n">
        <v>0.0163605215890774</v>
      </c>
      <c r="AG203" s="61" t="n">
        <f aca="false">AF203*SQRT(U203)</f>
        <v>0.0327210431781548</v>
      </c>
      <c r="AH203" s="29" t="n">
        <v>27.869815826416</v>
      </c>
      <c r="AI203" s="27" t="n">
        <v>0.0379710596368685</v>
      </c>
      <c r="AJ203" s="27" t="n">
        <f aca="false">VLOOKUP(B203,proft,2,0)</f>
        <v>20.2418077062873</v>
      </c>
      <c r="AK203" s="27" t="n">
        <f aca="false">VLOOKUP(B203,proft,3,0)</f>
        <v>3.308032989502</v>
      </c>
      <c r="AL203" s="27" t="s">
        <v>163</v>
      </c>
      <c r="BB203" s="30" t="n">
        <v>21.975</v>
      </c>
      <c r="BC203" s="30" t="n">
        <v>1.921</v>
      </c>
      <c r="BD203" s="30" t="n">
        <v>0.01921</v>
      </c>
      <c r="BE203" s="31" t="n">
        <v>21.975</v>
      </c>
      <c r="BF203" s="31" t="n">
        <v>1.921</v>
      </c>
      <c r="BG203" s="31" t="n">
        <v>0.01921</v>
      </c>
      <c r="BH203" s="14" t="n">
        <f aca="false">10^6/((BB203+273.15)^2)</f>
        <v>11.4812189681936</v>
      </c>
      <c r="BI203" s="14" t="n">
        <f aca="false">BH203*(2*($BF203/($BE203+273.15)))</f>
        <v>0.149464949685048</v>
      </c>
      <c r="BJ203" s="14" t="n">
        <f aca="false">BH203*(2*($BG203/($BE203+273.15)))</f>
        <v>0.00149464949685048</v>
      </c>
      <c r="BL203" s="14" t="n">
        <f aca="false">10^6/((AH203+273.15)^2)</f>
        <v>11.035952653726</v>
      </c>
      <c r="BM203" s="14" t="n">
        <f aca="false">BL203*(2*($AI203/($AH203+273.15)))</f>
        <v>0.00278418093648647</v>
      </c>
      <c r="BN203" s="14" t="n">
        <f aca="false">10^6/((AJ203+273.15)^2)</f>
        <v>11.6172686886468</v>
      </c>
      <c r="BO203" s="14" t="n">
        <f aca="false">BN203*(2*($AK203/($AJ203+273.15)))</f>
        <v>0.26197260496397</v>
      </c>
    </row>
    <row r="204" s="14" customFormat="true" ht="16" hidden="false" customHeight="false" outlineLevel="0" collapsed="false">
      <c r="A204" s="22" t="s">
        <v>154</v>
      </c>
      <c r="B204" s="23" t="s">
        <v>216</v>
      </c>
      <c r="C204" s="14" t="s">
        <v>53</v>
      </c>
      <c r="D204" s="23" t="s">
        <v>214</v>
      </c>
      <c r="E204" s="24" t="s">
        <v>215</v>
      </c>
      <c r="F204" s="22" t="n">
        <v>7</v>
      </c>
      <c r="G204" s="22" t="n">
        <v>-161</v>
      </c>
      <c r="H204" s="22" t="s">
        <v>56</v>
      </c>
      <c r="I204" s="22" t="s">
        <v>208</v>
      </c>
      <c r="J204" s="22" t="n">
        <v>2855</v>
      </c>
      <c r="K204" s="25" t="s">
        <v>154</v>
      </c>
      <c r="L204" s="22" t="s">
        <v>160</v>
      </c>
      <c r="M204" s="22" t="s">
        <v>161</v>
      </c>
      <c r="N204" s="22" t="s">
        <v>162</v>
      </c>
      <c r="O204" s="22" t="s">
        <v>71</v>
      </c>
      <c r="P204" s="22" t="s">
        <v>71</v>
      </c>
      <c r="Q204" s="22" t="n">
        <v>5</v>
      </c>
      <c r="R204" s="25" t="s">
        <v>62</v>
      </c>
      <c r="S204" s="25" t="n">
        <v>34.4701818181818</v>
      </c>
      <c r="T204" s="22" t="n">
        <v>9.48991020408163</v>
      </c>
      <c r="U204" s="23" t="n">
        <v>4</v>
      </c>
      <c r="V204" s="27" t="n">
        <v>1.52</v>
      </c>
      <c r="W204" s="27" t="n">
        <v>0.033665016461207</v>
      </c>
      <c r="X204" s="27" t="n">
        <v>0.0168325082306035</v>
      </c>
      <c r="Y204" s="27" t="n">
        <v>-2.075</v>
      </c>
      <c r="Z204" s="27" t="n">
        <v>0.111504857891185</v>
      </c>
      <c r="AA204" s="27" t="n">
        <v>0.0557524289455925</v>
      </c>
      <c r="AB204" s="27" t="n">
        <v>0.24942589</v>
      </c>
      <c r="AC204" s="27" t="n">
        <v>0.205249291640743</v>
      </c>
      <c r="AD204" s="27" t="n">
        <v>0.20106082249858</v>
      </c>
      <c r="AE204" s="28" t="n">
        <v>0.59075</v>
      </c>
      <c r="AF204" s="28" t="n">
        <v>0.00843973735768281</v>
      </c>
      <c r="AG204" s="61" t="n">
        <f aca="false">AF204*SQRT(U204)</f>
        <v>0.0168794747153656</v>
      </c>
      <c r="AH204" s="29" t="n">
        <v>27.869815826416</v>
      </c>
      <c r="AI204" s="27" t="n">
        <v>0.0379710596368685</v>
      </c>
      <c r="AJ204" s="27" t="n">
        <f aca="false">VLOOKUP(B204,proft,2,0)</f>
        <v>25.5317945622265</v>
      </c>
      <c r="AK204" s="27" t="n">
        <f aca="false">VLOOKUP(B204,proft,3,0)</f>
        <v>4.5296878814697</v>
      </c>
      <c r="AL204" s="27" t="s">
        <v>163</v>
      </c>
      <c r="BB204" s="30" t="n">
        <v>25.785</v>
      </c>
      <c r="BC204" s="30" t="n">
        <v>1.907</v>
      </c>
      <c r="BD204" s="30" t="n">
        <v>0.01907</v>
      </c>
      <c r="BE204" s="31" t="n">
        <v>25.785</v>
      </c>
      <c r="BF204" s="31" t="n">
        <v>1.907</v>
      </c>
      <c r="BG204" s="31" t="n">
        <v>0.01907</v>
      </c>
      <c r="BH204" s="14" t="n">
        <f aca="false">10^6/((BB204+273.15)^2)</f>
        <v>11.190422080589</v>
      </c>
      <c r="BI204" s="14" t="n">
        <f aca="false">BH204*(2*($BF204/($BE204+273.15)))</f>
        <v>0.142774415225271</v>
      </c>
      <c r="BJ204" s="14" t="n">
        <f aca="false">BH204*(2*($BG204/($BE204+273.15)))</f>
        <v>0.00142774415225271</v>
      </c>
      <c r="BL204" s="14" t="n">
        <f aca="false">10^6/((AH204+273.15)^2)</f>
        <v>11.035952653726</v>
      </c>
      <c r="BM204" s="14" t="n">
        <f aca="false">BL204*(2*($AI204/($AH204+273.15)))</f>
        <v>0.00278418093648647</v>
      </c>
      <c r="BN204" s="14" t="n">
        <f aca="false">10^6/((AJ204+273.15)^2)</f>
        <v>11.2094033295515</v>
      </c>
      <c r="BO204" s="14" t="n">
        <f aca="false">BN204*(2*($AK204/($AJ204+273.15)))</f>
        <v>0.339994598564641</v>
      </c>
    </row>
    <row r="205" s="14" customFormat="true" ht="16" hidden="false" customHeight="false" outlineLevel="0" collapsed="false">
      <c r="A205" s="22" t="s">
        <v>67</v>
      </c>
      <c r="B205" s="23" t="s">
        <v>217</v>
      </c>
      <c r="C205" s="14" t="s">
        <v>53</v>
      </c>
      <c r="D205" s="23" t="s">
        <v>218</v>
      </c>
      <c r="E205" s="24" t="s">
        <v>215</v>
      </c>
      <c r="F205" s="22" t="n">
        <v>7</v>
      </c>
      <c r="G205" s="22" t="n">
        <v>-161</v>
      </c>
      <c r="H205" s="22" t="s">
        <v>56</v>
      </c>
      <c r="I205" s="22" t="s">
        <v>208</v>
      </c>
      <c r="J205" s="22" t="n">
        <v>2855</v>
      </c>
      <c r="K205" s="25" t="s">
        <v>67</v>
      </c>
      <c r="L205" s="22" t="s">
        <v>68</v>
      </c>
      <c r="M205" s="22" t="s">
        <v>69</v>
      </c>
      <c r="N205" s="22" t="s">
        <v>70</v>
      </c>
      <c r="O205" s="22" t="s">
        <v>71</v>
      </c>
      <c r="P205" s="22" t="s">
        <v>71</v>
      </c>
      <c r="Q205" s="22" t="n">
        <v>5</v>
      </c>
      <c r="R205" s="25" t="s">
        <v>62</v>
      </c>
      <c r="S205" s="25" t="n">
        <v>34.7274545454545</v>
      </c>
      <c r="T205" s="22" t="n">
        <v>9.48991020408163</v>
      </c>
      <c r="U205" s="23" t="n">
        <v>7</v>
      </c>
      <c r="V205" s="27" t="n">
        <v>2.37714285714286</v>
      </c>
      <c r="W205" s="27" t="n">
        <v>0.0221466970556829</v>
      </c>
      <c r="X205" s="27" t="n">
        <v>0.0083706646815462</v>
      </c>
      <c r="Y205" s="27" t="n">
        <v>-0.587142857142857</v>
      </c>
      <c r="Z205" s="27" t="n">
        <v>0.039880774697543</v>
      </c>
      <c r="AA205" s="27" t="n">
        <v>0.0150735159917566</v>
      </c>
      <c r="AB205" s="27" t="n">
        <v>0.190623866666667</v>
      </c>
      <c r="AC205" s="27" t="n">
        <v>0.227295543483026</v>
      </c>
      <c r="AD205" s="27" t="n">
        <v>0.209494044535276</v>
      </c>
      <c r="AE205" s="28" t="n">
        <v>0.636571428571429</v>
      </c>
      <c r="AF205" s="28" t="n">
        <v>0.0125827870764885</v>
      </c>
      <c r="AG205" s="61" t="n">
        <f aca="false">AF205*SQRT(U205)</f>
        <v>0.033290925404466</v>
      </c>
      <c r="AH205" s="29" t="n">
        <v>26.909346147017</v>
      </c>
      <c r="AI205" s="27" t="n">
        <v>0.845391489817126</v>
      </c>
      <c r="AJ205" s="27" t="n">
        <f aca="false">VLOOKUP(B205,proft,2,0)</f>
        <v>18.0365409022331</v>
      </c>
      <c r="AK205" s="27" t="n">
        <f aca="false">VLOOKUP(B205,proft,3,0)</f>
        <v>5.9172954559326</v>
      </c>
      <c r="AL205" s="27" t="s">
        <v>72</v>
      </c>
      <c r="BB205" s="30" t="n">
        <v>19.2096</v>
      </c>
      <c r="BC205" s="30" t="n">
        <v>2.106</v>
      </c>
      <c r="BD205" s="30" t="n">
        <v>0.02358</v>
      </c>
      <c r="BE205" s="31" t="n">
        <v>19.2096</v>
      </c>
      <c r="BF205" s="31" t="n">
        <v>2.106</v>
      </c>
      <c r="BG205" s="31" t="n">
        <v>0.02358</v>
      </c>
      <c r="BH205" s="14" t="n">
        <f aca="false">10^6/((BB205+273.15)^2)</f>
        <v>11.6994455886348</v>
      </c>
      <c r="BI205" s="14" t="n">
        <f aca="false">BH205*(2*($BF205/($BE205+273.15)))</f>
        <v>0.168552921878843</v>
      </c>
      <c r="BJ205" s="14" t="n">
        <f aca="false">BH205*(2*($BG205/($BE205+273.15)))</f>
        <v>0.00188721647573747</v>
      </c>
      <c r="BL205" s="14" t="n">
        <f aca="false">10^6/((AH205+273.15)^2)</f>
        <v>11.1067164043085</v>
      </c>
      <c r="BM205" s="14" t="n">
        <f aca="false">BL205*(2*($AI205/($AH205+273.15)))</f>
        <v>0.0625844430349069</v>
      </c>
      <c r="BN205" s="14" t="n">
        <f aca="false">10^6/((AJ205+273.15)^2)</f>
        <v>11.7938990288786</v>
      </c>
      <c r="BO205" s="14" t="n">
        <f aca="false">BN205*(2*($AK205/($AJ205+273.15)))</f>
        <v>0.479335239294201</v>
      </c>
    </row>
    <row r="206" s="14" customFormat="true" ht="16" hidden="false" customHeight="false" outlineLevel="0" collapsed="false">
      <c r="A206" s="22" t="s">
        <v>67</v>
      </c>
      <c r="B206" s="23" t="s">
        <v>219</v>
      </c>
      <c r="C206" s="14" t="s">
        <v>53</v>
      </c>
      <c r="D206" s="23" t="s">
        <v>218</v>
      </c>
      <c r="E206" s="24" t="s">
        <v>215</v>
      </c>
      <c r="F206" s="22" t="n">
        <v>7</v>
      </c>
      <c r="G206" s="22" t="n">
        <v>-161</v>
      </c>
      <c r="H206" s="22" t="s">
        <v>56</v>
      </c>
      <c r="I206" s="22" t="s">
        <v>208</v>
      </c>
      <c r="J206" s="22" t="n">
        <v>2855</v>
      </c>
      <c r="K206" s="25" t="s">
        <v>67</v>
      </c>
      <c r="L206" s="22" t="s">
        <v>68</v>
      </c>
      <c r="M206" s="22" t="s">
        <v>69</v>
      </c>
      <c r="N206" s="22" t="s">
        <v>70</v>
      </c>
      <c r="O206" s="22" t="s">
        <v>71</v>
      </c>
      <c r="P206" s="22" t="s">
        <v>71</v>
      </c>
      <c r="Q206" s="22" t="n">
        <v>5</v>
      </c>
      <c r="R206" s="25" t="s">
        <v>62</v>
      </c>
      <c r="S206" s="25" t="n">
        <v>34.7274545454545</v>
      </c>
      <c r="T206" s="22" t="n">
        <v>9.48991020408163</v>
      </c>
      <c r="U206" s="23" t="n">
        <v>3</v>
      </c>
      <c r="V206" s="27" t="n">
        <v>2.48333333333333</v>
      </c>
      <c r="W206" s="27" t="n">
        <v>0.00577350269189639</v>
      </c>
      <c r="X206" s="27" t="n">
        <v>0.00333333333333341</v>
      </c>
      <c r="Y206" s="27" t="n">
        <v>-1.64333333333333</v>
      </c>
      <c r="Z206" s="27" t="n">
        <v>0.086216781042517</v>
      </c>
      <c r="AA206" s="27" t="n">
        <v>0.0497772817435602</v>
      </c>
      <c r="AB206" s="27" t="n">
        <v>0.190623866666667</v>
      </c>
      <c r="AC206" s="27" t="n">
        <v>0.227295543483026</v>
      </c>
      <c r="AD206" s="27" t="n">
        <v>0.209494044535276</v>
      </c>
      <c r="AE206" s="28" t="n">
        <v>0.614666666666667</v>
      </c>
      <c r="AF206" s="28" t="n">
        <v>0.0141931125706959</v>
      </c>
      <c r="AG206" s="61" t="n">
        <f aca="false">AF206*SQRT(U206)</f>
        <v>0.0245831920899897</v>
      </c>
      <c r="AH206" s="29" t="n">
        <v>26.909346147017</v>
      </c>
      <c r="AI206" s="27" t="n">
        <v>0.845391489817126</v>
      </c>
      <c r="AJ206" s="27" t="n">
        <f aca="false">VLOOKUP(B206,proft,2,0)</f>
        <v>23.3980996127621</v>
      </c>
      <c r="AK206" s="27" t="n">
        <f aca="false">VLOOKUP(B206,proft,3,0)</f>
        <v>1.103048324585</v>
      </c>
      <c r="AL206" s="27" t="s">
        <v>72</v>
      </c>
      <c r="BB206" s="30" t="n">
        <v>24.4149</v>
      </c>
      <c r="BC206" s="30" t="n">
        <v>2.121</v>
      </c>
      <c r="BD206" s="30" t="n">
        <v>0.02121</v>
      </c>
      <c r="BE206" s="31" t="n">
        <v>24.4149</v>
      </c>
      <c r="BF206" s="31" t="n">
        <v>2.121</v>
      </c>
      <c r="BG206" s="31" t="n">
        <v>0.02121</v>
      </c>
      <c r="BH206" s="14" t="n">
        <f aca="false">10^6/((BB206+273.15)^2)</f>
        <v>11.2937090906845</v>
      </c>
      <c r="BI206" s="14" t="n">
        <f aca="false">BH206*(2*($BF206/($BE206+273.15)))</f>
        <v>0.160999882589256</v>
      </c>
      <c r="BJ206" s="14" t="n">
        <f aca="false">BH206*(2*($BG206/($BE206+273.15)))</f>
        <v>0.00160999882589256</v>
      </c>
      <c r="BL206" s="14" t="n">
        <f aca="false">10^6/((AH206+273.15)^2)</f>
        <v>11.1067164043085</v>
      </c>
      <c r="BM206" s="14" t="n">
        <f aca="false">BL206*(2*($AI206/($AH206+273.15)))</f>
        <v>0.0625844430349069</v>
      </c>
      <c r="BN206" s="14" t="n">
        <f aca="false">10^6/((AJ206+273.15)^2)</f>
        <v>11.3712893209561</v>
      </c>
      <c r="BO206" s="14" t="n">
        <f aca="false">BN206*(2*($AK206/($AJ206+273.15)))</f>
        <v>0.084593910062016</v>
      </c>
    </row>
    <row r="207" s="14" customFormat="true" ht="16" hidden="false" customHeight="false" outlineLevel="0" collapsed="false">
      <c r="A207" s="22" t="s">
        <v>64</v>
      </c>
      <c r="B207" s="23" t="s">
        <v>65</v>
      </c>
      <c r="C207" s="14" t="s">
        <v>53</v>
      </c>
      <c r="D207" s="23" t="s">
        <v>66</v>
      </c>
      <c r="E207" s="24" t="s">
        <v>55</v>
      </c>
      <c r="F207" s="22" t="n">
        <v>8.02</v>
      </c>
      <c r="G207" s="22" t="n">
        <v>113.39</v>
      </c>
      <c r="H207" s="22" t="s">
        <v>56</v>
      </c>
      <c r="I207" s="22" t="s">
        <v>57</v>
      </c>
      <c r="J207" s="22" t="n">
        <v>1911</v>
      </c>
      <c r="K207" s="25" t="s">
        <v>67</v>
      </c>
      <c r="L207" s="22" t="s">
        <v>68</v>
      </c>
      <c r="M207" s="22" t="s">
        <v>69</v>
      </c>
      <c r="N207" s="22" t="s">
        <v>70</v>
      </c>
      <c r="O207" s="22" t="s">
        <v>71</v>
      </c>
      <c r="P207" s="22" t="s">
        <v>71</v>
      </c>
      <c r="Q207" s="22" t="n">
        <v>5</v>
      </c>
      <c r="R207" s="25" t="s">
        <v>62</v>
      </c>
      <c r="S207" s="25" t="n">
        <v>34.012</v>
      </c>
      <c r="T207" s="22" t="n">
        <v>3.70164634146341</v>
      </c>
      <c r="U207" s="23" t="n">
        <v>3</v>
      </c>
      <c r="V207" s="27" t="n">
        <v>1.8</v>
      </c>
      <c r="W207" s="27" t="n">
        <v>0.0264575131106459</v>
      </c>
      <c r="X207" s="27" t="n">
        <v>0.0152752523165195</v>
      </c>
      <c r="Y207" s="27" t="n">
        <v>-2.63333333333333</v>
      </c>
      <c r="Z207" s="27" t="n">
        <v>0.0351188458428424</v>
      </c>
      <c r="AA207" s="27" t="n">
        <v>0.020275875100994</v>
      </c>
      <c r="AB207" s="27" t="n">
        <v>-0.028038901</v>
      </c>
      <c r="AC207" s="27" t="n">
        <v>0.287766640256039</v>
      </c>
      <c r="AD207" s="27" t="n">
        <v>0.232958965803171</v>
      </c>
      <c r="AE207" s="28" t="n">
        <v>0.588333333333333</v>
      </c>
      <c r="AF207" s="28" t="n">
        <v>0.00721880260923591</v>
      </c>
      <c r="AG207" s="61" t="n">
        <f aca="false">AF207*SQRT(U207)</f>
        <v>0.0125033328890074</v>
      </c>
      <c r="AH207" s="29" t="n">
        <v>23.787389235063</v>
      </c>
      <c r="AI207" s="27" t="n">
        <v>2.19824880198661</v>
      </c>
      <c r="AJ207" s="27" t="n">
        <f aca="false">VLOOKUP(B207,proft,2,0)</f>
        <v>28.4411743013211</v>
      </c>
      <c r="AK207" s="27" t="n">
        <f aca="false">VLOOKUP(B207,proft,3,0)</f>
        <v>0.4600009918213</v>
      </c>
      <c r="AL207" s="27" t="s">
        <v>72</v>
      </c>
      <c r="BB207" s="30" t="n">
        <v>28.2231</v>
      </c>
      <c r="BC207" s="30" t="n">
        <v>2.118</v>
      </c>
      <c r="BD207" s="30" t="n">
        <v>0.02118</v>
      </c>
      <c r="BE207" s="31" t="n">
        <v>28.2231</v>
      </c>
      <c r="BF207" s="31" t="n">
        <v>2.118</v>
      </c>
      <c r="BG207" s="31" t="n">
        <v>0.02118</v>
      </c>
      <c r="BH207" s="14" t="n">
        <f aca="false">10^6/((BB207+273.15)^2)</f>
        <v>11.0100940604034</v>
      </c>
      <c r="BI207" s="14" t="n">
        <f aca="false">BH207*(2*($BF207/($BE207+273.15)))</f>
        <v>0.154754218076759</v>
      </c>
      <c r="BJ207" s="14" t="n">
        <f aca="false">BH207*(2*($BG207/($BE207+273.15)))</f>
        <v>0.00154754218076759</v>
      </c>
      <c r="BL207" s="14" t="n">
        <f aca="false">10^6/((AH207+273.15)^2)</f>
        <v>11.3414929845434</v>
      </c>
      <c r="BM207" s="14" t="n">
        <f aca="false">BL207*(2*($AI207/($AH207+273.15)))</f>
        <v>0.167923772955892</v>
      </c>
      <c r="BN207" s="14" t="n">
        <f aca="false">10^6/((AJ207+273.15)^2)</f>
        <v>10.994177477221</v>
      </c>
      <c r="BO207" s="14" t="n">
        <f aca="false">BN207*(2*($AK207/($AJ207+273.15)))</f>
        <v>0.0335376693664667</v>
      </c>
    </row>
    <row r="208" s="14" customFormat="true" ht="16" hidden="false" customHeight="false" outlineLevel="0" collapsed="false">
      <c r="A208" s="22" t="s">
        <v>67</v>
      </c>
      <c r="B208" s="23" t="s">
        <v>220</v>
      </c>
      <c r="C208" s="14" t="s">
        <v>53</v>
      </c>
      <c r="D208" s="23" t="s">
        <v>221</v>
      </c>
      <c r="E208" s="24" t="s">
        <v>222</v>
      </c>
      <c r="F208" s="22" t="n">
        <v>-2.18</v>
      </c>
      <c r="G208" s="22" t="n">
        <v>157</v>
      </c>
      <c r="H208" s="22" t="s">
        <v>56</v>
      </c>
      <c r="I208" s="22" t="s">
        <v>57</v>
      </c>
      <c r="J208" s="22" t="n">
        <v>1614</v>
      </c>
      <c r="K208" s="25" t="s">
        <v>67</v>
      </c>
      <c r="L208" s="22" t="s">
        <v>68</v>
      </c>
      <c r="M208" s="22" t="s">
        <v>69</v>
      </c>
      <c r="N208" s="22" t="s">
        <v>70</v>
      </c>
      <c r="O208" s="22" t="s">
        <v>71</v>
      </c>
      <c r="P208" s="22" t="s">
        <v>71</v>
      </c>
      <c r="Q208" s="22" t="n">
        <v>5</v>
      </c>
      <c r="R208" s="25" t="s">
        <v>62</v>
      </c>
      <c r="S208" s="25" t="n">
        <v>35.1515454545455</v>
      </c>
      <c r="T208" s="22" t="n">
        <v>11.0624545454545</v>
      </c>
      <c r="U208" s="23" t="n">
        <v>20</v>
      </c>
      <c r="V208" s="27" t="n">
        <v>2.2775</v>
      </c>
      <c r="W208" s="27" t="n">
        <v>0.045868806049657</v>
      </c>
      <c r="X208" s="27" t="n">
        <v>0.0102565768373787</v>
      </c>
      <c r="Y208" s="27" t="n">
        <v>-1.938</v>
      </c>
      <c r="Z208" s="27" t="n">
        <v>0.0743108690782035</v>
      </c>
      <c r="AA208" s="27" t="n">
        <v>0.016616415472595</v>
      </c>
      <c r="AB208" s="27" t="n">
        <v>0.2775805</v>
      </c>
      <c r="AC208" s="27" t="n">
        <v>0.213740658863378</v>
      </c>
      <c r="AD208" s="27" t="n">
        <v>0.204682737630177</v>
      </c>
      <c r="AE208" s="28" t="n">
        <v>0.59585</v>
      </c>
      <c r="AF208" s="28" t="n">
        <v>0.00547062730935811</v>
      </c>
      <c r="AG208" s="61" t="n">
        <f aca="false">AF208*SQRT(U208)</f>
        <v>0.024465389086583</v>
      </c>
      <c r="AH208" s="29" t="n">
        <v>28.5023571361195</v>
      </c>
      <c r="AI208" s="27" t="n">
        <v>0.555061269892677</v>
      </c>
      <c r="AJ208" s="27" t="n">
        <f aca="false">VLOOKUP(B208,proft,2,0)</f>
        <v>25.9747604476677</v>
      </c>
      <c r="AK208" s="27" t="n">
        <f aca="false">VLOOKUP(B208,proft,3,0)</f>
        <v>1.6231651306152</v>
      </c>
      <c r="AL208" s="27" t="s">
        <v>72</v>
      </c>
      <c r="AN208" s="33"/>
      <c r="BB208" s="47" t="n">
        <v>26.3125</v>
      </c>
      <c r="BC208" s="47" t="n">
        <v>2.094</v>
      </c>
      <c r="BD208" s="47" t="n">
        <v>0.02094</v>
      </c>
      <c r="BE208" s="31" t="n">
        <v>26.3125</v>
      </c>
      <c r="BF208" s="31" t="n">
        <v>2.094</v>
      </c>
      <c r="BG208" s="31" t="n">
        <v>0.02094</v>
      </c>
      <c r="BH208" s="14" t="n">
        <f aca="false">10^6/((BB208+273.15)^2)</f>
        <v>11.1510331844311</v>
      </c>
      <c r="BI208" s="14" t="n">
        <f aca="false">BH208*(2*($BF208/($BE208+273.15)))</f>
        <v>0.155947829783019</v>
      </c>
      <c r="BJ208" s="14" t="n">
        <f aca="false">BH208*(2*($BG208/($BE208+273.15)))</f>
        <v>0.00155947829783019</v>
      </c>
      <c r="BL208" s="14" t="n">
        <f aca="false">10^6/((AH208+273.15)^2)</f>
        <v>10.9897181271607</v>
      </c>
      <c r="BM208" s="14" t="n">
        <f aca="false">BL208*(2*($AI208/($AH208+273.15)))</f>
        <v>0.0404436879415585</v>
      </c>
      <c r="BN208" s="14" t="n">
        <f aca="false">10^6/((AJ208+273.15)^2)</f>
        <v>11.1762284983416</v>
      </c>
      <c r="BO208" s="14" t="n">
        <f aca="false">BN208*(2*($AK208/($AJ208+273.15)))</f>
        <v>0.121292963933488</v>
      </c>
    </row>
    <row r="209" s="14" customFormat="true" ht="16" hidden="false" customHeight="false" outlineLevel="0" collapsed="false">
      <c r="A209" s="22" t="s">
        <v>67</v>
      </c>
      <c r="B209" s="40" t="s">
        <v>239</v>
      </c>
      <c r="C209" s="14" t="s">
        <v>53</v>
      </c>
      <c r="D209" s="36" t="s">
        <v>240</v>
      </c>
      <c r="E209" s="24" t="s">
        <v>241</v>
      </c>
      <c r="F209" s="22" t="n">
        <v>-2.18</v>
      </c>
      <c r="G209" s="22" t="n">
        <v>157</v>
      </c>
      <c r="H209" s="22" t="s">
        <v>56</v>
      </c>
      <c r="I209" s="22" t="s">
        <v>57</v>
      </c>
      <c r="J209" s="22" t="n">
        <v>1616</v>
      </c>
      <c r="K209" s="25" t="s">
        <v>67</v>
      </c>
      <c r="L209" s="22" t="s">
        <v>68</v>
      </c>
      <c r="M209" s="22" t="s">
        <v>69</v>
      </c>
      <c r="N209" s="22" t="s">
        <v>70</v>
      </c>
      <c r="O209" s="22" t="s">
        <v>71</v>
      </c>
      <c r="P209" s="22" t="s">
        <v>71</v>
      </c>
      <c r="Q209" s="22" t="n">
        <v>5</v>
      </c>
      <c r="R209" s="25" t="s">
        <v>62</v>
      </c>
      <c r="S209" s="25" t="n">
        <v>35.1515454545455</v>
      </c>
      <c r="T209" s="22" t="n">
        <v>8.82750197628458</v>
      </c>
      <c r="U209" s="40" t="n">
        <v>9</v>
      </c>
      <c r="V209" s="42" t="n">
        <v>2.23111111111111</v>
      </c>
      <c r="W209" s="42" t="n">
        <v>0.110390720221906</v>
      </c>
      <c r="X209" s="42" t="n">
        <v>0.0367969067406353</v>
      </c>
      <c r="Y209" s="42" t="n">
        <v>-1.98444444444444</v>
      </c>
      <c r="Z209" s="42" t="n">
        <v>0.117272237881682</v>
      </c>
      <c r="AA209" s="42" t="n">
        <v>0.0390907459605606</v>
      </c>
      <c r="AB209" s="27" t="n">
        <v>0.2775805</v>
      </c>
      <c r="AC209" s="27" t="n">
        <v>0.213740658863378</v>
      </c>
      <c r="AD209" s="27" t="n">
        <v>0.204682737630177</v>
      </c>
      <c r="AE209" s="43" t="n">
        <v>0.590555555555556</v>
      </c>
      <c r="AF209" s="43" t="n">
        <v>0.00729556773952346</v>
      </c>
      <c r="AG209" s="61" t="n">
        <f aca="false">AF209*SQRT(U209)</f>
        <v>0.0218867032185704</v>
      </c>
      <c r="AH209" s="29" t="n">
        <v>28.5023571361195</v>
      </c>
      <c r="AI209" s="27" t="n">
        <v>0.555061269892677</v>
      </c>
      <c r="AJ209" s="27" t="n">
        <f aca="false">VLOOKUP(B209,proft,2,0)</f>
        <v>26.1914700620286</v>
      </c>
      <c r="AK209" s="27" t="n">
        <f aca="false">VLOOKUP(B209,proft,3,0)</f>
        <v>1.6231651306152</v>
      </c>
      <c r="AL209" s="27" t="s">
        <v>72</v>
      </c>
      <c r="BB209" s="30" t="n">
        <v>26.5066</v>
      </c>
      <c r="BC209" s="30" t="n">
        <v>2.093</v>
      </c>
      <c r="BD209" s="30" t="n">
        <v>0.02093</v>
      </c>
      <c r="BE209" s="31" t="n">
        <v>26.5066</v>
      </c>
      <c r="BF209" s="31" t="n">
        <v>2.093</v>
      </c>
      <c r="BG209" s="31" t="n">
        <v>0.02093</v>
      </c>
      <c r="BH209" s="14" t="n">
        <f aca="false">10^6/((BB209+273.15)^2)</f>
        <v>11.1365918902946</v>
      </c>
      <c r="BI209" s="14" t="n">
        <f aca="false">BH209*(2*($BF209/($BE209+273.15)))</f>
        <v>0.155570655386109</v>
      </c>
      <c r="BJ209" s="14" t="n">
        <f aca="false">BH209*(2*($BG209/($BE209+273.15)))</f>
        <v>0.00155570655386109</v>
      </c>
      <c r="BL209" s="14" t="n">
        <f aca="false">10^6/((AH209+273.15)^2)</f>
        <v>10.9897181271607</v>
      </c>
      <c r="BM209" s="14" t="n">
        <f aca="false">BL209*(2*($AI209/($AH209+273.15)))</f>
        <v>0.0404436879415585</v>
      </c>
      <c r="BN209" s="14" t="n">
        <f aca="false">10^6/((AJ209+273.15)^2)</f>
        <v>11.1600521933356</v>
      </c>
      <c r="BO209" s="14" t="n">
        <f aca="false">BN209*(2*($AK209/($AJ209+273.15)))</f>
        <v>0.121029722826673</v>
      </c>
    </row>
    <row r="210" s="14" customFormat="true" ht="16" hidden="false" customHeight="false" outlineLevel="0" collapsed="false">
      <c r="A210" s="22" t="s">
        <v>67</v>
      </c>
      <c r="B210" s="40" t="s">
        <v>246</v>
      </c>
      <c r="C210" s="14" t="s">
        <v>53</v>
      </c>
      <c r="D210" s="36" t="s">
        <v>247</v>
      </c>
      <c r="E210" s="24" t="s">
        <v>248</v>
      </c>
      <c r="F210" s="22" t="n">
        <v>-0.997</v>
      </c>
      <c r="G210" s="22" t="n">
        <v>157.8</v>
      </c>
      <c r="H210" s="22" t="s">
        <v>56</v>
      </c>
      <c r="I210" s="22" t="s">
        <v>57</v>
      </c>
      <c r="J210" s="22" t="n">
        <v>2015</v>
      </c>
      <c r="K210" s="25" t="s">
        <v>67</v>
      </c>
      <c r="L210" s="22" t="s">
        <v>68</v>
      </c>
      <c r="M210" s="22" t="s">
        <v>69</v>
      </c>
      <c r="N210" s="22" t="s">
        <v>70</v>
      </c>
      <c r="O210" s="22" t="s">
        <v>71</v>
      </c>
      <c r="P210" s="22" t="s">
        <v>71</v>
      </c>
      <c r="Q210" s="22" t="n">
        <v>5</v>
      </c>
      <c r="R210" s="25" t="s">
        <v>62</v>
      </c>
      <c r="S210" s="25" t="n">
        <v>34.9866363636364</v>
      </c>
      <c r="T210" s="22" t="n">
        <v>4.35245945945946</v>
      </c>
      <c r="U210" s="40" t="n">
        <v>4</v>
      </c>
      <c r="V210" s="42" t="n">
        <v>2.095</v>
      </c>
      <c r="W210" s="42" t="n">
        <v>0.00577350269189639</v>
      </c>
      <c r="X210" s="42" t="n">
        <v>0.0028867513459482</v>
      </c>
      <c r="Y210" s="42" t="n">
        <v>-1.6825</v>
      </c>
      <c r="Z210" s="42" t="n">
        <v>0.005</v>
      </c>
      <c r="AA210" s="42" t="n">
        <v>0.0025</v>
      </c>
      <c r="AB210" s="27" t="n">
        <v>0.26352636</v>
      </c>
      <c r="AC210" s="27" t="n">
        <v>0.215443282976278</v>
      </c>
      <c r="AD210" s="27" t="n">
        <v>0.205276892821701</v>
      </c>
      <c r="AE210" s="43" t="n">
        <v>0.57475</v>
      </c>
      <c r="AF210" s="43" t="n">
        <v>0.0046075119822597</v>
      </c>
      <c r="AG210" s="61" t="n">
        <f aca="false">AF210*SQRT(U210)</f>
        <v>0.0092150239645194</v>
      </c>
      <c r="AH210" s="29" t="n">
        <v>28.3114140250466</v>
      </c>
      <c r="AI210" s="27" t="n">
        <v>0.677832230716473</v>
      </c>
      <c r="AJ210" s="27" t="n">
        <f aca="false">VLOOKUP(B210,proft,2,0)</f>
        <v>24.5675959118338</v>
      </c>
      <c r="AK210" s="27" t="n">
        <f aca="false">VLOOKUP(B210,proft,3,0)</f>
        <v>2.4502220153809</v>
      </c>
      <c r="AL210" s="27" t="s">
        <v>72</v>
      </c>
      <c r="BB210" s="30" t="n">
        <v>24.9624</v>
      </c>
      <c r="BC210" s="30" t="n">
        <v>2.093</v>
      </c>
      <c r="BD210" s="30" t="n">
        <v>0.02093</v>
      </c>
      <c r="BE210" s="31" t="n">
        <v>24.9624</v>
      </c>
      <c r="BF210" s="31" t="n">
        <v>2.093</v>
      </c>
      <c r="BG210" s="31" t="n">
        <v>0.02093</v>
      </c>
      <c r="BH210" s="14" t="n">
        <f aca="false">10^6/((BB210+273.15)^2)</f>
        <v>11.2522641341195</v>
      </c>
      <c r="BI210" s="14" t="n">
        <f aca="false">BH210*(2*($BF210/($BE210+273.15)))</f>
        <v>0.158000732829041</v>
      </c>
      <c r="BJ210" s="14" t="n">
        <f aca="false">BH210*(2*($BG210/($BE210+273.15)))</f>
        <v>0.00158000732829041</v>
      </c>
      <c r="BL210" s="14" t="n">
        <f aca="false">10^6/((AH210+273.15)^2)</f>
        <v>11.0036441251773</v>
      </c>
      <c r="BM210" s="14" t="n">
        <f aca="false">BL210*(2*($AI210/($AH210+273.15)))</f>
        <v>0.049483113236903</v>
      </c>
      <c r="BN210" s="14" t="n">
        <f aca="false">10^6/((AJ210+273.15)^2)</f>
        <v>11.2821272359847</v>
      </c>
      <c r="BO210" s="14" t="n">
        <f aca="false">BN210*(2*($AK210/($AJ210+273.15)))</f>
        <v>0.185704284285062</v>
      </c>
    </row>
    <row r="211" s="14" customFormat="true" ht="16" hidden="false" customHeight="false" outlineLevel="0" collapsed="false">
      <c r="A211" s="22" t="s">
        <v>67</v>
      </c>
      <c r="B211" s="23" t="s">
        <v>255</v>
      </c>
      <c r="C211" s="14" t="s">
        <v>53</v>
      </c>
      <c r="D211" s="23" t="s">
        <v>256</v>
      </c>
      <c r="E211" s="24" t="s">
        <v>257</v>
      </c>
      <c r="F211" s="22" t="n">
        <v>-1</v>
      </c>
      <c r="G211" s="22" t="n">
        <v>157.8</v>
      </c>
      <c r="H211" s="22" t="s">
        <v>56</v>
      </c>
      <c r="I211" s="22" t="s">
        <v>57</v>
      </c>
      <c r="J211" s="22" t="n">
        <v>2016</v>
      </c>
      <c r="K211" s="25" t="s">
        <v>67</v>
      </c>
      <c r="L211" s="22" t="s">
        <v>68</v>
      </c>
      <c r="M211" s="22" t="s">
        <v>69</v>
      </c>
      <c r="N211" s="22" t="s">
        <v>70</v>
      </c>
      <c r="O211" s="22" t="s">
        <v>71</v>
      </c>
      <c r="P211" s="22" t="s">
        <v>71</v>
      </c>
      <c r="Q211" s="22" t="n">
        <v>5</v>
      </c>
      <c r="R211" s="25" t="s">
        <v>62</v>
      </c>
      <c r="S211" s="25" t="n">
        <v>35.0413636363636</v>
      </c>
      <c r="T211" s="22" t="n">
        <v>4.33191554054054</v>
      </c>
      <c r="U211" s="23" t="n">
        <v>20</v>
      </c>
      <c r="V211" s="27" t="n">
        <v>2.159</v>
      </c>
      <c r="W211" s="27" t="n">
        <v>0.048763662053235</v>
      </c>
      <c r="X211" s="27" t="n">
        <v>0.010903886318286</v>
      </c>
      <c r="Y211" s="27" t="n">
        <v>-1.944</v>
      </c>
      <c r="Z211" s="27" t="n">
        <v>0.0363318042491699</v>
      </c>
      <c r="AA211" s="27" t="n">
        <v>0.00812403840463596</v>
      </c>
      <c r="AB211" s="27" t="n">
        <v>0.26352636</v>
      </c>
      <c r="AC211" s="27" t="n">
        <v>0.215443282976278</v>
      </c>
      <c r="AD211" s="27" t="n">
        <v>0.205276892821701</v>
      </c>
      <c r="AE211" s="28" t="n">
        <v>0.5961</v>
      </c>
      <c r="AF211" s="28" t="n">
        <v>0.00565587724127929</v>
      </c>
      <c r="AG211" s="61" t="n">
        <f aca="false">AF211*SQRT(U211)</f>
        <v>0.0252938519677889</v>
      </c>
      <c r="AH211" s="29" t="n">
        <v>28.3114140250466</v>
      </c>
      <c r="AI211" s="27" t="n">
        <v>0.677832230716473</v>
      </c>
      <c r="AJ211" s="27" t="n">
        <f aca="false">VLOOKUP(B211,proft,2,0)</f>
        <v>25.8197384872171</v>
      </c>
      <c r="AK211" s="27" t="n">
        <f aca="false">VLOOKUP(B211,proft,3,0)</f>
        <v>2.4502220153809</v>
      </c>
      <c r="AL211" s="27" t="s">
        <v>72</v>
      </c>
      <c r="AN211" s="33"/>
      <c r="BB211" s="47" t="n">
        <v>26.2777</v>
      </c>
      <c r="BC211" s="47" t="n">
        <v>2.112</v>
      </c>
      <c r="BD211" s="47" t="n">
        <v>0.02127</v>
      </c>
      <c r="BE211" s="31" t="n">
        <v>26.2777</v>
      </c>
      <c r="BF211" s="31" t="n">
        <v>2.112</v>
      </c>
      <c r="BG211" s="31" t="n">
        <v>0.02127</v>
      </c>
      <c r="BH211" s="14" t="n">
        <f aca="false">10^6/((BB211+273.15)^2)</f>
        <v>11.1536253193944</v>
      </c>
      <c r="BI211" s="14" t="n">
        <f aca="false">BH211*(2*($BF211/($BE211+273.15)))</f>
        <v>0.157343202880435</v>
      </c>
      <c r="BJ211" s="14" t="n">
        <f aca="false">BH211*(2*($BG211/($BE211+273.15)))</f>
        <v>0.00158460697219075</v>
      </c>
      <c r="BL211" s="14" t="n">
        <f aca="false">10^6/((AH211+273.15)^2)</f>
        <v>11.0036441251773</v>
      </c>
      <c r="BM211" s="14" t="n">
        <f aca="false">BL211*(2*($AI211/($AH211+273.15)))</f>
        <v>0.049483113236903</v>
      </c>
      <c r="BN211" s="14" t="n">
        <f aca="false">10^6/((AJ211+273.15)^2)</f>
        <v>11.1878217120578</v>
      </c>
      <c r="BO211" s="14" t="n">
        <f aca="false">BN211*(2*($AK211/($AJ211+273.15)))</f>
        <v>0.18338074750808</v>
      </c>
    </row>
    <row r="212" s="14" customFormat="true" ht="16" hidden="false" customHeight="false" outlineLevel="0" collapsed="false">
      <c r="A212" s="22" t="s">
        <v>67</v>
      </c>
      <c r="B212" s="40" t="s">
        <v>262</v>
      </c>
      <c r="C212" s="14" t="s">
        <v>53</v>
      </c>
      <c r="D212" s="36" t="s">
        <v>263</v>
      </c>
      <c r="E212" s="24" t="s">
        <v>264</v>
      </c>
      <c r="F212" s="22" t="n">
        <v>0</v>
      </c>
      <c r="G212" s="22" t="n">
        <v>159</v>
      </c>
      <c r="H212" s="22" t="s">
        <v>56</v>
      </c>
      <c r="I212" s="22" t="s">
        <v>57</v>
      </c>
      <c r="J212" s="22" t="n">
        <v>2445</v>
      </c>
      <c r="K212" s="25" t="s">
        <v>67</v>
      </c>
      <c r="L212" s="22" t="s">
        <v>68</v>
      </c>
      <c r="M212" s="22" t="s">
        <v>69</v>
      </c>
      <c r="N212" s="22" t="s">
        <v>70</v>
      </c>
      <c r="O212" s="22" t="s">
        <v>71</v>
      </c>
      <c r="P212" s="22" t="s">
        <v>71</v>
      </c>
      <c r="Q212" s="22" t="n">
        <v>5</v>
      </c>
      <c r="R212" s="25" t="s">
        <v>62</v>
      </c>
      <c r="S212" s="25" t="n">
        <v>35.051</v>
      </c>
      <c r="T212" s="22" t="n">
        <v>2.9821677852349</v>
      </c>
      <c r="U212" s="40" t="n">
        <v>4</v>
      </c>
      <c r="V212" s="42" t="n">
        <v>2.145</v>
      </c>
      <c r="W212" s="42" t="n">
        <v>0.0310912635102962</v>
      </c>
      <c r="X212" s="42" t="n">
        <v>0.0155456317551481</v>
      </c>
      <c r="Y212" s="42" t="n">
        <v>-1.8425</v>
      </c>
      <c r="Z212" s="42" t="n">
        <v>0.0442530601578391</v>
      </c>
      <c r="AA212" s="42" t="n">
        <v>0.0221265300789196</v>
      </c>
      <c r="AB212" s="27" t="n">
        <v>0.25110605</v>
      </c>
      <c r="AC212" s="27" t="n">
        <v>0.217360999299297</v>
      </c>
      <c r="AD212" s="27" t="n">
        <v>0.205949673477437</v>
      </c>
      <c r="AE212" s="43" t="n">
        <v>0.5685</v>
      </c>
      <c r="AF212" s="43" t="n">
        <v>0.00981919888110361</v>
      </c>
      <c r="AG212" s="61" t="n">
        <f aca="false">AF212*SQRT(U212)</f>
        <v>0.0196383977622072</v>
      </c>
      <c r="AH212" s="29" t="n">
        <v>28.4809353568337</v>
      </c>
      <c r="AI212" s="27" t="n">
        <v>0.523423315129924</v>
      </c>
      <c r="AJ212" s="27" t="n">
        <f aca="false">VLOOKUP(B212,proft,2,0)</f>
        <v>25.1690582055729</v>
      </c>
      <c r="AK212" s="27" t="n">
        <f aca="false">VLOOKUP(B212,proft,3,0)</f>
        <v>2.0996971130371</v>
      </c>
      <c r="AL212" s="27" t="s">
        <v>72</v>
      </c>
      <c r="BB212" s="30" t="n">
        <v>25.6921</v>
      </c>
      <c r="BC212" s="30" t="n">
        <v>2.125</v>
      </c>
      <c r="BD212" s="30" t="n">
        <v>0.02093</v>
      </c>
      <c r="BE212" s="31" t="n">
        <v>25.6921</v>
      </c>
      <c r="BF212" s="31" t="n">
        <v>2.125</v>
      </c>
      <c r="BG212" s="31" t="n">
        <v>0.02093</v>
      </c>
      <c r="BH212" s="14" t="n">
        <f aca="false">10^6/((BB212+273.15)^2)</f>
        <v>11.1973806168741</v>
      </c>
      <c r="BI212" s="14" t="n">
        <f aca="false">BH212*(2*($BF212/($BE212+273.15)))</f>
        <v>0.159244188224199</v>
      </c>
      <c r="BJ212" s="14" t="n">
        <f aca="false">BH212*(2*($BG212/($BE212+273.15)))</f>
        <v>0.00156846158095646</v>
      </c>
      <c r="BL212" s="14" t="n">
        <f aca="false">10^6/((AH212+273.15)^2)</f>
        <v>10.9912791585289</v>
      </c>
      <c r="BM212" s="14" t="n">
        <f aca="false">BL212*(2*($AI212/($AH212+273.15)))</f>
        <v>0.0381465632354297</v>
      </c>
      <c r="BN212" s="14" t="n">
        <f aca="false">10^6/((AJ212+273.15)^2)</f>
        <v>11.2366796971972</v>
      </c>
      <c r="BO212" s="14" t="n">
        <f aca="false">BN212*(2*($AK212/($AJ212+273.15)))</f>
        <v>0.158177114544717</v>
      </c>
    </row>
    <row r="213" s="14" customFormat="true" ht="16" hidden="false" customHeight="false" outlineLevel="0" collapsed="false">
      <c r="A213" s="22" t="s">
        <v>67</v>
      </c>
      <c r="B213" s="40" t="s">
        <v>274</v>
      </c>
      <c r="C213" s="14" t="s">
        <v>53</v>
      </c>
      <c r="D213" s="36" t="s">
        <v>275</v>
      </c>
      <c r="E213" s="24" t="s">
        <v>276</v>
      </c>
      <c r="F213" s="22" t="n">
        <v>0</v>
      </c>
      <c r="G213" s="22" t="n">
        <v>160.45</v>
      </c>
      <c r="H213" s="22" t="s">
        <v>56</v>
      </c>
      <c r="I213" s="22" t="s">
        <v>57</v>
      </c>
      <c r="J213" s="22" t="n">
        <v>2965</v>
      </c>
      <c r="K213" s="25" t="s">
        <v>67</v>
      </c>
      <c r="L213" s="22" t="s">
        <v>68</v>
      </c>
      <c r="M213" s="22" t="s">
        <v>69</v>
      </c>
      <c r="N213" s="22" t="s">
        <v>70</v>
      </c>
      <c r="O213" s="22" t="s">
        <v>71</v>
      </c>
      <c r="P213" s="22" t="s">
        <v>71</v>
      </c>
      <c r="Q213" s="22" t="n">
        <v>5</v>
      </c>
      <c r="R213" s="25" t="s">
        <v>62</v>
      </c>
      <c r="S213" s="25" t="n">
        <v>35.0238181818182</v>
      </c>
      <c r="T213" s="22" t="n">
        <v>-4.38908806262231</v>
      </c>
      <c r="U213" s="40" t="n">
        <v>7</v>
      </c>
      <c r="V213" s="42" t="n">
        <v>2.00142857142857</v>
      </c>
      <c r="W213" s="42" t="n">
        <v>0.170237928737847</v>
      </c>
      <c r="X213" s="42" t="n">
        <v>0.0643438890215829</v>
      </c>
      <c r="Y213" s="42" t="n">
        <v>-1.91285714285714</v>
      </c>
      <c r="Z213" s="42" t="n">
        <v>0.438699376403867</v>
      </c>
      <c r="AA213" s="42" t="n">
        <v>0.165812778611964</v>
      </c>
      <c r="AB213" s="27" t="n">
        <v>0.2599651</v>
      </c>
      <c r="AC213" s="27" t="n">
        <v>0.217985310503257</v>
      </c>
      <c r="AD213" s="27" t="n">
        <v>0.206169505985731</v>
      </c>
      <c r="AE213" s="43" t="n">
        <v>0.600285714285714</v>
      </c>
      <c r="AF213" s="43" t="n">
        <v>0.00827708910678342</v>
      </c>
      <c r="AG213" s="61" t="n">
        <f aca="false">AF213*SQRT(U213)</f>
        <v>0.0218991193560707</v>
      </c>
      <c r="AH213" s="29" t="n">
        <v>28.5219873948531</v>
      </c>
      <c r="AI213" s="27" t="n">
        <v>0.558640890038323</v>
      </c>
      <c r="AJ213" s="27" t="n">
        <f aca="false">VLOOKUP(B213,proft,2,0)</f>
        <v>25.4822998897927</v>
      </c>
      <c r="AK213" s="27" t="n">
        <f aca="false">VLOOKUP(B213,proft,3,0)</f>
        <v>2.3940334320069</v>
      </c>
      <c r="AL213" s="27" t="s">
        <v>72</v>
      </c>
      <c r="BB213" s="30" t="n">
        <v>26.1065</v>
      </c>
      <c r="BC213" s="30" t="n">
        <v>2.079</v>
      </c>
      <c r="BD213" s="30" t="n">
        <v>0.02079</v>
      </c>
      <c r="BE213" s="31" t="n">
        <v>26.1065</v>
      </c>
      <c r="BF213" s="31" t="n">
        <v>2.079</v>
      </c>
      <c r="BG213" s="31" t="n">
        <v>0.02079</v>
      </c>
      <c r="BH213" s="14" t="n">
        <f aca="false">10^6/((BB213+273.15)^2)</f>
        <v>11.1663906017026</v>
      </c>
      <c r="BI213" s="14" t="n">
        <f aca="false">BH213*(2*($BF213/($BE213+273.15)))</f>
        <v>0.155150688863498</v>
      </c>
      <c r="BJ213" s="14" t="n">
        <f aca="false">BH213*(2*($BG213/($BE213+273.15)))</f>
        <v>0.00155150688863498</v>
      </c>
      <c r="BL213" s="14" t="n">
        <f aca="false">10^6/((AH213+273.15)^2)</f>
        <v>10.9882879380793</v>
      </c>
      <c r="BM213" s="14" t="n">
        <f aca="false">BL213*(2*($AI213/($AH213+273.15)))</f>
        <v>0.0406965658743209</v>
      </c>
      <c r="BN213" s="14" t="n">
        <f aca="false">10^6/((AJ213+273.15)^2)</f>
        <v>11.2131192820612</v>
      </c>
      <c r="BO213" s="14" t="n">
        <f aca="false">BN213*(2*($AK213/($AJ213+273.15)))</f>
        <v>0.179783516037899</v>
      </c>
    </row>
    <row r="214" s="14" customFormat="true" ht="16" hidden="false" customHeight="false" outlineLevel="0" collapsed="false">
      <c r="A214" s="22" t="s">
        <v>67</v>
      </c>
      <c r="B214" s="40" t="s">
        <v>283</v>
      </c>
      <c r="C214" s="14" t="s">
        <v>53</v>
      </c>
      <c r="D214" s="36" t="s">
        <v>284</v>
      </c>
      <c r="E214" s="24" t="s">
        <v>285</v>
      </c>
      <c r="F214" s="22" t="n">
        <v>0</v>
      </c>
      <c r="G214" s="22" t="n">
        <v>0</v>
      </c>
      <c r="H214" s="22" t="s">
        <v>56</v>
      </c>
      <c r="I214" s="22" t="s">
        <v>57</v>
      </c>
      <c r="J214" s="22" t="n">
        <v>3160</v>
      </c>
      <c r="K214" s="25" t="s">
        <v>67</v>
      </c>
      <c r="L214" s="22" t="s">
        <v>68</v>
      </c>
      <c r="M214" s="22" t="s">
        <v>69</v>
      </c>
      <c r="N214" s="22" t="s">
        <v>70</v>
      </c>
      <c r="O214" s="22" t="s">
        <v>71</v>
      </c>
      <c r="P214" s="22" t="s">
        <v>71</v>
      </c>
      <c r="Q214" s="22" t="n">
        <v>5</v>
      </c>
      <c r="R214" s="25" t="s">
        <v>62</v>
      </c>
      <c r="S214" s="25" t="n">
        <v>35.7684545454545</v>
      </c>
      <c r="T214" s="22" t="n">
        <v>-6.75776591576885</v>
      </c>
      <c r="U214" s="40" t="n">
        <v>6</v>
      </c>
      <c r="V214" s="42" t="n">
        <v>2.33166666666667</v>
      </c>
      <c r="W214" s="42" t="n">
        <v>0.0172240142436851</v>
      </c>
      <c r="X214" s="42" t="n">
        <v>0.00703167436990968</v>
      </c>
      <c r="Y214" s="42" t="n">
        <v>-1.80833333333333</v>
      </c>
      <c r="Z214" s="42" t="n">
        <v>0.0331159578853861</v>
      </c>
      <c r="AA214" s="42" t="n">
        <v>0.0135195331937822</v>
      </c>
      <c r="AB214" s="27" t="n">
        <v>0.2775805</v>
      </c>
      <c r="AC214" s="27" t="n">
        <v>0.213740658863378</v>
      </c>
      <c r="AD214" s="27" t="n">
        <v>0.204682737630177</v>
      </c>
      <c r="AE214" s="43" t="n">
        <v>0.582833333333333</v>
      </c>
      <c r="AF214" s="43" t="n">
        <v>0.0119203374299742</v>
      </c>
      <c r="AG214" s="61" t="n">
        <f aca="false">AF214*SQRT(U214)</f>
        <v>0.0291987442652362</v>
      </c>
      <c r="AH214" s="29" t="n">
        <v>28.4809353568337</v>
      </c>
      <c r="AI214" s="27" t="n">
        <v>0.523423315129924</v>
      </c>
      <c r="AJ214" s="27" t="n">
        <f aca="false">VLOOKUP(B214,proft,2,0)</f>
        <v>25.2489244722307</v>
      </c>
      <c r="AK214" s="27" t="n">
        <f aca="false">VLOOKUP(B214,proft,3,0)</f>
        <v>2.0996971130371</v>
      </c>
      <c r="AL214" s="27" t="s">
        <v>72</v>
      </c>
      <c r="BB214" s="30" t="n">
        <v>25.6523</v>
      </c>
      <c r="BC214" s="30" t="n">
        <v>2.054</v>
      </c>
      <c r="BD214" s="30" t="n">
        <v>0.0194</v>
      </c>
      <c r="BE214" s="31" t="n">
        <v>25.6523</v>
      </c>
      <c r="BF214" s="31" t="n">
        <v>2.054</v>
      </c>
      <c r="BG214" s="31" t="n">
        <v>0.0194</v>
      </c>
      <c r="BH214" s="14" t="n">
        <f aca="false">10^6/((BB214+273.15)^2)</f>
        <v>11.2003637627794</v>
      </c>
      <c r="BI214" s="14" t="n">
        <f aca="false">BH214*(2*($BF214/($BE214+273.15)))</f>
        <v>0.153985074202902</v>
      </c>
      <c r="BJ214" s="14" t="n">
        <f aca="false">BH214*(2*($BG214/($BE214+273.15)))</f>
        <v>0.0014543867767947</v>
      </c>
      <c r="BL214" s="14" t="n">
        <f aca="false">10^6/((AH214+273.15)^2)</f>
        <v>10.9912791585289</v>
      </c>
      <c r="BM214" s="14" t="n">
        <f aca="false">BL214*(2*($AI214/($AH214+273.15)))</f>
        <v>0.0381465632354297</v>
      </c>
      <c r="BN214" s="14" t="n">
        <f aca="false">10^6/((AJ214+273.15)^2)</f>
        <v>11.2306655229829</v>
      </c>
      <c r="BO214" s="14" t="n">
        <f aca="false">BN214*(2*($AK214/($AJ214+273.15)))</f>
        <v>0.158050140547922</v>
      </c>
    </row>
    <row r="215" s="14" customFormat="true" ht="16" hidden="false" customHeight="false" outlineLevel="0" collapsed="false">
      <c r="A215" s="22" t="s">
        <v>139</v>
      </c>
      <c r="B215" s="40" t="s">
        <v>288</v>
      </c>
      <c r="C215" s="14" t="s">
        <v>53</v>
      </c>
      <c r="D215" s="36" t="s">
        <v>289</v>
      </c>
      <c r="E215" s="24" t="s">
        <v>285</v>
      </c>
      <c r="F215" s="22" t="n">
        <v>0</v>
      </c>
      <c r="G215" s="22" t="n">
        <v>0</v>
      </c>
      <c r="H215" s="22" t="s">
        <v>56</v>
      </c>
      <c r="I215" s="22" t="s">
        <v>57</v>
      </c>
      <c r="J215" s="22" t="n">
        <v>3160</v>
      </c>
      <c r="K215" s="25" t="s">
        <v>139</v>
      </c>
      <c r="L215" s="22" t="s">
        <v>144</v>
      </c>
      <c r="M215" s="22" t="s">
        <v>145</v>
      </c>
      <c r="N215" s="22" t="s">
        <v>146</v>
      </c>
      <c r="O215" s="22" t="s">
        <v>71</v>
      </c>
      <c r="P215" s="22" t="s">
        <v>71</v>
      </c>
      <c r="Q215" s="22" t="n">
        <v>5</v>
      </c>
      <c r="R215" s="25" t="s">
        <v>62</v>
      </c>
      <c r="S215" s="25" t="n">
        <v>35.6075</v>
      </c>
      <c r="T215" s="22" t="n">
        <v>-6.75776591576885</v>
      </c>
      <c r="U215" s="40" t="n">
        <v>15</v>
      </c>
      <c r="V215" s="42" t="n">
        <v>1.41333333333333</v>
      </c>
      <c r="W215" s="42" t="n">
        <v>0.0468533680244877</v>
      </c>
      <c r="X215" s="42" t="n">
        <v>0.0120974876048379</v>
      </c>
      <c r="Y215" s="42" t="n">
        <v>-1.27733333333333</v>
      </c>
      <c r="Z215" s="42" t="n">
        <v>0.069741017513437</v>
      </c>
      <c r="AA215" s="42" t="n">
        <v>0.0180070532918068</v>
      </c>
      <c r="AB215" s="27" t="n">
        <v>0.328630955</v>
      </c>
      <c r="AC215" s="27" t="n">
        <v>0.204401488845292</v>
      </c>
      <c r="AD215" s="27" t="n">
        <v>0.202212720472986</v>
      </c>
      <c r="AE215" s="43" t="n">
        <v>0.612866666666667</v>
      </c>
      <c r="AF215" s="43" t="n">
        <v>0.00815204716717666</v>
      </c>
      <c r="AG215" s="61" t="n">
        <f aca="false">AF215*SQRT(U215)</f>
        <v>0.0315727429159726</v>
      </c>
      <c r="AH215" s="29" t="n">
        <v>26.4055786132812</v>
      </c>
      <c r="AI215" s="27" t="n">
        <v>1.55532255988676</v>
      </c>
      <c r="AJ215" s="27" t="n">
        <f aca="false">VLOOKUP(B215,proft,2,0)</f>
        <v>22.7154740842455</v>
      </c>
      <c r="AK215" s="27" t="n">
        <f aca="false">VLOOKUP(B215,proft,3,0)</f>
        <v>2.4602336883545</v>
      </c>
      <c r="AL215" s="27" t="s">
        <v>63</v>
      </c>
      <c r="BB215" s="30" t="n">
        <v>22.4856</v>
      </c>
      <c r="BC215" s="30" t="n">
        <v>2.225</v>
      </c>
      <c r="BD215" s="30" t="n">
        <v>0.02278</v>
      </c>
      <c r="BE215" s="31" t="n">
        <v>22.4856</v>
      </c>
      <c r="BF215" s="31" t="n">
        <v>2.225</v>
      </c>
      <c r="BG215" s="31" t="n">
        <v>0.02278</v>
      </c>
      <c r="BH215" s="14" t="n">
        <f aca="false">10^6/((BB215+273.15)^2)</f>
        <v>11.4415941873478</v>
      </c>
      <c r="BI215" s="14" t="n">
        <f aca="false">BH215*(2*($BF215/($BE215+273.15)))</f>
        <v>0.172222472982609</v>
      </c>
      <c r="BJ215" s="14" t="n">
        <f aca="false">BH215*(2*($BG215/($BE215+273.15)))</f>
        <v>0.00176324850990734</v>
      </c>
      <c r="BL215" s="14" t="n">
        <f aca="false">10^6/((AH215+273.15)^2)</f>
        <v>11.1441045105778</v>
      </c>
      <c r="BM215" s="14" t="n">
        <f aca="false">BL215*(2*($AI215/($AH215+273.15)))</f>
        <v>0.115722613047468</v>
      </c>
      <c r="BN215" s="14" t="n">
        <f aca="false">10^6/((AJ215+273.15)^2)</f>
        <v>11.4238218923557</v>
      </c>
      <c r="BO215" s="14" t="n">
        <f aca="false">BN215*(2*($AK215/($AJ215+273.15)))</f>
        <v>0.189986828009086</v>
      </c>
    </row>
    <row r="216" s="14" customFormat="true" ht="16" hidden="false" customHeight="false" outlineLevel="0" collapsed="false">
      <c r="A216" s="22" t="s">
        <v>223</v>
      </c>
      <c r="B216" s="40" t="s">
        <v>296</v>
      </c>
      <c r="C216" s="14" t="s">
        <v>53</v>
      </c>
      <c r="D216" s="36" t="s">
        <v>297</v>
      </c>
      <c r="E216" s="24" t="s">
        <v>298</v>
      </c>
      <c r="F216" s="22" t="n">
        <v>0</v>
      </c>
      <c r="G216" s="22" t="n">
        <v>161.4</v>
      </c>
      <c r="H216" s="22" t="s">
        <v>56</v>
      </c>
      <c r="I216" s="22" t="s">
        <v>57</v>
      </c>
      <c r="J216" s="22" t="n">
        <v>3711</v>
      </c>
      <c r="K216" s="25" t="s">
        <v>223</v>
      </c>
      <c r="L216" s="22" t="s">
        <v>226</v>
      </c>
      <c r="M216" s="22" t="s">
        <v>227</v>
      </c>
      <c r="N216" s="22" t="s">
        <v>228</v>
      </c>
      <c r="O216" s="22" t="s">
        <v>71</v>
      </c>
      <c r="P216" s="22" t="s">
        <v>71</v>
      </c>
      <c r="Q216" s="22" t="n">
        <v>5</v>
      </c>
      <c r="R216" s="25" t="s">
        <v>62</v>
      </c>
      <c r="S216" s="25" t="n">
        <v>34.848347826087</v>
      </c>
      <c r="T216" s="22" t="n">
        <v>-13.1332380952381</v>
      </c>
      <c r="U216" s="40" t="n">
        <v>3</v>
      </c>
      <c r="V216" s="42" t="n">
        <v>1.95</v>
      </c>
      <c r="W216" s="42" t="n">
        <v>0.0608276253029822</v>
      </c>
      <c r="X216" s="42" t="n">
        <v>0.0351188458428425</v>
      </c>
      <c r="Y216" s="42" t="n">
        <v>-1.14</v>
      </c>
      <c r="Z216" s="42" t="n">
        <v>0.0781024967590665</v>
      </c>
      <c r="AA216" s="42" t="n">
        <v>0.0450924975282289</v>
      </c>
      <c r="AB216" s="27" t="n">
        <v>0.294041146666667</v>
      </c>
      <c r="AC216" s="27" t="n">
        <v>0.20629586948273</v>
      </c>
      <c r="AD216" s="27" t="n">
        <v>0.20629586948273</v>
      </c>
      <c r="AE216" s="43" t="n">
        <v>0.592333333333333</v>
      </c>
      <c r="AF216" s="43" t="n">
        <v>0.00581186525805424</v>
      </c>
      <c r="AG216" s="61" t="n">
        <f aca="false">AF216*SQRT(U216)</f>
        <v>0.0100664459136943</v>
      </c>
      <c r="AH216" s="29" t="n">
        <v>28.4552112247633</v>
      </c>
      <c r="AI216" s="27" t="n">
        <v>1.58360494441914</v>
      </c>
      <c r="AJ216" s="27" t="n">
        <f aca="false">VLOOKUP(B216,proft,2,0)</f>
        <v>21.7223700971703</v>
      </c>
      <c r="AK216" s="27" t="n">
        <f aca="false">VLOOKUP(B216,proft,3,0)</f>
        <v>2.9044647216797</v>
      </c>
      <c r="AL216" s="27" t="s">
        <v>63</v>
      </c>
      <c r="BB216" s="47" t="n">
        <v>21.7808</v>
      </c>
      <c r="BC216" s="47" t="n">
        <v>2.224</v>
      </c>
      <c r="BD216" s="47" t="n">
        <v>0.02224</v>
      </c>
      <c r="BE216" s="31" t="n">
        <v>21.7808</v>
      </c>
      <c r="BF216" s="31" t="n">
        <v>2.224</v>
      </c>
      <c r="BG216" s="31" t="n">
        <v>0.02224</v>
      </c>
      <c r="BH216" s="14" t="n">
        <f aca="false">10^6/((BB216+273.15)^2)</f>
        <v>11.4963437825004</v>
      </c>
      <c r="BI216" s="14" t="n">
        <f aca="false">BH216*(2*($BF216/($BE216+273.15)))</f>
        <v>0.173382153184957</v>
      </c>
      <c r="BJ216" s="14" t="n">
        <f aca="false">BH216*(2*($BG216/($BE216+273.15)))</f>
        <v>0.00173382153184957</v>
      </c>
      <c r="BL216" s="14" t="n">
        <f aca="false">10^6/((AH216+273.15)^2)</f>
        <v>10.9931541471814</v>
      </c>
      <c r="BM216" s="14" t="n">
        <f aca="false">BL216*(2*($AI216/($AH216+273.15)))</f>
        <v>0.115441064108569</v>
      </c>
      <c r="BN216" s="14" t="n">
        <f aca="false">10^6/((AJ216+273.15)^2)</f>
        <v>11.5009003084485</v>
      </c>
      <c r="BO216" s="14" t="n">
        <f aca="false">BN216*(2*($AK216/($AJ216+273.15)))</f>
        <v>0.226565542254339</v>
      </c>
    </row>
    <row r="217" s="14" customFormat="true" ht="16" hidden="false" customHeight="false" outlineLevel="0" collapsed="false">
      <c r="A217" s="22" t="s">
        <v>154</v>
      </c>
      <c r="B217" s="23" t="s">
        <v>330</v>
      </c>
      <c r="C217" s="14" t="s">
        <v>53</v>
      </c>
      <c r="D217" s="23" t="s">
        <v>331</v>
      </c>
      <c r="E217" s="24" t="s">
        <v>332</v>
      </c>
      <c r="F217" s="22" t="n">
        <v>-5</v>
      </c>
      <c r="G217" s="22" t="n">
        <v>167</v>
      </c>
      <c r="H217" s="22" t="s">
        <v>56</v>
      </c>
      <c r="I217" s="22" t="s">
        <v>57</v>
      </c>
      <c r="J217" s="22" t="n">
        <v>2992</v>
      </c>
      <c r="K217" s="25" t="s">
        <v>154</v>
      </c>
      <c r="L217" s="22" t="s">
        <v>160</v>
      </c>
      <c r="M217" s="22" t="s">
        <v>161</v>
      </c>
      <c r="N217" s="22" t="s">
        <v>162</v>
      </c>
      <c r="O217" s="22" t="s">
        <v>71</v>
      </c>
      <c r="P217" s="22" t="s">
        <v>71</v>
      </c>
      <c r="Q217" s="22" t="n">
        <v>5</v>
      </c>
      <c r="R217" s="25" t="s">
        <v>62</v>
      </c>
      <c r="S217" s="25" t="n">
        <v>35.0386363636364</v>
      </c>
      <c r="T217" s="22" t="n">
        <v>-2.67144827586207</v>
      </c>
      <c r="U217" s="23" t="n">
        <v>4</v>
      </c>
      <c r="V217" s="27" t="n">
        <v>1.6225</v>
      </c>
      <c r="W217" s="27" t="n">
        <v>0.035939764421413</v>
      </c>
      <c r="X217" s="27" t="n">
        <v>0.0179698822107065</v>
      </c>
      <c r="Y217" s="27" t="n">
        <v>-2.1275</v>
      </c>
      <c r="Z217" s="27" t="n">
        <v>0.0403112887414928</v>
      </c>
      <c r="AA217" s="27" t="n">
        <v>0.0201556443707464</v>
      </c>
      <c r="AB217" s="27" t="n">
        <v>0.367883384</v>
      </c>
      <c r="AC217" s="27" t="n">
        <v>0.200947702587641</v>
      </c>
      <c r="AD217" s="27" t="n">
        <v>0.200189899433139</v>
      </c>
      <c r="AE217" s="28" t="n">
        <v>0.5965</v>
      </c>
      <c r="AF217" s="28" t="n">
        <v>0.00403112887414928</v>
      </c>
      <c r="AG217" s="61" t="n">
        <f aca="false">AF217*SQRT(U217)</f>
        <v>0.00806225774829856</v>
      </c>
      <c r="AH217" s="29" t="n">
        <v>29.5769797238437</v>
      </c>
      <c r="AI217" s="27" t="n">
        <v>0.025905385019413</v>
      </c>
      <c r="AJ217" s="27" t="n">
        <f aca="false">VLOOKUP(B217,proft,2,0)</f>
        <v>27.1636787473558</v>
      </c>
      <c r="AK217" s="27" t="n">
        <f aca="false">VLOOKUP(B217,proft,3,0)</f>
        <v>1.738712310791</v>
      </c>
      <c r="AL217" s="27" t="s">
        <v>163</v>
      </c>
      <c r="BB217" s="30" t="n">
        <v>26.479</v>
      </c>
      <c r="BC217" s="30" t="n">
        <v>1.909</v>
      </c>
      <c r="BD217" s="30" t="n">
        <v>0.01909</v>
      </c>
      <c r="BE217" s="31" t="n">
        <v>26.479</v>
      </c>
      <c r="BF217" s="31" t="n">
        <v>1.909</v>
      </c>
      <c r="BG217" s="31" t="n">
        <v>0.01909</v>
      </c>
      <c r="BH217" s="14" t="n">
        <f aca="false">10^6/((BB217+273.15)^2)</f>
        <v>11.1386436549282</v>
      </c>
      <c r="BI217" s="14" t="n">
        <f aca="false">BH217*(2*($BF217/($BE217+273.15)))</f>
        <v>0.141933329132079</v>
      </c>
      <c r="BJ217" s="14" t="n">
        <f aca="false">BH217*(2*($BG217/($BE217+273.15)))</f>
        <v>0.00141933329132079</v>
      </c>
      <c r="BL217" s="14" t="n">
        <f aca="false">10^6/((AH217+273.15)^2)</f>
        <v>10.9118338362782</v>
      </c>
      <c r="BM217" s="14" t="n">
        <f aca="false">BL217*(2*($AI217/($AH217+273.15)))</f>
        <v>0.00186752602661652</v>
      </c>
      <c r="BN217" s="14" t="n">
        <f aca="false">10^6/((AJ217+273.15)^2)</f>
        <v>11.0879120399593</v>
      </c>
      <c r="BO217" s="14" t="n">
        <f aca="false">BN217*(2*($AK217/($AJ217+273.15)))</f>
        <v>0.128390350018412</v>
      </c>
    </row>
    <row r="218" s="14" customFormat="true" ht="16" hidden="false" customHeight="false" outlineLevel="0" collapsed="false">
      <c r="A218" s="22" t="s">
        <v>67</v>
      </c>
      <c r="B218" s="23" t="s">
        <v>333</v>
      </c>
      <c r="C218" s="14" t="s">
        <v>53</v>
      </c>
      <c r="D218" s="23" t="s">
        <v>334</v>
      </c>
      <c r="E218" s="24" t="s">
        <v>332</v>
      </c>
      <c r="F218" s="22" t="n">
        <v>-5</v>
      </c>
      <c r="G218" s="22" t="n">
        <v>167</v>
      </c>
      <c r="H218" s="22" t="s">
        <v>56</v>
      </c>
      <c r="I218" s="22" t="s">
        <v>57</v>
      </c>
      <c r="J218" s="22" t="n">
        <v>2992</v>
      </c>
      <c r="K218" s="25" t="s">
        <v>67</v>
      </c>
      <c r="L218" s="22" t="s">
        <v>68</v>
      </c>
      <c r="M218" s="22" t="s">
        <v>69</v>
      </c>
      <c r="N218" s="22" t="s">
        <v>70</v>
      </c>
      <c r="O218" s="22" t="s">
        <v>71</v>
      </c>
      <c r="P218" s="22" t="s">
        <v>71</v>
      </c>
      <c r="Q218" s="22" t="n">
        <v>5</v>
      </c>
      <c r="R218" s="25" t="s">
        <v>62</v>
      </c>
      <c r="S218" s="25" t="n">
        <v>35.3935454545455</v>
      </c>
      <c r="T218" s="22" t="n">
        <v>-2.67144827586207</v>
      </c>
      <c r="U218" s="23" t="n">
        <v>4</v>
      </c>
      <c r="V218" s="27" t="n">
        <v>2.495</v>
      </c>
      <c r="W218" s="27" t="n">
        <v>0.0369684550213647</v>
      </c>
      <c r="X218" s="27" t="n">
        <v>0.0184842275106823</v>
      </c>
      <c r="Y218" s="27" t="n">
        <v>-1.8575</v>
      </c>
      <c r="Z218" s="27" t="n">
        <v>0.0776208734813001</v>
      </c>
      <c r="AA218" s="27" t="n">
        <v>0.03881043674065</v>
      </c>
      <c r="AB218" s="27" t="n">
        <v>0.350910633333333</v>
      </c>
      <c r="AC218" s="27" t="n">
        <v>0.208126621095687</v>
      </c>
      <c r="AD218" s="27" t="n">
        <v>0.202745070148621</v>
      </c>
      <c r="AE218" s="28" t="n">
        <v>0.581</v>
      </c>
      <c r="AF218" s="28" t="n">
        <v>0.0149833240637717</v>
      </c>
      <c r="AG218" s="61" t="n">
        <f aca="false">AF218*SQRT(U218)</f>
        <v>0.0299666481275434</v>
      </c>
      <c r="AH218" s="29" t="n">
        <v>29.2287835207852</v>
      </c>
      <c r="AI218" s="27" t="n">
        <v>0.275518206927353</v>
      </c>
      <c r="AJ218" s="27" t="n">
        <f aca="false">VLOOKUP(B218,proft,2,0)</f>
        <v>25.971392199857</v>
      </c>
      <c r="AK218" s="27" t="n">
        <f aca="false">VLOOKUP(B218,proft,3,0)</f>
        <v>2.3740291595459</v>
      </c>
      <c r="AL218" s="27" t="s">
        <v>72</v>
      </c>
      <c r="BB218" s="30" t="n">
        <v>26.251</v>
      </c>
      <c r="BC218" s="30" t="n">
        <v>2.122</v>
      </c>
      <c r="BD218" s="30" t="n">
        <v>0.02122</v>
      </c>
      <c r="BE218" s="31" t="n">
        <v>26.251</v>
      </c>
      <c r="BF218" s="31" t="n">
        <v>2.122</v>
      </c>
      <c r="BG218" s="31" t="n">
        <v>0.02122</v>
      </c>
      <c r="BH218" s="14" t="n">
        <f aca="false">10^6/((BB218+273.15)^2)</f>
        <v>11.1556147254066</v>
      </c>
      <c r="BI218" s="14" t="n">
        <f aca="false">BH218*(2*($BF218/($BE218+273.15)))</f>
        <v>0.158130496874177</v>
      </c>
      <c r="BJ218" s="14" t="n">
        <f aca="false">BH218*(2*($BG218/($BE218+273.15)))</f>
        <v>0.00158130496874177</v>
      </c>
      <c r="BL218" s="14" t="n">
        <f aca="false">10^6/((AH218+273.15)^2)</f>
        <v>10.9369787664132</v>
      </c>
      <c r="BM218" s="14" t="n">
        <f aca="false">BL218*(2*($AI218/($AH218+273.15)))</f>
        <v>0.0199308744075132</v>
      </c>
      <c r="BN218" s="14" t="n">
        <f aca="false">10^6/((AJ218+273.15)^2)</f>
        <v>11.1764801989562</v>
      </c>
      <c r="BO218" s="14" t="n">
        <f aca="false">BN218*(2*($AK218/($AJ218+273.15)))</f>
        <v>0.177408173305647</v>
      </c>
    </row>
    <row r="219" s="14" customFormat="true" ht="16" hidden="false" customHeight="false" outlineLevel="0" collapsed="false">
      <c r="A219" s="22" t="s">
        <v>67</v>
      </c>
      <c r="B219" s="23" t="s">
        <v>335</v>
      </c>
      <c r="C219" s="14" t="s">
        <v>53</v>
      </c>
      <c r="D219" s="23" t="s">
        <v>334</v>
      </c>
      <c r="E219" s="24" t="s">
        <v>332</v>
      </c>
      <c r="F219" s="22" t="n">
        <v>-5</v>
      </c>
      <c r="G219" s="22" t="n">
        <v>167</v>
      </c>
      <c r="H219" s="22" t="s">
        <v>56</v>
      </c>
      <c r="I219" s="22" t="s">
        <v>57</v>
      </c>
      <c r="J219" s="22" t="n">
        <v>2992</v>
      </c>
      <c r="K219" s="25" t="s">
        <v>67</v>
      </c>
      <c r="L219" s="22" t="s">
        <v>68</v>
      </c>
      <c r="M219" s="22" t="s">
        <v>69</v>
      </c>
      <c r="N219" s="22" t="s">
        <v>70</v>
      </c>
      <c r="O219" s="22" t="s">
        <v>71</v>
      </c>
      <c r="P219" s="22" t="s">
        <v>71</v>
      </c>
      <c r="Q219" s="22" t="n">
        <v>5</v>
      </c>
      <c r="R219" s="25" t="s">
        <v>62</v>
      </c>
      <c r="S219" s="25" t="n">
        <v>35.3935454545455</v>
      </c>
      <c r="T219" s="22" t="n">
        <v>-2.67144827586207</v>
      </c>
      <c r="U219" s="23" t="n">
        <v>4</v>
      </c>
      <c r="V219" s="27" t="n">
        <v>2.3575</v>
      </c>
      <c r="W219" s="27" t="n">
        <v>0.0221735578260834</v>
      </c>
      <c r="X219" s="27" t="n">
        <v>0.0110867789130417</v>
      </c>
      <c r="Y219" s="27" t="n">
        <v>-1.8675</v>
      </c>
      <c r="Z219" s="27" t="n">
        <v>0.0386221007541882</v>
      </c>
      <c r="AA219" s="27" t="n">
        <v>0.0193110503770941</v>
      </c>
      <c r="AB219" s="27" t="n">
        <v>0.350910633333333</v>
      </c>
      <c r="AC219" s="27" t="n">
        <v>0.208126621095687</v>
      </c>
      <c r="AD219" s="27" t="n">
        <v>0.202745070148621</v>
      </c>
      <c r="AE219" s="28" t="n">
        <v>0.57175</v>
      </c>
      <c r="AF219" s="28" t="n">
        <v>0.00766349572105749</v>
      </c>
      <c r="AG219" s="61" t="n">
        <f aca="false">AF219*SQRT(U219)</f>
        <v>0.015326991442115</v>
      </c>
      <c r="AH219" s="29" t="n">
        <v>29.2287835207852</v>
      </c>
      <c r="AI219" s="27" t="n">
        <v>0.275518206927353</v>
      </c>
      <c r="AJ219" s="27" t="n">
        <f aca="false">VLOOKUP(B219,proft,2,0)</f>
        <v>26.0219967538247</v>
      </c>
      <c r="AK219" s="27" t="n">
        <f aca="false">VLOOKUP(B219,proft,3,0)</f>
        <v>2.3740291595459</v>
      </c>
      <c r="AL219" s="27" t="s">
        <v>72</v>
      </c>
      <c r="BB219" s="30" t="n">
        <v>26.3506</v>
      </c>
      <c r="BC219" s="30" t="n">
        <v>2.1</v>
      </c>
      <c r="BD219" s="30" t="n">
        <v>0.02137</v>
      </c>
      <c r="BE219" s="31" t="n">
        <v>26.3506</v>
      </c>
      <c r="BF219" s="31" t="n">
        <v>2.1</v>
      </c>
      <c r="BG219" s="31" t="n">
        <v>0.02137</v>
      </c>
      <c r="BH219" s="14" t="n">
        <f aca="false">10^6/((BB219+273.15)^2)</f>
        <v>11.1481962796563</v>
      </c>
      <c r="BI219" s="14" t="n">
        <f aca="false">BH219*(2*($BF219/($BE219+273.15)))</f>
        <v>0.156334993567815</v>
      </c>
      <c r="BJ219" s="14" t="n">
        <f aca="false">BH219*(2*($BG219/($BE219+273.15)))</f>
        <v>0.0015908946726401</v>
      </c>
      <c r="BL219" s="14" t="n">
        <f aca="false">10^6/((AH219+273.15)^2)</f>
        <v>10.9369787664132</v>
      </c>
      <c r="BM219" s="14" t="n">
        <f aca="false">BL219*(2*($AI219/($AH219+273.15)))</f>
        <v>0.0199308744075132</v>
      </c>
      <c r="BN219" s="14" t="n">
        <f aca="false">10^6/((AJ219+273.15)^2)</f>
        <v>11.172699544564</v>
      </c>
      <c r="BO219" s="14" t="n">
        <f aca="false">BN219*(2*($AK219/($AJ219+273.15)))</f>
        <v>0.177318163447402</v>
      </c>
    </row>
    <row r="220" s="14" customFormat="true" ht="16" hidden="false" customHeight="false" outlineLevel="0" collapsed="false">
      <c r="A220" s="22" t="s">
        <v>85</v>
      </c>
      <c r="B220" s="23" t="s">
        <v>86</v>
      </c>
      <c r="C220" s="14" t="s">
        <v>53</v>
      </c>
      <c r="D220" s="23" t="s">
        <v>87</v>
      </c>
      <c r="E220" s="24" t="s">
        <v>88</v>
      </c>
      <c r="F220" s="22" t="n">
        <v>52.92</v>
      </c>
      <c r="G220" s="22" t="n">
        <v>-16.92</v>
      </c>
      <c r="H220" s="22" t="s">
        <v>78</v>
      </c>
      <c r="I220" s="22" t="s">
        <v>79</v>
      </c>
      <c r="J220" s="22" t="n">
        <v>3569</v>
      </c>
      <c r="K220" s="25" t="s">
        <v>85</v>
      </c>
      <c r="L220" s="22" t="s">
        <v>89</v>
      </c>
      <c r="M220" s="22" t="s">
        <v>90</v>
      </c>
      <c r="N220" s="22" t="s">
        <v>91</v>
      </c>
      <c r="O220" s="22" t="s">
        <v>92</v>
      </c>
      <c r="P220" s="22" t="s">
        <v>92</v>
      </c>
      <c r="Q220" s="22" t="n">
        <v>4</v>
      </c>
      <c r="R220" s="25" t="s">
        <v>62</v>
      </c>
      <c r="S220" s="25" t="n">
        <v>35.4877894736842</v>
      </c>
      <c r="T220" s="22" t="n">
        <v>23.1977172131148</v>
      </c>
      <c r="U220" s="23" t="n">
        <v>8</v>
      </c>
      <c r="V220" s="27" t="n">
        <v>1.9225</v>
      </c>
      <c r="W220" s="27" t="n">
        <v>0.0237546987833084</v>
      </c>
      <c r="X220" s="27" t="n">
        <v>0.00839855429736061</v>
      </c>
      <c r="Y220" s="27" t="n">
        <v>1.32625</v>
      </c>
      <c r="Z220" s="27" t="n">
        <v>0.0544944295973713</v>
      </c>
      <c r="AA220" s="27" t="n">
        <v>0.0192666903525971</v>
      </c>
      <c r="AB220" s="27" t="n">
        <v>0.510507192857143</v>
      </c>
      <c r="AC220" s="27" t="n">
        <v>0.200099119392179</v>
      </c>
      <c r="AD220" s="27" t="n">
        <v>0.200014162920503</v>
      </c>
      <c r="AE220" s="28" t="n">
        <v>0.618375</v>
      </c>
      <c r="AF220" s="28" t="n">
        <v>0.0101135296579808</v>
      </c>
      <c r="AG220" s="61" t="n">
        <f aca="false">AF220*SQRT(U220)</f>
        <v>0.028605381611558</v>
      </c>
      <c r="AH220" s="29" t="n">
        <v>11.7682</v>
      </c>
      <c r="AI220" s="27" t="n">
        <v>0.478945</v>
      </c>
      <c r="AJ220" s="27" t="n">
        <f aca="false">VLOOKUP(B220,proft,2,0)</f>
        <v>11.199460022821</v>
      </c>
      <c r="AK220" s="27" t="n">
        <f aca="false">VLOOKUP(B220,proft,3,0)</f>
        <v>0.1144056320191</v>
      </c>
      <c r="AL220" s="27" t="s">
        <v>63</v>
      </c>
      <c r="AN220" s="33"/>
      <c r="BB220" s="30" t="n">
        <v>13.0747</v>
      </c>
      <c r="BC220" s="30" t="n">
        <v>2.231</v>
      </c>
      <c r="BD220" s="30" t="n">
        <v>0.02254</v>
      </c>
      <c r="BE220" s="31" t="n">
        <v>13.0747</v>
      </c>
      <c r="BF220" s="31" t="n">
        <v>2.231</v>
      </c>
      <c r="BG220" s="31" t="n">
        <v>0.02254</v>
      </c>
      <c r="BH220" s="14" t="n">
        <f aca="false">10^6/((BB220+273.15)^2)</f>
        <v>12.206348980342</v>
      </c>
      <c r="BI220" s="14" t="n">
        <f aca="false">BH220*(2*($BF220/($BE220+273.15)))</f>
        <v>0.190286614503522</v>
      </c>
      <c r="BJ220" s="14" t="n">
        <f aca="false">BH220*(2*($BG220/($BE220+273.15)))</f>
        <v>0.00192248332178816</v>
      </c>
      <c r="BK220" s="37"/>
      <c r="BL220" s="14" t="n">
        <f aca="false">10^6/((AH220+273.15)^2)</f>
        <v>12.3185507210778</v>
      </c>
      <c r="BM220" s="14" t="n">
        <f aca="false">BL220*(2*($AI220/($AH220+273.15)))</f>
        <v>0.0414147518488225</v>
      </c>
      <c r="BN220" s="14" t="n">
        <f aca="false">10^6/((AJ220+273.15)^2)</f>
        <v>12.3678777626236</v>
      </c>
      <c r="BO220" s="14" t="n">
        <f aca="false">BN220*(2*($AK220/($AJ220+273.15)))</f>
        <v>0.00995222478744545</v>
      </c>
    </row>
    <row r="221" s="14" customFormat="true" ht="16" hidden="false" customHeight="false" outlineLevel="0" collapsed="false">
      <c r="A221" s="22" t="s">
        <v>93</v>
      </c>
      <c r="B221" s="23" t="s">
        <v>94</v>
      </c>
      <c r="C221" s="14" t="s">
        <v>53</v>
      </c>
      <c r="D221" s="23" t="s">
        <v>95</v>
      </c>
      <c r="E221" s="24" t="s">
        <v>88</v>
      </c>
      <c r="F221" s="22" t="n">
        <v>52.92</v>
      </c>
      <c r="G221" s="22" t="n">
        <v>-16.92</v>
      </c>
      <c r="H221" s="22" t="s">
        <v>78</v>
      </c>
      <c r="I221" s="22" t="s">
        <v>79</v>
      </c>
      <c r="J221" s="22" t="n">
        <v>3569</v>
      </c>
      <c r="K221" s="25" t="s">
        <v>93</v>
      </c>
      <c r="L221" s="22" t="s">
        <v>96</v>
      </c>
      <c r="M221" s="22" t="s">
        <v>97</v>
      </c>
      <c r="N221" s="22" t="s">
        <v>98</v>
      </c>
      <c r="O221" s="22" t="s">
        <v>92</v>
      </c>
      <c r="P221" s="22" t="s">
        <v>92</v>
      </c>
      <c r="Q221" s="22" t="n">
        <v>4</v>
      </c>
      <c r="R221" s="25" t="s">
        <v>62</v>
      </c>
      <c r="S221" s="25" t="n">
        <v>35.4723243243243</v>
      </c>
      <c r="T221" s="22" t="n">
        <v>23.1977172131148</v>
      </c>
      <c r="U221" s="23" t="n">
        <v>11</v>
      </c>
      <c r="V221" s="27" t="n">
        <v>1.07</v>
      </c>
      <c r="W221" s="27" t="n">
        <v>0.0289827534923789</v>
      </c>
      <c r="X221" s="27" t="n">
        <v>0.00873862897505304</v>
      </c>
      <c r="Y221" s="27" t="n">
        <v>1.62363636363636</v>
      </c>
      <c r="Z221" s="27" t="n">
        <v>0.0434218210748299</v>
      </c>
      <c r="AA221" s="27" t="n">
        <v>0.013092171656287</v>
      </c>
      <c r="AB221" s="27" t="n">
        <v>0.483471227857143</v>
      </c>
      <c r="AC221" s="27" t="n">
        <v>0.204007155084747</v>
      </c>
      <c r="AD221" s="27" t="n">
        <v>0.200288884101684</v>
      </c>
      <c r="AE221" s="28" t="n">
        <v>0.648636363636364</v>
      </c>
      <c r="AF221" s="28" t="n">
        <v>0.00773454203530292</v>
      </c>
      <c r="AG221" s="61" t="n">
        <f aca="false">AF221*SQRT(U221)</f>
        <v>0.0256525738563316</v>
      </c>
      <c r="AH221" s="29" t="n">
        <v>11.3968804591411</v>
      </c>
      <c r="AI221" s="27" t="n">
        <v>0.79889199320919</v>
      </c>
      <c r="AJ221" s="27" t="n">
        <f aca="false">VLOOKUP(B221,proft,2,0)</f>
        <v>9.35269597192829</v>
      </c>
      <c r="AK221" s="27" t="n">
        <f aca="false">VLOOKUP(B221,proft,3,0)</f>
        <v>0.281136512756349</v>
      </c>
      <c r="AL221" s="27" t="s">
        <v>63</v>
      </c>
      <c r="AN221" s="33"/>
      <c r="BB221" s="30" t="n">
        <v>11.8074</v>
      </c>
      <c r="BC221" s="30" t="n">
        <v>2.228</v>
      </c>
      <c r="BD221" s="30" t="n">
        <v>0.02228</v>
      </c>
      <c r="BE221" s="31" t="n">
        <v>11.8074</v>
      </c>
      <c r="BF221" s="31" t="n">
        <v>2.228</v>
      </c>
      <c r="BG221" s="31" t="n">
        <v>0.02228</v>
      </c>
      <c r="BH221" s="14" t="n">
        <f aca="false">10^6/((BB221+273.15)^2)</f>
        <v>12.3151617655762</v>
      </c>
      <c r="BI221" s="14" t="n">
        <f aca="false">BH221*(2*($BF221/($BE221+273.15)))</f>
        <v>0.192577419738556</v>
      </c>
      <c r="BJ221" s="14" t="n">
        <f aca="false">BH221*(2*($BG221/($BE221+273.15)))</f>
        <v>0.00192577419738556</v>
      </c>
      <c r="BK221" s="37"/>
      <c r="BL221" s="14" t="n">
        <f aca="false">10^6/((AH221+273.15)^2)</f>
        <v>12.3507218915307</v>
      </c>
      <c r="BM221" s="14" t="n">
        <f aca="false">BL221*(2*($AI221/($AH221+273.15)))</f>
        <v>0.0693516148451618</v>
      </c>
      <c r="BN221" s="14" t="n">
        <f aca="false">10^6/((AJ221+273.15)^2)</f>
        <v>12.5301077766001</v>
      </c>
      <c r="BO221" s="14" t="n">
        <f aca="false">BN221*(2*($AK221/($AJ221+273.15)))</f>
        <v>0.0249390243350075</v>
      </c>
    </row>
    <row r="222" s="14" customFormat="true" ht="16" hidden="false" customHeight="false" outlineLevel="0" collapsed="false">
      <c r="A222" s="22" t="s">
        <v>93</v>
      </c>
      <c r="B222" s="23" t="s">
        <v>99</v>
      </c>
      <c r="C222" s="14" t="s">
        <v>53</v>
      </c>
      <c r="D222" s="23" t="s">
        <v>95</v>
      </c>
      <c r="E222" s="24" t="s">
        <v>88</v>
      </c>
      <c r="F222" s="22" t="n">
        <v>52.92</v>
      </c>
      <c r="G222" s="22" t="n">
        <v>-16.92</v>
      </c>
      <c r="H222" s="22" t="s">
        <v>78</v>
      </c>
      <c r="I222" s="22" t="s">
        <v>79</v>
      </c>
      <c r="J222" s="22" t="n">
        <v>3569</v>
      </c>
      <c r="K222" s="25" t="s">
        <v>93</v>
      </c>
      <c r="L222" s="22" t="s">
        <v>96</v>
      </c>
      <c r="M222" s="22" t="s">
        <v>97</v>
      </c>
      <c r="N222" s="22" t="s">
        <v>98</v>
      </c>
      <c r="O222" s="22" t="s">
        <v>92</v>
      </c>
      <c r="P222" s="22" t="s">
        <v>92</v>
      </c>
      <c r="Q222" s="22" t="n">
        <v>4</v>
      </c>
      <c r="R222" s="25" t="s">
        <v>62</v>
      </c>
      <c r="S222" s="25" t="n">
        <v>35.4723243243243</v>
      </c>
      <c r="T222" s="22" t="n">
        <v>23.1977172131148</v>
      </c>
      <c r="U222" s="23" t="n">
        <v>6</v>
      </c>
      <c r="V222" s="27" t="n">
        <v>1.12166666666667</v>
      </c>
      <c r="W222" s="27" t="n">
        <v>0.0479235502302017</v>
      </c>
      <c r="X222" s="27" t="n">
        <v>0.0195647074544389</v>
      </c>
      <c r="Y222" s="27" t="n">
        <v>1.61333333333333</v>
      </c>
      <c r="Z222" s="27" t="n">
        <v>0.0989275829415976</v>
      </c>
      <c r="AA222" s="27" t="n">
        <v>0.0403870166156292</v>
      </c>
      <c r="AB222" s="27" t="n">
        <v>0.483471227857143</v>
      </c>
      <c r="AC222" s="27" t="n">
        <v>0.204007155084747</v>
      </c>
      <c r="AD222" s="27" t="n">
        <v>0.200288884101684</v>
      </c>
      <c r="AE222" s="28" t="n">
        <v>0.632666666666667</v>
      </c>
      <c r="AF222" s="28" t="n">
        <v>0.00984095749632345</v>
      </c>
      <c r="AG222" s="61" t="n">
        <f aca="false">AF222*SQRT(U222)</f>
        <v>0.0241053244464095</v>
      </c>
      <c r="AH222" s="29" t="n">
        <v>11.3968804591411</v>
      </c>
      <c r="AI222" s="27" t="n">
        <v>0.79889199320919</v>
      </c>
      <c r="AJ222" s="27" t="n">
        <f aca="false">VLOOKUP(B222,proft,2,0)</f>
        <v>9.40378926503574</v>
      </c>
      <c r="AK222" s="27" t="n">
        <f aca="false">VLOOKUP(B222,proft,3,0)</f>
        <v>0.281136512756349</v>
      </c>
      <c r="AL222" s="27" t="s">
        <v>63</v>
      </c>
      <c r="AN222" s="33"/>
      <c r="BB222" s="30" t="n">
        <v>11.8799</v>
      </c>
      <c r="BC222" s="30" t="n">
        <v>2.239</v>
      </c>
      <c r="BD222" s="30" t="n">
        <v>0.02239</v>
      </c>
      <c r="BE222" s="31" t="n">
        <v>11.8799</v>
      </c>
      <c r="BF222" s="31" t="n">
        <v>2.239</v>
      </c>
      <c r="BG222" s="31" t="n">
        <v>0.02239</v>
      </c>
      <c r="BH222" s="14" t="n">
        <f aca="false">10^6/((BB222+273.15)^2)</f>
        <v>12.3088976110032</v>
      </c>
      <c r="BI222" s="14" t="n">
        <f aca="false">BH222*(2*($BF222/($BE222+273.15)))</f>
        <v>0.193380566396973</v>
      </c>
      <c r="BJ222" s="14" t="n">
        <f aca="false">BH222*(2*($BG222/($BE222+273.15)))</f>
        <v>0.00193380566396973</v>
      </c>
      <c r="BL222" s="14" t="n">
        <f aca="false">10^6/((AH222+273.15)^2)</f>
        <v>12.3507218915307</v>
      </c>
      <c r="BM222" s="14" t="n">
        <f aca="false">BL222*(2*($AI222/($AH222+273.15)))</f>
        <v>0.0693516148451618</v>
      </c>
      <c r="BN222" s="14" t="n">
        <f aca="false">10^6/((AJ222+273.15)^2)</f>
        <v>12.5255766281211</v>
      </c>
      <c r="BO222" s="14" t="n">
        <f aca="false">BN222*(2*($AK222/($AJ222+273.15)))</f>
        <v>0.0249254978505301</v>
      </c>
    </row>
    <row r="223" s="14" customFormat="true" ht="16" hidden="false" customHeight="false" outlineLevel="0" collapsed="false">
      <c r="A223" s="22" t="s">
        <v>130</v>
      </c>
      <c r="B223" s="23" t="s">
        <v>328</v>
      </c>
      <c r="C223" s="14" t="s">
        <v>53</v>
      </c>
      <c r="D223" s="23" t="s">
        <v>329</v>
      </c>
      <c r="E223" s="24" t="s">
        <v>326</v>
      </c>
      <c r="F223" s="22" t="n">
        <v>38.72</v>
      </c>
      <c r="G223" s="22" t="n">
        <v>-72.65</v>
      </c>
      <c r="H223" s="22" t="s">
        <v>78</v>
      </c>
      <c r="I223" s="22" t="s">
        <v>327</v>
      </c>
      <c r="J223" s="22" t="n">
        <v>2186</v>
      </c>
      <c r="K223" s="25" t="s">
        <v>130</v>
      </c>
      <c r="L223" s="22" t="s">
        <v>80</v>
      </c>
      <c r="M223" s="22" t="s">
        <v>134</v>
      </c>
      <c r="N223" s="22" t="s">
        <v>323</v>
      </c>
      <c r="O223" s="22" t="s">
        <v>92</v>
      </c>
      <c r="P223" s="22" t="s">
        <v>92</v>
      </c>
      <c r="Q223" s="22" t="n">
        <v>4</v>
      </c>
      <c r="R223" s="25" t="s">
        <v>62</v>
      </c>
      <c r="S223" s="25" t="n">
        <v>35.5057142857143</v>
      </c>
      <c r="T223" s="22" t="n">
        <v>40.8718326693227</v>
      </c>
      <c r="U223" s="23" t="n">
        <v>5</v>
      </c>
      <c r="V223" s="27" t="n">
        <v>1.676</v>
      </c>
      <c r="W223" s="27" t="n">
        <v>0.0288097205817759</v>
      </c>
      <c r="X223" s="27" t="n">
        <v>0.0128840987267251</v>
      </c>
      <c r="Y223" s="27" t="n">
        <v>0.494</v>
      </c>
      <c r="Z223" s="27" t="n">
        <v>0.0733484832835697</v>
      </c>
      <c r="AA223" s="27" t="n">
        <v>0.0328024389337138</v>
      </c>
      <c r="AB223" s="27" t="n">
        <v>0.7374432675</v>
      </c>
      <c r="AC223" s="27" t="n">
        <v>0.210578767708948</v>
      </c>
      <c r="AD223" s="27" t="n">
        <v>0.202696458657903</v>
      </c>
      <c r="AE223" s="28" t="n">
        <v>0.613</v>
      </c>
      <c r="AF223" s="28" t="n">
        <v>0.00827647267862343</v>
      </c>
      <c r="AG223" s="61" t="n">
        <f aca="false">AF223*SQRT(U223)</f>
        <v>0.0185067555233218</v>
      </c>
      <c r="AH223" s="29" t="n">
        <v>13.3564502171108</v>
      </c>
      <c r="AI223" s="27" t="n">
        <v>0.345390838440576</v>
      </c>
      <c r="AJ223" s="27" t="n">
        <f aca="false">VLOOKUP(B223,proft,2,0)</f>
        <v>14.5146437420193</v>
      </c>
      <c r="AK223" s="27" t="n">
        <f aca="false">VLOOKUP(B223,proft,3,0)</f>
        <v>0.304389953613301</v>
      </c>
      <c r="AL223" s="27" t="s">
        <v>63</v>
      </c>
      <c r="BB223" s="30" t="n">
        <v>17.1526</v>
      </c>
      <c r="BC223" s="30" t="n">
        <v>2.254</v>
      </c>
      <c r="BD223" s="30" t="n">
        <v>0.02254</v>
      </c>
      <c r="BE223" s="31" t="n">
        <v>17.1526</v>
      </c>
      <c r="BF223" s="31" t="n">
        <v>2.254</v>
      </c>
      <c r="BG223" s="31" t="n">
        <v>0.02254</v>
      </c>
      <c r="BH223" s="14" t="n">
        <f aca="false">10^6/((BB223+273.15)^2)</f>
        <v>11.8658307403418</v>
      </c>
      <c r="BI223" s="14" t="n">
        <f aca="false">BH223*(2*($BF223/($BE223+273.15)))</f>
        <v>0.184260027218017</v>
      </c>
      <c r="BJ223" s="14" t="n">
        <f aca="false">BH223*(2*($BG223/($BE223+273.15)))</f>
        <v>0.00184260027218017</v>
      </c>
      <c r="BL223" s="14" t="n">
        <f aca="false">10^6/((AH223+273.15)^2)</f>
        <v>12.1823533568702</v>
      </c>
      <c r="BM223" s="14" t="n">
        <f aca="false">BL223*(2*($AI223/($AH223+273.15)))</f>
        <v>0.0293722758208078</v>
      </c>
      <c r="BN223" s="14" t="n">
        <f aca="false">10^6/((AJ223+273.15)^2)</f>
        <v>12.0844538113556</v>
      </c>
      <c r="BO223" s="14" t="n">
        <f aca="false">BN223*(2*($AK223/($AJ223+273.15)))</f>
        <v>0.0255741288691663</v>
      </c>
    </row>
    <row r="224" s="14" customFormat="true" ht="16" hidden="false" customHeight="false" outlineLevel="0" collapsed="false">
      <c r="A224" s="22" t="s">
        <v>85</v>
      </c>
      <c r="B224" s="23" t="s">
        <v>122</v>
      </c>
      <c r="C224" s="14" t="s">
        <v>53</v>
      </c>
      <c r="D224" s="23" t="s">
        <v>123</v>
      </c>
      <c r="E224" s="34" t="s">
        <v>124</v>
      </c>
      <c r="F224" s="22" t="n">
        <v>23.3</v>
      </c>
      <c r="G224" s="22" t="n">
        <v>66.7</v>
      </c>
      <c r="H224" s="22" t="s">
        <v>125</v>
      </c>
      <c r="I224" s="22" t="s">
        <v>121</v>
      </c>
      <c r="J224" s="22" t="n">
        <v>151</v>
      </c>
      <c r="K224" s="35" t="s">
        <v>85</v>
      </c>
      <c r="L224" s="22" t="s">
        <v>89</v>
      </c>
      <c r="M224" s="22" t="s">
        <v>90</v>
      </c>
      <c r="N224" s="22" t="s">
        <v>91</v>
      </c>
      <c r="O224" s="22" t="s">
        <v>92</v>
      </c>
      <c r="P224" s="22" t="s">
        <v>92</v>
      </c>
      <c r="Q224" s="22" t="n">
        <v>4</v>
      </c>
      <c r="R224" s="35" t="s">
        <v>62</v>
      </c>
      <c r="S224" s="25" t="n">
        <v>36.4778947368421</v>
      </c>
      <c r="T224" s="22" t="n">
        <v>56.9964680851064</v>
      </c>
      <c r="U224" s="23" t="n">
        <v>3</v>
      </c>
      <c r="V224" s="27" t="n">
        <v>0.136666666666667</v>
      </c>
      <c r="W224" s="27" t="n">
        <v>0.0152752523165195</v>
      </c>
      <c r="X224" s="27" t="n">
        <v>0.00881917103688197</v>
      </c>
      <c r="Y224" s="27" t="n">
        <v>1.59333333333333</v>
      </c>
      <c r="Z224" s="27" t="n">
        <v>0.0832666399786453</v>
      </c>
      <c r="AA224" s="27" t="n">
        <v>0.0480740170061865</v>
      </c>
      <c r="AB224" s="27" t="n">
        <v>0.663500837142857</v>
      </c>
      <c r="AC224" s="27" t="n">
        <v>0.203815803594664</v>
      </c>
      <c r="AD224" s="27" t="n">
        <v>0.200549559886591</v>
      </c>
      <c r="AE224" s="28" t="n">
        <v>0.645666666666667</v>
      </c>
      <c r="AF224" s="28" t="n">
        <v>0.0158569998563551</v>
      </c>
      <c r="AG224" s="61" t="n">
        <f aca="false">AF224*SQRT(U224)</f>
        <v>0.0274651294068194</v>
      </c>
      <c r="AH224" s="29" t="n">
        <v>23.8186233922055</v>
      </c>
      <c r="AI224" s="27" t="n">
        <v>1.85407197266517</v>
      </c>
      <c r="AJ224" s="27" t="n">
        <f aca="false">VLOOKUP(B224,proft,2,0)</f>
        <v>9.28649434907373</v>
      </c>
      <c r="AK224" s="27" t="n">
        <f aca="false">VLOOKUP(B224,proft,3,0)</f>
        <v>0.3594913482666</v>
      </c>
      <c r="AL224" s="36" t="s">
        <v>63</v>
      </c>
      <c r="AN224" s="33"/>
      <c r="BB224" s="30" t="n">
        <v>12.6179</v>
      </c>
      <c r="BC224" s="30" t="n">
        <v>2.236</v>
      </c>
      <c r="BD224" s="30" t="n">
        <v>0.02236</v>
      </c>
      <c r="BE224" s="31" t="n">
        <v>12.6179</v>
      </c>
      <c r="BF224" s="31" t="n">
        <v>2.236</v>
      </c>
      <c r="BG224" s="31" t="n">
        <v>0.02236</v>
      </c>
      <c r="BH224" s="14" t="n">
        <f aca="false">10^6/((BB224+273.15)^2)</f>
        <v>12.2454038687365</v>
      </c>
      <c r="BI224" s="14" t="n">
        <f aca="false">BH224*(2*($BF224/($BE224+273.15)))</f>
        <v>0.191629102152445</v>
      </c>
      <c r="BJ224" s="14" t="n">
        <f aca="false">BH224*(2*($BG224/($BE224+273.15)))</f>
        <v>0.00191629102152445</v>
      </c>
      <c r="BL224" s="14" t="n">
        <f aca="false">10^6/((AH224+273.15)^2)</f>
        <v>11.3391073901256</v>
      </c>
      <c r="BM224" s="14" t="n">
        <f aca="false">BL224*(2*($AI224/($AH224+273.15)))</f>
        <v>0.14158749141189</v>
      </c>
      <c r="BN224" s="14" t="n">
        <f aca="false">10^6/((AJ224+273.15)^2)</f>
        <v>12.5359824472092</v>
      </c>
      <c r="BO224" s="14" t="n">
        <f aca="false">BN224*(2*($AK224/($AJ224+273.15)))</f>
        <v>0.0319121453633666</v>
      </c>
    </row>
    <row r="225" s="14" customFormat="true" ht="16" hidden="false" customHeight="false" outlineLevel="0" collapsed="false">
      <c r="A225" s="22" t="s">
        <v>85</v>
      </c>
      <c r="B225" s="23" t="s">
        <v>129</v>
      </c>
      <c r="C225" s="14" t="s">
        <v>53</v>
      </c>
      <c r="D225" s="23" t="s">
        <v>123</v>
      </c>
      <c r="E225" s="24" t="s">
        <v>124</v>
      </c>
      <c r="F225" s="22" t="n">
        <v>23.3</v>
      </c>
      <c r="G225" s="22" t="n">
        <v>66.7</v>
      </c>
      <c r="H225" s="22" t="s">
        <v>120</v>
      </c>
      <c r="I225" s="22" t="s">
        <v>121</v>
      </c>
      <c r="J225" s="22" t="n">
        <v>151</v>
      </c>
      <c r="K225" s="25" t="s">
        <v>85</v>
      </c>
      <c r="L225" s="22" t="s">
        <v>89</v>
      </c>
      <c r="M225" s="22" t="s">
        <v>90</v>
      </c>
      <c r="N225" s="22" t="s">
        <v>91</v>
      </c>
      <c r="O225" s="22" t="s">
        <v>92</v>
      </c>
      <c r="P225" s="22" t="s">
        <v>92</v>
      </c>
      <c r="Q225" s="22" t="n">
        <v>4</v>
      </c>
      <c r="R225" s="25" t="s">
        <v>62</v>
      </c>
      <c r="S225" s="25" t="n">
        <v>36.4778947368421</v>
      </c>
      <c r="T225" s="22" t="n">
        <v>56.9964680851064</v>
      </c>
      <c r="U225" s="23" t="n">
        <v>4</v>
      </c>
      <c r="V225" s="27" t="n">
        <v>1.885</v>
      </c>
      <c r="W225" s="27" t="n">
        <v>0.0544671154612272</v>
      </c>
      <c r="X225" s="27" t="n">
        <v>0.0272335577306136</v>
      </c>
      <c r="Y225" s="27" t="n">
        <v>-1.115</v>
      </c>
      <c r="Z225" s="27" t="n">
        <v>0.103440804327886</v>
      </c>
      <c r="AA225" s="27" t="n">
        <v>0.051720402163943</v>
      </c>
      <c r="AB225" s="27" t="n">
        <v>0.663500837142857</v>
      </c>
      <c r="AC225" s="27" t="n">
        <v>0.203815803594664</v>
      </c>
      <c r="AD225" s="27" t="n">
        <v>0.200549559886591</v>
      </c>
      <c r="AE225" s="28" t="n">
        <v>0.61675</v>
      </c>
      <c r="AF225" s="28" t="n">
        <v>0.00721543484483091</v>
      </c>
      <c r="AG225" s="61" t="n">
        <f aca="false">AF225*SQRT(U225)</f>
        <v>0.0144308696896618</v>
      </c>
      <c r="AH225" s="29" t="n">
        <v>23.8186233922055</v>
      </c>
      <c r="AI225" s="27" t="n">
        <v>1.85407197266517</v>
      </c>
      <c r="AJ225" s="27" t="n">
        <f aca="false">VLOOKUP(B225,proft,2,0)</f>
        <v>23.5068795549695</v>
      </c>
      <c r="AK225" s="27" t="n">
        <f aca="false">VLOOKUP(B225,proft,3,0)</f>
        <v>0.213911056518601</v>
      </c>
      <c r="AL225" s="27" t="s">
        <v>63</v>
      </c>
      <c r="AN225" s="33"/>
      <c r="BB225" s="30" t="n">
        <v>23.153</v>
      </c>
      <c r="BC225" s="30" t="n">
        <v>2.259</v>
      </c>
      <c r="BD225" s="30" t="n">
        <v>0.02259</v>
      </c>
      <c r="BE225" s="31" t="n">
        <v>23.153</v>
      </c>
      <c r="BF225" s="31" t="n">
        <v>2.259</v>
      </c>
      <c r="BG225" s="31" t="n">
        <v>0.02259</v>
      </c>
      <c r="BH225" s="14" t="n">
        <f aca="false">10^6/((BB225+273.15)^2)</f>
        <v>11.3901095917105</v>
      </c>
      <c r="BI225" s="14" t="n">
        <f aca="false">BH225*(2*($BF225/($BE225+273.15)))</f>
        <v>0.173675309177929</v>
      </c>
      <c r="BJ225" s="14" t="n">
        <f aca="false">BH225*(2*($BG225/($BE225+273.15)))</f>
        <v>0.00173675309177929</v>
      </c>
      <c r="BL225" s="14" t="n">
        <f aca="false">10^6/((AH225+273.15)^2)</f>
        <v>11.3391073901256</v>
      </c>
      <c r="BM225" s="14" t="n">
        <f aca="false">BL225*(2*($AI225/($AH225+273.15)))</f>
        <v>0.14158749141189</v>
      </c>
      <c r="BN225" s="14" t="n">
        <f aca="false">10^6/((AJ225+273.15)^2)</f>
        <v>11.3629514633779</v>
      </c>
      <c r="BO225" s="14" t="n">
        <f aca="false">BN225*(2*($AK225/($AJ225+273.15)))</f>
        <v>0.0163870189448976</v>
      </c>
    </row>
    <row r="226" s="14" customFormat="true" ht="16" hidden="false" customHeight="false" outlineLevel="0" collapsed="false">
      <c r="A226" s="22" t="s">
        <v>130</v>
      </c>
      <c r="B226" s="23" t="s">
        <v>131</v>
      </c>
      <c r="C226" s="14" t="s">
        <v>53</v>
      </c>
      <c r="D226" s="23" t="s">
        <v>132</v>
      </c>
      <c r="E226" s="24" t="s">
        <v>133</v>
      </c>
      <c r="F226" s="22" t="n">
        <v>23.3</v>
      </c>
      <c r="G226" s="22" t="n">
        <v>66.7</v>
      </c>
      <c r="H226" s="22" t="s">
        <v>120</v>
      </c>
      <c r="I226" s="22" t="s">
        <v>121</v>
      </c>
      <c r="J226" s="22" t="n">
        <v>151</v>
      </c>
      <c r="K226" s="25" t="s">
        <v>130</v>
      </c>
      <c r="L226" s="22" t="s">
        <v>80</v>
      </c>
      <c r="M226" s="22" t="s">
        <v>134</v>
      </c>
      <c r="N226" s="22" t="s">
        <v>135</v>
      </c>
      <c r="O226" s="22" t="s">
        <v>92</v>
      </c>
      <c r="P226" s="22" t="s">
        <v>92</v>
      </c>
      <c r="Q226" s="22" t="n">
        <v>4</v>
      </c>
      <c r="R226" s="25" t="s">
        <v>62</v>
      </c>
      <c r="S226" s="25" t="n">
        <v>36.4826470588235</v>
      </c>
      <c r="T226" s="22" t="n">
        <v>62.2654680851064</v>
      </c>
      <c r="U226" s="23" t="n">
        <v>8</v>
      </c>
      <c r="V226" s="27" t="n">
        <v>1.43375</v>
      </c>
      <c r="W226" s="27" t="n">
        <v>0.0337797487937881</v>
      </c>
      <c r="X226" s="27" t="n">
        <v>0.0119429447194328</v>
      </c>
      <c r="Y226" s="27" t="n">
        <v>-1.04125</v>
      </c>
      <c r="Z226" s="27" t="n">
        <v>0.0756755291642266</v>
      </c>
      <c r="AA226" s="27" t="n">
        <v>0.0267553399209525</v>
      </c>
      <c r="AB226" s="27" t="n">
        <v>0.673166573333334</v>
      </c>
      <c r="AC226" s="27" t="n">
        <v>0.202643223233973</v>
      </c>
      <c r="AD226" s="27" t="n">
        <v>0.200442957772136</v>
      </c>
      <c r="AE226" s="28" t="n">
        <v>0.61325</v>
      </c>
      <c r="AF226" s="28" t="n">
        <v>0.00650755055959724</v>
      </c>
      <c r="AG226" s="61" t="n">
        <f aca="false">AF226*SQRT(U226)</f>
        <v>0.0184061325184221</v>
      </c>
      <c r="AH226" s="29" t="n">
        <v>24.0330189598931</v>
      </c>
      <c r="AI226" s="27" t="n">
        <v>1.64774899407222</v>
      </c>
      <c r="AJ226" s="27" t="n">
        <f aca="false">VLOOKUP(B226,proft,2,0)</f>
        <v>23.0870431186438</v>
      </c>
      <c r="AK226" s="27" t="n">
        <f aca="false">VLOOKUP(B226,proft,3,0)</f>
        <v>0.777135848998999</v>
      </c>
      <c r="AL226" s="27" t="s">
        <v>63</v>
      </c>
      <c r="AN226" s="33"/>
      <c r="BB226" s="30" t="n">
        <v>22.8622</v>
      </c>
      <c r="BC226" s="30" t="n">
        <v>2.231</v>
      </c>
      <c r="BD226" s="30" t="n">
        <v>0.02158</v>
      </c>
      <c r="BE226" s="31" t="n">
        <v>22.8622</v>
      </c>
      <c r="BF226" s="31" t="n">
        <v>2.231</v>
      </c>
      <c r="BG226" s="31" t="n">
        <v>0.02158</v>
      </c>
      <c r="BH226" s="14" t="n">
        <f aca="false">10^6/((BB226+273.15)^2)</f>
        <v>11.4124996879978</v>
      </c>
      <c r="BI226" s="14" t="n">
        <f aca="false">BH226*(2*($BF226/($BE226+273.15)))</f>
        <v>0.172028631278867</v>
      </c>
      <c r="BJ226" s="14" t="n">
        <f aca="false">BH226*(2*($BG226/($BE226+273.15)))</f>
        <v>0.00166399724921468</v>
      </c>
      <c r="BL226" s="14" t="n">
        <f aca="false">10^6/((AH226+273.15)^2)</f>
        <v>11.3227526370073</v>
      </c>
      <c r="BM226" s="14" t="n">
        <f aca="false">BL226*(2*($AI226/($AH226+273.15)))</f>
        <v>0.125559356204503</v>
      </c>
      <c r="BN226" s="14" t="n">
        <f aca="false">10^6/((AJ226+273.15)^2)</f>
        <v>11.3951821493641</v>
      </c>
      <c r="BO226" s="14" t="n">
        <f aca="false">BN226*(2*($AK226/($AJ226+273.15)))</f>
        <v>0.0597872869707091</v>
      </c>
    </row>
    <row r="227" s="14" customFormat="true" ht="16" hidden="false" customHeight="false" outlineLevel="0" collapsed="false">
      <c r="A227" s="22" t="s">
        <v>93</v>
      </c>
      <c r="B227" s="23" t="s">
        <v>316</v>
      </c>
      <c r="C227" s="14" t="s">
        <v>53</v>
      </c>
      <c r="D227" s="23" t="s">
        <v>317</v>
      </c>
      <c r="E227" s="24" t="s">
        <v>318</v>
      </c>
      <c r="F227" s="22" t="n">
        <v>-38.57</v>
      </c>
      <c r="G227" s="22" t="n">
        <v>140.62</v>
      </c>
      <c r="H227" s="22" t="s">
        <v>120</v>
      </c>
      <c r="I227" s="22" t="s">
        <v>319</v>
      </c>
      <c r="J227" s="22" t="n">
        <v>1904</v>
      </c>
      <c r="K227" s="25" t="s">
        <v>93</v>
      </c>
      <c r="L227" s="22" t="s">
        <v>96</v>
      </c>
      <c r="M227" s="22" t="s">
        <v>97</v>
      </c>
      <c r="N227" s="22" t="s">
        <v>98</v>
      </c>
      <c r="O227" s="22" t="s">
        <v>92</v>
      </c>
      <c r="P227" s="22" t="s">
        <v>92</v>
      </c>
      <c r="Q227" s="22" t="n">
        <v>4</v>
      </c>
      <c r="R227" s="25" t="s">
        <v>62</v>
      </c>
      <c r="S227" s="25" t="n">
        <v>33.969972972973</v>
      </c>
      <c r="T227" s="22" t="n">
        <v>18.7962151898734</v>
      </c>
      <c r="U227" s="23" t="n">
        <v>6</v>
      </c>
      <c r="V227" s="27" t="n">
        <v>1.01833333333333</v>
      </c>
      <c r="W227" s="27" t="n">
        <v>0.0343025752191679</v>
      </c>
      <c r="X227" s="27" t="n">
        <v>0.0140039676917334</v>
      </c>
      <c r="Y227" s="27" t="n">
        <v>0.931666666666667</v>
      </c>
      <c r="Z227" s="27" t="n">
        <v>0.0231660671385254</v>
      </c>
      <c r="AA227" s="27" t="n">
        <v>0.00945750730607406</v>
      </c>
      <c r="AB227" s="27" t="n">
        <v>0.293811472857143</v>
      </c>
      <c r="AC227" s="27" t="n">
        <v>0.248099968941953</v>
      </c>
      <c r="AD227" s="27" t="n">
        <v>0.203812517943925</v>
      </c>
      <c r="AE227" s="28" t="n">
        <v>0.640666666666667</v>
      </c>
      <c r="AF227" s="28" t="n">
        <v>0.00793165248300197</v>
      </c>
      <c r="AG227" s="61" t="n">
        <f aca="false">AF227*SQRT(U227)</f>
        <v>0.019428501400434</v>
      </c>
      <c r="AH227" s="29" t="n">
        <v>12.6512912544044</v>
      </c>
      <c r="AI227" s="27" t="n">
        <v>1.87420589257112</v>
      </c>
      <c r="AJ227" s="27" t="n">
        <f aca="false">VLOOKUP(B227,proft,2,0)</f>
        <v>11.5651994583486</v>
      </c>
      <c r="AK227" s="27" t="n">
        <f aca="false">VLOOKUP(B227,proft,3,0)</f>
        <v>0.2238712310791</v>
      </c>
      <c r="AL227" s="27" t="s">
        <v>63</v>
      </c>
      <c r="BB227" s="30" t="n">
        <v>13.7708</v>
      </c>
      <c r="BC227" s="30" t="n">
        <v>2.23</v>
      </c>
      <c r="BD227" s="30" t="n">
        <v>0.0223</v>
      </c>
      <c r="BE227" s="31" t="n">
        <v>13.7708</v>
      </c>
      <c r="BF227" s="31" t="n">
        <v>2.23</v>
      </c>
      <c r="BG227" s="31" t="n">
        <v>0.0223</v>
      </c>
      <c r="BH227" s="14" t="n">
        <f aca="false">10^6/((BB227+273.15)^2)</f>
        <v>12.1471930570865</v>
      </c>
      <c r="BI227" s="14" t="n">
        <f aca="false">BH227*(2*($BF227/($BE227+273.15)))</f>
        <v>0.188820333118428</v>
      </c>
      <c r="BJ227" s="14" t="n">
        <f aca="false">BH227*(2*($BG227/($BE227+273.15)))</f>
        <v>0.00188820333118428</v>
      </c>
      <c r="BL227" s="14" t="n">
        <f aca="false">10^6/((AH227+273.15)^2)</f>
        <v>12.2425426814548</v>
      </c>
      <c r="BM227" s="14" t="n">
        <f aca="false">BL227*(2*($AI227/($AH227+273.15)))</f>
        <v>0.160566423845941</v>
      </c>
      <c r="BN227" s="14" t="n">
        <f aca="false">10^6/((AJ227+273.15)^2)</f>
        <v>12.3361231159278</v>
      </c>
      <c r="BO227" s="14" t="n">
        <f aca="false">BN227*(2*($AK227/($AJ227+273.15)))</f>
        <v>0.0193997585935704</v>
      </c>
    </row>
    <row r="228" s="14" customFormat="true" ht="16" hidden="false" customHeight="false" outlineLevel="0" collapsed="false">
      <c r="A228" s="22" t="s">
        <v>139</v>
      </c>
      <c r="B228" s="23" t="s">
        <v>140</v>
      </c>
      <c r="C228" s="14" t="s">
        <v>53</v>
      </c>
      <c r="D228" s="23" t="s">
        <v>141</v>
      </c>
      <c r="E228" s="24" t="s">
        <v>142</v>
      </c>
      <c r="F228" s="22" t="n">
        <v>26.69</v>
      </c>
      <c r="G228" s="22" t="n">
        <v>125.34</v>
      </c>
      <c r="H228" s="22" t="s">
        <v>56</v>
      </c>
      <c r="I228" s="22" t="s">
        <v>143</v>
      </c>
      <c r="J228" s="22" t="n">
        <v>326</v>
      </c>
      <c r="K228" s="25" t="s">
        <v>139</v>
      </c>
      <c r="L228" s="22" t="s">
        <v>144</v>
      </c>
      <c r="M228" s="22" t="s">
        <v>145</v>
      </c>
      <c r="N228" s="22" t="s">
        <v>146</v>
      </c>
      <c r="O228" s="22" t="s">
        <v>92</v>
      </c>
      <c r="P228" s="22" t="s">
        <v>92</v>
      </c>
      <c r="Q228" s="22" t="n">
        <v>4</v>
      </c>
      <c r="R228" s="25" t="s">
        <v>62</v>
      </c>
      <c r="S228" s="25" t="n">
        <v>34.718</v>
      </c>
      <c r="T228" s="22" t="n">
        <v>28.30481</v>
      </c>
      <c r="U228" s="23" t="n">
        <v>5</v>
      </c>
      <c r="V228" s="27" t="n">
        <v>0.768</v>
      </c>
      <c r="W228" s="27" t="n">
        <v>0.0228035085019828</v>
      </c>
      <c r="X228" s="27" t="n">
        <v>0.0101980390271856</v>
      </c>
      <c r="Y228" s="27" t="n">
        <v>-1.914</v>
      </c>
      <c r="Z228" s="27" t="n">
        <v>0.0250998007960223</v>
      </c>
      <c r="AA228" s="27" t="n">
        <v>0.0112249721603218</v>
      </c>
      <c r="AB228" s="27" t="n">
        <v>0.055020889</v>
      </c>
      <c r="AC228" s="27" t="n">
        <v>0.200846197440766</v>
      </c>
      <c r="AD228" s="27" t="n">
        <v>0.200423545306452</v>
      </c>
      <c r="AE228" s="28" t="n">
        <v>0.6158</v>
      </c>
      <c r="AF228" s="28" t="n">
        <v>0.0113903467901553</v>
      </c>
      <c r="AG228" s="61" t="n">
        <f aca="false">AF228*SQRT(U228)</f>
        <v>0.0254695897100837</v>
      </c>
      <c r="AH228" s="29" t="n">
        <v>19.676251411438</v>
      </c>
      <c r="AI228" s="27" t="n">
        <v>0.324020925254294</v>
      </c>
      <c r="AJ228" s="27" t="n">
        <f aca="false">VLOOKUP(B228,proft,2,0)</f>
        <v>23.7433369937115</v>
      </c>
      <c r="AK228" s="27" t="n">
        <f aca="false">VLOOKUP(B228,proft,3,0)</f>
        <v>0.263259887695302</v>
      </c>
      <c r="AL228" s="27" t="s">
        <v>63</v>
      </c>
      <c r="BB228" s="30" t="n">
        <v>23.8994</v>
      </c>
      <c r="BC228" s="30" t="n">
        <v>2.218</v>
      </c>
      <c r="BD228" s="30" t="n">
        <v>0.02218</v>
      </c>
      <c r="BE228" s="31" t="n">
        <v>23.8994</v>
      </c>
      <c r="BF228" s="31" t="n">
        <v>2.218</v>
      </c>
      <c r="BG228" s="31" t="n">
        <v>0.02218</v>
      </c>
      <c r="BH228" s="14" t="n">
        <f aca="false">10^6/((BB228+273.15)^2)</f>
        <v>11.3329413443743</v>
      </c>
      <c r="BI228" s="14" t="n">
        <f aca="false">BH228*(2*($BF228/($BE228+273.15)))</f>
        <v>0.169240967339588</v>
      </c>
      <c r="BJ228" s="14" t="n">
        <f aca="false">BH228*(2*($BG228/($BE228+273.15)))</f>
        <v>0.00169240967339588</v>
      </c>
      <c r="BL228" s="14" t="n">
        <f aca="false">10^6/((AH228+273.15)^2)</f>
        <v>11.6621865481051</v>
      </c>
      <c r="BM228" s="14" t="n">
        <f aca="false">BL228*(2*($AI228/($AH228+273.15)))</f>
        <v>0.0258091100616234</v>
      </c>
      <c r="BN228" s="14" t="n">
        <f aca="false">10^6/((AJ228+273.15)^2)</f>
        <v>11.3448588751849</v>
      </c>
      <c r="BO228" s="14" t="n">
        <f aca="false">BN228*(2*($AK228/($AJ228+273.15)))</f>
        <v>0.0201193216637494</v>
      </c>
    </row>
    <row r="229" s="14" customFormat="true" ht="16" hidden="false" customHeight="false" outlineLevel="0" collapsed="false">
      <c r="A229" s="22" t="s">
        <v>130</v>
      </c>
      <c r="B229" s="23" t="s">
        <v>320</v>
      </c>
      <c r="C229" s="14" t="s">
        <v>53</v>
      </c>
      <c r="D229" s="23" t="s">
        <v>321</v>
      </c>
      <c r="E229" s="24" t="s">
        <v>322</v>
      </c>
      <c r="F229" s="22" t="n">
        <v>33</v>
      </c>
      <c r="G229" s="22" t="n">
        <v>140</v>
      </c>
      <c r="H229" s="22" t="s">
        <v>56</v>
      </c>
      <c r="I229" s="22" t="s">
        <v>143</v>
      </c>
      <c r="J229" s="22" t="n">
        <v>1503</v>
      </c>
      <c r="K229" s="25" t="s">
        <v>130</v>
      </c>
      <c r="L229" s="22" t="s">
        <v>80</v>
      </c>
      <c r="M229" s="22" t="s">
        <v>134</v>
      </c>
      <c r="N229" s="22" t="s">
        <v>323</v>
      </c>
      <c r="O229" s="22" t="s">
        <v>92</v>
      </c>
      <c r="P229" s="22" t="s">
        <v>92</v>
      </c>
      <c r="Q229" s="22" t="n">
        <v>4</v>
      </c>
      <c r="R229" s="25" t="s">
        <v>62</v>
      </c>
      <c r="S229" s="25" t="n">
        <v>34.7148571428571</v>
      </c>
      <c r="T229" s="22" t="n">
        <v>-8.5164472361809</v>
      </c>
      <c r="U229" s="23" t="n">
        <v>4</v>
      </c>
      <c r="V229" s="27" t="n">
        <v>0.7925</v>
      </c>
      <c r="W229" s="27" t="n">
        <v>0.0275378527364305</v>
      </c>
      <c r="X229" s="27" t="n">
        <v>0.0137689263682152</v>
      </c>
      <c r="Y229" s="27" t="n">
        <v>-0.325</v>
      </c>
      <c r="Z229" s="27" t="n">
        <v>0.0435889894354067</v>
      </c>
      <c r="AA229" s="27" t="n">
        <v>0.0217944947177033</v>
      </c>
      <c r="AB229" s="27" t="n">
        <v>0.06030124225</v>
      </c>
      <c r="AC229" s="27" t="n">
        <v>0.20034524265816</v>
      </c>
      <c r="AD229" s="27" t="n">
        <v>0.200086366511912</v>
      </c>
      <c r="AE229" s="28" t="n">
        <v>0.594</v>
      </c>
      <c r="AF229" s="28" t="n">
        <v>0.00922857879993809</v>
      </c>
      <c r="AG229" s="61" t="n">
        <f aca="false">AF229*SQRT(U229)</f>
        <v>0.0184571575998762</v>
      </c>
      <c r="AH229" s="29" t="n">
        <v>19.6505543845041</v>
      </c>
      <c r="AI229" s="27" t="n">
        <v>0.83615771474875</v>
      </c>
      <c r="AJ229" s="27" t="n">
        <f aca="false">VLOOKUP(B229,proft,2,0)</f>
        <v>16.6639731006937</v>
      </c>
      <c r="AK229" s="27" t="n">
        <f aca="false">VLOOKUP(B229,proft,3,0)</f>
        <v>0.652828216552699</v>
      </c>
      <c r="AL229" s="27" t="s">
        <v>63</v>
      </c>
      <c r="BB229" s="30" t="n">
        <v>17.7529</v>
      </c>
      <c r="BC229" s="30" t="n">
        <v>2.232</v>
      </c>
      <c r="BD229" s="30" t="n">
        <v>0.02232</v>
      </c>
      <c r="BE229" s="31" t="n">
        <v>17.7529</v>
      </c>
      <c r="BF229" s="31" t="n">
        <v>2.232</v>
      </c>
      <c r="BG229" s="31" t="n">
        <v>0.02232</v>
      </c>
      <c r="BH229" s="14" t="n">
        <f aca="false">10^6/((BB229+273.15)^2)</f>
        <v>11.8169092018461</v>
      </c>
      <c r="BI229" s="14" t="n">
        <f aca="false">BH229*(2*($BF229/($BE229+273.15)))</f>
        <v>0.181334330723555</v>
      </c>
      <c r="BJ229" s="14" t="n">
        <f aca="false">BH229*(2*($BG229/($BE229+273.15)))</f>
        <v>0.00181334330723555</v>
      </c>
      <c r="BL229" s="14" t="n">
        <f aca="false">10^6/((AH229+273.15)^2)</f>
        <v>11.6642336526471</v>
      </c>
      <c r="BM229" s="14" t="n">
        <f aca="false">BL229*(2*($AI229/($AH229+273.15)))</f>
        <v>0.0666196754701843</v>
      </c>
      <c r="BN229" s="14" t="n">
        <f aca="false">10^6/((AJ229+273.15)^2)</f>
        <v>11.9058760957082</v>
      </c>
      <c r="BO229" s="14" t="n">
        <f aca="false">BN229*(2*($AK229/($AJ229+273.15)))</f>
        <v>0.0536377992744891</v>
      </c>
    </row>
    <row r="230" s="14" customFormat="true" ht="16" hidden="false" customHeight="false" outlineLevel="0" collapsed="false">
      <c r="A230" s="22" t="s">
        <v>223</v>
      </c>
      <c r="B230" s="40" t="s">
        <v>224</v>
      </c>
      <c r="C230" s="14" t="s">
        <v>53</v>
      </c>
      <c r="D230" s="36" t="s">
        <v>225</v>
      </c>
      <c r="E230" s="24" t="s">
        <v>222</v>
      </c>
      <c r="F230" s="22" t="n">
        <v>-2.18</v>
      </c>
      <c r="G230" s="22" t="n">
        <v>157</v>
      </c>
      <c r="H230" s="22" t="s">
        <v>56</v>
      </c>
      <c r="I230" s="22" t="s">
        <v>57</v>
      </c>
      <c r="J230" s="22" t="n">
        <v>1614</v>
      </c>
      <c r="K230" s="25" t="s">
        <v>223</v>
      </c>
      <c r="L230" s="22" t="s">
        <v>226</v>
      </c>
      <c r="M230" s="22" t="s">
        <v>227</v>
      </c>
      <c r="N230" s="22" t="s">
        <v>228</v>
      </c>
      <c r="O230" s="22" t="s">
        <v>92</v>
      </c>
      <c r="P230" s="22" t="s">
        <v>92</v>
      </c>
      <c r="Q230" s="22" t="n">
        <v>4</v>
      </c>
      <c r="R230" s="25" t="s">
        <v>62</v>
      </c>
      <c r="S230" s="25" t="n">
        <v>34.9421739130435</v>
      </c>
      <c r="T230" s="22" t="n">
        <v>11.0624545454545</v>
      </c>
      <c r="U230" s="40" t="n">
        <v>6</v>
      </c>
      <c r="V230" s="42" t="n">
        <v>2.07833333333333</v>
      </c>
      <c r="W230" s="42" t="n">
        <v>0.0978604448521806</v>
      </c>
      <c r="X230" s="42" t="n">
        <v>0.0399513593149359</v>
      </c>
      <c r="Y230" s="42" t="n">
        <v>-1.59166666666667</v>
      </c>
      <c r="Z230" s="42" t="n">
        <v>0.21848722311995</v>
      </c>
      <c r="AA230" s="42" t="n">
        <v>0.0891970353269162</v>
      </c>
      <c r="AB230" s="27" t="n">
        <v>0.3054444</v>
      </c>
      <c r="AC230" s="27" t="n">
        <v>0.207122174674524</v>
      </c>
      <c r="AD230" s="27" t="n">
        <v>0.207122174674524</v>
      </c>
      <c r="AE230" s="43" t="n">
        <v>0.599666666666667</v>
      </c>
      <c r="AF230" s="43" t="n">
        <v>0.00817176711475417</v>
      </c>
      <c r="AG230" s="61" t="n">
        <f aca="false">AF230*SQRT(U230)</f>
        <v>0.0200166597280032</v>
      </c>
      <c r="AH230" s="29" t="n">
        <v>28.5787642935048</v>
      </c>
      <c r="AI230" s="27" t="n">
        <v>1.22761404596313</v>
      </c>
      <c r="AJ230" s="27" t="n">
        <f aca="false">VLOOKUP(B230,proft,2,0)</f>
        <v>24.2709489519619</v>
      </c>
      <c r="AK230" s="27" t="n">
        <f aca="false">VLOOKUP(B230,proft,3,0)</f>
        <v>2.0227680206299</v>
      </c>
      <c r="AL230" s="27" t="s">
        <v>63</v>
      </c>
      <c r="BB230" s="30" t="n">
        <v>23.5743</v>
      </c>
      <c r="BC230" s="30" t="n">
        <v>2.237</v>
      </c>
      <c r="BD230" s="30" t="n">
        <v>0.02237</v>
      </c>
      <c r="BE230" s="31" t="n">
        <v>23.5743</v>
      </c>
      <c r="BF230" s="31" t="n">
        <v>2.237</v>
      </c>
      <c r="BG230" s="31" t="n">
        <v>0.02237</v>
      </c>
      <c r="BH230" s="14" t="n">
        <f aca="false">10^6/((BB230+273.15)^2)</f>
        <v>11.3577883661185</v>
      </c>
      <c r="BI230" s="14" t="n">
        <f aca="false">BH230*(2*($BF230/($BE230+273.15)))</f>
        <v>0.171252388665216</v>
      </c>
      <c r="BJ230" s="14" t="n">
        <f aca="false">BH230*(2*($BG230/($BE230+273.15)))</f>
        <v>0.00171252388665216</v>
      </c>
      <c r="BL230" s="14" t="n">
        <f aca="false">10^6/((AH230+273.15)^2)</f>
        <v>10.9841529513893</v>
      </c>
      <c r="BM230" s="14" t="n">
        <f aca="false">BL230*(2*($AI230/($AH230+273.15)))</f>
        <v>0.0893802781959238</v>
      </c>
      <c r="BN230" s="14" t="n">
        <f aca="false">10^6/((AJ230+273.15)^2)</f>
        <v>11.3046439941811</v>
      </c>
      <c r="BO230" s="14" t="n">
        <f aca="false">BN230*(2*($AK230/($AJ230+273.15)))</f>
        <v>0.153766386911292</v>
      </c>
    </row>
    <row r="231" s="14" customFormat="true" ht="16" hidden="false" customHeight="false" outlineLevel="0" collapsed="false">
      <c r="A231" s="22" t="s">
        <v>130</v>
      </c>
      <c r="B231" s="40" t="s">
        <v>235</v>
      </c>
      <c r="C231" s="14" t="s">
        <v>53</v>
      </c>
      <c r="D231" s="36" t="s">
        <v>236</v>
      </c>
      <c r="E231" s="24" t="s">
        <v>222</v>
      </c>
      <c r="F231" s="22" t="n">
        <v>-2.18</v>
      </c>
      <c r="G231" s="22" t="n">
        <v>157</v>
      </c>
      <c r="H231" s="22" t="s">
        <v>56</v>
      </c>
      <c r="I231" s="22" t="s">
        <v>57</v>
      </c>
      <c r="J231" s="22" t="n">
        <v>1614</v>
      </c>
      <c r="K231" s="25" t="s">
        <v>130</v>
      </c>
      <c r="L231" s="22" t="s">
        <v>80</v>
      </c>
      <c r="M231" s="22" t="s">
        <v>134</v>
      </c>
      <c r="N231" s="22" t="s">
        <v>135</v>
      </c>
      <c r="O231" s="22" t="s">
        <v>92</v>
      </c>
      <c r="P231" s="22" t="s">
        <v>92</v>
      </c>
      <c r="Q231" s="22" t="n">
        <v>4</v>
      </c>
      <c r="R231" s="25" t="s">
        <v>62</v>
      </c>
      <c r="S231" s="25" t="n">
        <v>35.0327647058824</v>
      </c>
      <c r="T231" s="22" t="n">
        <v>11.0624545454545</v>
      </c>
      <c r="U231" s="40" t="n">
        <v>6</v>
      </c>
      <c r="V231" s="42" t="n">
        <v>1.50833333333333</v>
      </c>
      <c r="W231" s="42" t="n">
        <v>0.101275202624664</v>
      </c>
      <c r="X231" s="42" t="n">
        <v>0.0413454283379003</v>
      </c>
      <c r="Y231" s="42" t="n">
        <v>-0.701666666666667</v>
      </c>
      <c r="Z231" s="42" t="n">
        <v>0.194053257294658</v>
      </c>
      <c r="AA231" s="42" t="n">
        <v>0.0792219105494882</v>
      </c>
      <c r="AB231" s="27" t="n">
        <v>0.295722386666667</v>
      </c>
      <c r="AC231" s="27" t="n">
        <v>0.208013619032277</v>
      </c>
      <c r="AD231" s="27" t="n">
        <v>0.201357751983423</v>
      </c>
      <c r="AE231" s="43" t="n">
        <v>0.599</v>
      </c>
      <c r="AF231" s="43" t="n">
        <v>0.00673795221116921</v>
      </c>
      <c r="AG231" s="61" t="n">
        <f aca="false">AF231*SQRT(U231)</f>
        <v>0.0165045448286222</v>
      </c>
      <c r="AH231" s="29" t="n">
        <v>28.5982984655044</v>
      </c>
      <c r="AI231" s="27" t="n">
        <v>0.829347066633247</v>
      </c>
      <c r="AJ231" s="27" t="n">
        <f aca="false">VLOOKUP(B231,proft,2,0)</f>
        <v>19.7486055079291</v>
      </c>
      <c r="AK231" s="27" t="n">
        <f aca="false">VLOOKUP(B231,proft,3,0)</f>
        <v>3.0948581695557</v>
      </c>
      <c r="AL231" s="27" t="s">
        <v>63</v>
      </c>
      <c r="BB231" s="30" t="n">
        <v>20.1174</v>
      </c>
      <c r="BC231" s="30" t="n">
        <v>2.247</v>
      </c>
      <c r="BD231" s="30" t="n">
        <v>0.02247</v>
      </c>
      <c r="BE231" s="31" t="n">
        <v>20.1174</v>
      </c>
      <c r="BF231" s="31" t="n">
        <v>2.247</v>
      </c>
      <c r="BG231" s="31" t="n">
        <v>0.02247</v>
      </c>
      <c r="BH231" s="14" t="n">
        <f aca="false">10^6/((BB231+273.15)^2)</f>
        <v>11.6271271611762</v>
      </c>
      <c r="BI231" s="14" t="n">
        <f aca="false">BH231*(2*($BF231/($BE231+273.15)))</f>
        <v>0.17817292158053</v>
      </c>
      <c r="BJ231" s="14" t="n">
        <f aca="false">BH231*(2*($BG231/($BE231+273.15)))</f>
        <v>0.0017817292158053</v>
      </c>
      <c r="BL231" s="14" t="n">
        <f aca="false">10^6/((AH231+273.15)^2)</f>
        <v>10.9827308430364</v>
      </c>
      <c r="BM231" s="14" t="n">
        <f aca="false">BL231*(2*($AI231/($AH231+273.15)))</f>
        <v>0.0603714795053665</v>
      </c>
      <c r="BN231" s="14" t="n">
        <f aca="false">10^6/((AJ231+273.15)^2)</f>
        <v>11.6564254913227</v>
      </c>
      <c r="BO231" s="14" t="n">
        <f aca="false">BN231*(2*($AK231/($AJ231+273.15)))</f>
        <v>0.246330866595135</v>
      </c>
    </row>
    <row r="232" s="14" customFormat="true" ht="16" hidden="false" customHeight="false" outlineLevel="0" collapsed="false">
      <c r="A232" s="22" t="s">
        <v>139</v>
      </c>
      <c r="B232" s="40" t="s">
        <v>237</v>
      </c>
      <c r="C232" s="14" t="s">
        <v>53</v>
      </c>
      <c r="D232" s="36" t="s">
        <v>238</v>
      </c>
      <c r="E232" s="24" t="s">
        <v>222</v>
      </c>
      <c r="F232" s="22" t="n">
        <v>-2.18</v>
      </c>
      <c r="G232" s="22" t="n">
        <v>157</v>
      </c>
      <c r="H232" s="22" t="s">
        <v>56</v>
      </c>
      <c r="I232" s="22" t="s">
        <v>57</v>
      </c>
      <c r="J232" s="22" t="n">
        <v>1614</v>
      </c>
      <c r="K232" s="25" t="s">
        <v>139</v>
      </c>
      <c r="L232" s="22" t="s">
        <v>144</v>
      </c>
      <c r="M232" s="22" t="s">
        <v>145</v>
      </c>
      <c r="N232" s="22" t="s">
        <v>146</v>
      </c>
      <c r="O232" s="22" t="s">
        <v>92</v>
      </c>
      <c r="P232" s="22" t="s">
        <v>92</v>
      </c>
      <c r="Q232" s="22" t="n">
        <v>4</v>
      </c>
      <c r="R232" s="25" t="s">
        <v>62</v>
      </c>
      <c r="S232" s="25" t="n">
        <v>35.4555</v>
      </c>
      <c r="T232" s="22" t="n">
        <v>11.0624545454545</v>
      </c>
      <c r="U232" s="40" t="n">
        <v>9</v>
      </c>
      <c r="V232" s="42" t="n">
        <v>1.36888888888889</v>
      </c>
      <c r="W232" s="42" t="n">
        <v>0.105882534495124</v>
      </c>
      <c r="X232" s="42" t="n">
        <v>0.0352941781650413</v>
      </c>
      <c r="Y232" s="42" t="n">
        <v>-1.27444444444444</v>
      </c>
      <c r="Z232" s="42" t="n">
        <v>0.220233461984727</v>
      </c>
      <c r="AA232" s="42" t="n">
        <v>0.073411153994909</v>
      </c>
      <c r="AB232" s="27" t="n">
        <v>0.328630955</v>
      </c>
      <c r="AC232" s="27" t="n">
        <v>0.204401488845292</v>
      </c>
      <c r="AD232" s="27" t="n">
        <v>0.202212720472986</v>
      </c>
      <c r="AE232" s="43" t="n">
        <v>0.578111111111111</v>
      </c>
      <c r="AF232" s="43" t="n">
        <v>0.00981416839240941</v>
      </c>
      <c r="AG232" s="61" t="n">
        <f aca="false">AF232*SQRT(U232)</f>
        <v>0.0294425051772282</v>
      </c>
      <c r="AH232" s="29" t="n">
        <v>20.9899876912435</v>
      </c>
      <c r="AI232" s="27" t="n">
        <v>3.3381035758626</v>
      </c>
      <c r="AJ232" s="27" t="n">
        <f aca="false">VLOOKUP(B232,proft,2,0)</f>
        <v>22.6703696394383</v>
      </c>
      <c r="AK232" s="27" t="n">
        <f aca="false">VLOOKUP(B232,proft,3,0)</f>
        <v>3.0118083953858</v>
      </c>
      <c r="AL232" s="27" t="s">
        <v>63</v>
      </c>
      <c r="BB232" s="30" t="n">
        <v>22.4704</v>
      </c>
      <c r="BC232" s="30" t="n">
        <v>2.238</v>
      </c>
      <c r="BD232" s="30" t="n">
        <v>0.02238</v>
      </c>
      <c r="BE232" s="31" t="n">
        <v>22.4704</v>
      </c>
      <c r="BF232" s="31" t="n">
        <v>2.238</v>
      </c>
      <c r="BG232" s="31" t="n">
        <v>0.02238</v>
      </c>
      <c r="BH232" s="14" t="n">
        <f aca="false">10^6/((BB232+273.15)^2)</f>
        <v>11.4427708091418</v>
      </c>
      <c r="BI232" s="14" t="n">
        <f aca="false">BH232*(2*($BF232/($BE232+273.15)))</f>
        <v>0.173255438872684</v>
      </c>
      <c r="BJ232" s="14" t="n">
        <f aca="false">BH232*(2*($BG232/($BE232+273.15)))</f>
        <v>0.00173255438872684</v>
      </c>
      <c r="BL232" s="14" t="n">
        <f aca="false">10^6/((AH232+273.15)^2)</f>
        <v>11.5582440476376</v>
      </c>
      <c r="BM232" s="14" t="n">
        <f aca="false">BL232*(2*($AI232/($AH232+273.15)))</f>
        <v>0.26234186034312</v>
      </c>
      <c r="BN232" s="14" t="n">
        <f aca="false">10^6/((AJ232+273.15)^2)</f>
        <v>11.4273057932549</v>
      </c>
      <c r="BO232" s="14" t="n">
        <f aca="false">BN232*(2*($AK232/($AJ232+273.15)))</f>
        <v>0.232687529710784</v>
      </c>
    </row>
    <row r="233" s="14" customFormat="true" ht="16" hidden="false" customHeight="false" outlineLevel="0" collapsed="false">
      <c r="A233" s="22" t="s">
        <v>223</v>
      </c>
      <c r="B233" s="40" t="s">
        <v>242</v>
      </c>
      <c r="C233" s="14" t="s">
        <v>53</v>
      </c>
      <c r="D233" s="36" t="s">
        <v>243</v>
      </c>
      <c r="E233" s="24" t="s">
        <v>241</v>
      </c>
      <c r="F233" s="22" t="n">
        <v>-2.18</v>
      </c>
      <c r="G233" s="22" t="n">
        <v>157</v>
      </c>
      <c r="H233" s="22" t="s">
        <v>56</v>
      </c>
      <c r="I233" s="22" t="s">
        <v>57</v>
      </c>
      <c r="J233" s="22" t="n">
        <v>1616</v>
      </c>
      <c r="K233" s="25" t="s">
        <v>223</v>
      </c>
      <c r="L233" s="22" t="s">
        <v>226</v>
      </c>
      <c r="M233" s="22" t="s">
        <v>227</v>
      </c>
      <c r="N233" s="22" t="s">
        <v>228</v>
      </c>
      <c r="O233" s="22" t="s">
        <v>92</v>
      </c>
      <c r="P233" s="22" t="s">
        <v>92</v>
      </c>
      <c r="Q233" s="22" t="n">
        <v>4</v>
      </c>
      <c r="R233" s="25" t="s">
        <v>62</v>
      </c>
      <c r="S233" s="25" t="n">
        <v>34.9421739130435</v>
      </c>
      <c r="T233" s="22" t="n">
        <v>8.82750197628458</v>
      </c>
      <c r="U233" s="40" t="n">
        <v>6</v>
      </c>
      <c r="V233" s="42" t="n">
        <v>1.97333333333333</v>
      </c>
      <c r="W233" s="42" t="n">
        <v>0.0602218122167265</v>
      </c>
      <c r="X233" s="42" t="n">
        <v>0.0245854518861144</v>
      </c>
      <c r="Y233" s="42" t="n">
        <v>-1.61833333333333</v>
      </c>
      <c r="Z233" s="42" t="n">
        <v>0.146207614940764</v>
      </c>
      <c r="AA233" s="42" t="n">
        <v>0.0596890088523656</v>
      </c>
      <c r="AB233" s="27" t="n">
        <v>0.3054444</v>
      </c>
      <c r="AC233" s="27" t="n">
        <v>0.207122174674524</v>
      </c>
      <c r="AD233" s="27" t="n">
        <v>0.200803827775021</v>
      </c>
      <c r="AE233" s="43" t="n">
        <v>0.593666666666667</v>
      </c>
      <c r="AF233" s="43" t="n">
        <v>0.00719104381234819</v>
      </c>
      <c r="AG233" s="61" t="n">
        <f aca="false">AF233*SQRT(U233)</f>
        <v>0.0176143880582513</v>
      </c>
      <c r="AH233" s="29" t="n">
        <v>28.5787642935048</v>
      </c>
      <c r="AI233" s="27" t="n">
        <v>1.22761404596313</v>
      </c>
      <c r="AJ233" s="27" t="n">
        <f aca="false">VLOOKUP(B233,proft,2,0)</f>
        <v>24.3961115207536</v>
      </c>
      <c r="AK233" s="27" t="n">
        <f aca="false">VLOOKUP(B233,proft,3,0)</f>
        <v>2.0227680206299</v>
      </c>
      <c r="AL233" s="27" t="s">
        <v>63</v>
      </c>
      <c r="BB233" s="30" t="n">
        <v>23.7015</v>
      </c>
      <c r="BC233" s="30" t="n">
        <v>2.188</v>
      </c>
      <c r="BD233" s="30" t="n">
        <v>0.02188</v>
      </c>
      <c r="BE233" s="31" t="n">
        <v>23.7015</v>
      </c>
      <c r="BF233" s="31" t="n">
        <v>2.188</v>
      </c>
      <c r="BG233" s="31" t="n">
        <v>0.02188</v>
      </c>
      <c r="BH233" s="14" t="n">
        <f aca="false">10^6/((BB233+273.15)^2)</f>
        <v>11.3480568932911</v>
      </c>
      <c r="BI233" s="14" t="n">
        <f aca="false">BH233*(2*($BF233/($BE233+273.15)))</f>
        <v>0.167285989678482</v>
      </c>
      <c r="BJ233" s="14" t="n">
        <f aca="false">BH233*(2*($BG233/($BE233+273.15)))</f>
        <v>0.00167285989678482</v>
      </c>
      <c r="BL233" s="14" t="n">
        <f aca="false">10^6/((AH233+273.15)^2)</f>
        <v>10.9841529513893</v>
      </c>
      <c r="BM233" s="14" t="n">
        <f aca="false">BL233*(2*($AI233/($AH233+273.15)))</f>
        <v>0.0893802781959238</v>
      </c>
      <c r="BN233" s="14" t="n">
        <f aca="false">10^6/((AJ233+273.15)^2)</f>
        <v>11.2951354129253</v>
      </c>
      <c r="BO233" s="14" t="n">
        <f aca="false">BN233*(2*($AK233/($AJ233+273.15)))</f>
        <v>0.153572423347606</v>
      </c>
    </row>
    <row r="234" s="14" customFormat="true" ht="16" hidden="false" customHeight="false" outlineLevel="0" collapsed="false">
      <c r="A234" s="22" t="s">
        <v>139</v>
      </c>
      <c r="B234" s="40" t="s">
        <v>244</v>
      </c>
      <c r="C234" s="14" t="s">
        <v>53</v>
      </c>
      <c r="D234" s="36" t="s">
        <v>245</v>
      </c>
      <c r="E234" s="24" t="s">
        <v>241</v>
      </c>
      <c r="F234" s="22" t="n">
        <v>-2.18</v>
      </c>
      <c r="G234" s="22" t="n">
        <v>157</v>
      </c>
      <c r="H234" s="22" t="s">
        <v>56</v>
      </c>
      <c r="I234" s="22" t="s">
        <v>57</v>
      </c>
      <c r="J234" s="22" t="n">
        <v>1614</v>
      </c>
      <c r="K234" s="25" t="s">
        <v>139</v>
      </c>
      <c r="L234" s="22" t="s">
        <v>144</v>
      </c>
      <c r="M234" s="22" t="s">
        <v>145</v>
      </c>
      <c r="N234" s="22" t="s">
        <v>146</v>
      </c>
      <c r="O234" s="22" t="s">
        <v>92</v>
      </c>
      <c r="P234" s="22" t="s">
        <v>92</v>
      </c>
      <c r="Q234" s="22" t="n">
        <v>4</v>
      </c>
      <c r="R234" s="25" t="s">
        <v>62</v>
      </c>
      <c r="S234" s="25" t="n">
        <v>35.4555</v>
      </c>
      <c r="T234" s="22" t="n">
        <v>8.82750197628458</v>
      </c>
      <c r="U234" s="40" t="n">
        <v>6</v>
      </c>
      <c r="V234" s="42" t="n">
        <v>1.33</v>
      </c>
      <c r="W234" s="42" t="n">
        <v>0.0701427116670007</v>
      </c>
      <c r="X234" s="42" t="n">
        <v>0.0286356421265527</v>
      </c>
      <c r="Y234" s="42" t="n">
        <v>-1.31333333333333</v>
      </c>
      <c r="Z234" s="42" t="n">
        <v>0.0952190457139047</v>
      </c>
      <c r="AA234" s="42" t="n">
        <v>0.038873012632302</v>
      </c>
      <c r="AB234" s="27" t="n">
        <v>0.328630955</v>
      </c>
      <c r="AC234" s="27" t="n">
        <v>0.204401488845292</v>
      </c>
      <c r="AD234" s="27" t="n">
        <v>0.202212720472986</v>
      </c>
      <c r="AE234" s="43" t="n">
        <v>0.606833333333333</v>
      </c>
      <c r="AF234" s="43" t="n">
        <v>0.00613958015213129</v>
      </c>
      <c r="AG234" s="61" t="n">
        <f aca="false">AF234*SQRT(U234)</f>
        <v>0.0150388386076408</v>
      </c>
      <c r="AH234" s="29" t="n">
        <v>20.9899876912435</v>
      </c>
      <c r="AI234" s="27" t="n">
        <v>3.3381035758626</v>
      </c>
      <c r="AJ234" s="27" t="n">
        <f aca="false">VLOOKUP(B234,proft,2,0)</f>
        <v>22.8702847982255</v>
      </c>
      <c r="AK234" s="27" t="n">
        <f aca="false">VLOOKUP(B234,proft,3,0)</f>
        <v>3.0118083953858</v>
      </c>
      <c r="AL234" s="27" t="s">
        <v>63</v>
      </c>
      <c r="BB234" s="30" t="n">
        <v>22.629</v>
      </c>
      <c r="BC234" s="30" t="n">
        <v>2.244</v>
      </c>
      <c r="BD234" s="30" t="n">
        <v>0.02244</v>
      </c>
      <c r="BE234" s="31" t="n">
        <v>22.629</v>
      </c>
      <c r="BF234" s="31" t="n">
        <v>2.244</v>
      </c>
      <c r="BG234" s="31" t="n">
        <v>0.02244</v>
      </c>
      <c r="BH234" s="14" t="n">
        <f aca="false">10^6/((BB234+273.15)^2)</f>
        <v>11.43050261643</v>
      </c>
      <c r="BI234" s="14" t="n">
        <f aca="false">BH234*(2*($BF234/($BE234+273.15)))</f>
        <v>0.173440628788853</v>
      </c>
      <c r="BJ234" s="14" t="n">
        <f aca="false">BH234*(2*($BG234/($BE234+273.15)))</f>
        <v>0.00173440628788853</v>
      </c>
      <c r="BL234" s="14" t="n">
        <f aca="false">10^6/((AH234+273.15)^2)</f>
        <v>11.5582440476376</v>
      </c>
      <c r="BM234" s="14" t="n">
        <f aca="false">BL234*(2*($AI234/($AH234+273.15)))</f>
        <v>0.26234186034312</v>
      </c>
      <c r="BN234" s="14" t="n">
        <f aca="false">10^6/((AJ234+273.15)^2)</f>
        <v>11.4118763084392</v>
      </c>
      <c r="BO234" s="14" t="n">
        <f aca="false">BN234*(2*($AK234/($AJ234+273.15)))</f>
        <v>0.232216416495169</v>
      </c>
    </row>
    <row r="235" s="14" customFormat="true" ht="16" hidden="false" customHeight="false" outlineLevel="0" collapsed="false">
      <c r="A235" s="22" t="s">
        <v>223</v>
      </c>
      <c r="B235" s="40" t="s">
        <v>249</v>
      </c>
      <c r="C235" s="14" t="s">
        <v>53</v>
      </c>
      <c r="D235" s="36" t="s">
        <v>250</v>
      </c>
      <c r="E235" s="24" t="s">
        <v>248</v>
      </c>
      <c r="F235" s="22" t="n">
        <v>-0.997</v>
      </c>
      <c r="G235" s="22" t="n">
        <v>157.8</v>
      </c>
      <c r="H235" s="22" t="s">
        <v>56</v>
      </c>
      <c r="I235" s="22" t="s">
        <v>57</v>
      </c>
      <c r="J235" s="22" t="n">
        <v>2015</v>
      </c>
      <c r="K235" s="25" t="s">
        <v>223</v>
      </c>
      <c r="L235" s="22" t="s">
        <v>226</v>
      </c>
      <c r="M235" s="22" t="s">
        <v>227</v>
      </c>
      <c r="N235" s="22" t="s">
        <v>228</v>
      </c>
      <c r="O235" s="22" t="s">
        <v>92</v>
      </c>
      <c r="P235" s="22" t="s">
        <v>92</v>
      </c>
      <c r="Q235" s="22" t="n">
        <v>4</v>
      </c>
      <c r="R235" s="25" t="s">
        <v>62</v>
      </c>
      <c r="S235" s="25" t="n">
        <v>34.8092608695652</v>
      </c>
      <c r="T235" s="22" t="n">
        <v>4.35245945945946</v>
      </c>
      <c r="U235" s="40" t="n">
        <v>6</v>
      </c>
      <c r="V235" s="42" t="n">
        <v>1.85833333333333</v>
      </c>
      <c r="W235" s="42" t="n">
        <v>0.0416733328000853</v>
      </c>
      <c r="X235" s="42" t="n">
        <v>0.0170130668735664</v>
      </c>
      <c r="Y235" s="42" t="n">
        <v>-1.67166666666667</v>
      </c>
      <c r="Z235" s="42" t="n">
        <v>0.111967257118618</v>
      </c>
      <c r="AA235" s="42" t="n">
        <v>0.0457104413066035</v>
      </c>
      <c r="AB235" s="27" t="n">
        <v>0.293878147777778</v>
      </c>
      <c r="AC235" s="27" t="n">
        <v>0.206543597210961</v>
      </c>
      <c r="AD235" s="27" t="n">
        <v>0.200737600294747</v>
      </c>
      <c r="AE235" s="43" t="n">
        <v>0.608333333333333</v>
      </c>
      <c r="AF235" s="43" t="n">
        <v>0.00674619234169255</v>
      </c>
      <c r="AG235" s="61" t="n">
        <f aca="false">AF235*SQRT(U235)</f>
        <v>0.0165247289438183</v>
      </c>
      <c r="AH235" s="29" t="n">
        <v>28.3518247189729</v>
      </c>
      <c r="AI235" s="27" t="n">
        <v>1.58597760983565</v>
      </c>
      <c r="AJ235" s="27" t="n">
        <f aca="false">VLOOKUP(B235,proft,2,0)</f>
        <v>24.464322330315</v>
      </c>
      <c r="AK235" s="27" t="n">
        <f aca="false">VLOOKUP(B235,proft,3,0)</f>
        <v>2.3455657958984</v>
      </c>
      <c r="AL235" s="27" t="s">
        <v>63</v>
      </c>
      <c r="BB235" s="30" t="n">
        <v>23.8456</v>
      </c>
      <c r="BC235" s="30" t="n">
        <v>2.219</v>
      </c>
      <c r="BD235" s="30" t="n">
        <v>0.02219</v>
      </c>
      <c r="BE235" s="31" t="n">
        <v>23.8456</v>
      </c>
      <c r="BF235" s="31" t="n">
        <v>2.219</v>
      </c>
      <c r="BG235" s="31" t="n">
        <v>0.02219</v>
      </c>
      <c r="BH235" s="14" t="n">
        <f aca="false">10^6/((BB235+273.15)^2)</f>
        <v>11.3370475834448</v>
      </c>
      <c r="BI235" s="14" t="n">
        <f aca="false">BH235*(2*($BF235/($BE235+273.15)))</f>
        <v>0.169409301603552</v>
      </c>
      <c r="BJ235" s="14" t="n">
        <f aca="false">BH235*(2*($BG235/($BE235+273.15)))</f>
        <v>0.00169409301603552</v>
      </c>
      <c r="BL235" s="14" t="n">
        <f aca="false">10^6/((AH235+273.15)^2)</f>
        <v>11.0006946564919</v>
      </c>
      <c r="BM235" s="14" t="n">
        <f aca="false">BL235*(2*($AI235/($AH235+273.15)))</f>
        <v>0.115733000515648</v>
      </c>
      <c r="BN235" s="14" t="n">
        <f aca="false">10^6/((AJ235+273.15)^2)</f>
        <v>11.289958497822</v>
      </c>
      <c r="BO235" s="14" t="n">
        <f aca="false">BN235*(2*($AK235/($AJ235+273.15)))</f>
        <v>0.177957433514995</v>
      </c>
    </row>
    <row r="236" s="14" customFormat="true" ht="16" hidden="false" customHeight="false" outlineLevel="0" collapsed="false">
      <c r="A236" s="22" t="s">
        <v>139</v>
      </c>
      <c r="B236" s="40" t="s">
        <v>253</v>
      </c>
      <c r="C236" s="14" t="s">
        <v>53</v>
      </c>
      <c r="D236" s="36" t="s">
        <v>254</v>
      </c>
      <c r="E236" s="24" t="s">
        <v>248</v>
      </c>
      <c r="F236" s="22" t="n">
        <v>-0.997</v>
      </c>
      <c r="G236" s="22" t="n">
        <v>157.8</v>
      </c>
      <c r="H236" s="22" t="s">
        <v>56</v>
      </c>
      <c r="I236" s="22" t="s">
        <v>57</v>
      </c>
      <c r="J236" s="22" t="n">
        <v>2015</v>
      </c>
      <c r="K236" s="25" t="s">
        <v>139</v>
      </c>
      <c r="L236" s="22" t="s">
        <v>144</v>
      </c>
      <c r="M236" s="22" t="s">
        <v>145</v>
      </c>
      <c r="N236" s="22" t="s">
        <v>146</v>
      </c>
      <c r="O236" s="22" t="s">
        <v>92</v>
      </c>
      <c r="P236" s="22" t="s">
        <v>92</v>
      </c>
      <c r="Q236" s="22" t="n">
        <v>4</v>
      </c>
      <c r="R236" s="25" t="s">
        <v>62</v>
      </c>
      <c r="S236" s="25" t="n">
        <v>35.3015</v>
      </c>
      <c r="T236" s="22" t="n">
        <v>4.35245945945946</v>
      </c>
      <c r="U236" s="40" t="n">
        <v>7</v>
      </c>
      <c r="V236" s="42" t="n">
        <v>1.29</v>
      </c>
      <c r="W236" s="42" t="n">
        <v>0.0334664010613631</v>
      </c>
      <c r="X236" s="42" t="n">
        <v>0.0136626010212795</v>
      </c>
      <c r="Y236" s="42" t="n">
        <v>-1.34</v>
      </c>
      <c r="Z236" s="42" t="n">
        <v>0.0666333249958307</v>
      </c>
      <c r="AA236" s="42" t="n">
        <v>0.0272029410174709</v>
      </c>
      <c r="AB236" s="27" t="n">
        <v>0.30841856</v>
      </c>
      <c r="AC236" s="27" t="n">
        <v>0.203735542558408</v>
      </c>
      <c r="AD236" s="27" t="n">
        <v>0.201876411823631</v>
      </c>
      <c r="AE236" s="43" t="n">
        <v>0.585833333333333</v>
      </c>
      <c r="AF236" s="43" t="n">
        <v>0.0131387890529446</v>
      </c>
      <c r="AG236" s="61" t="n">
        <f aca="false">AF236*SQRT(U236)</f>
        <v>0.0347619683626294</v>
      </c>
      <c r="AH236" s="29" t="n">
        <v>25.9675970077514</v>
      </c>
      <c r="AI236" s="27" t="n">
        <v>1.23600050247924</v>
      </c>
      <c r="AJ236" s="27" t="n">
        <f aca="false">VLOOKUP(B236,proft,2,0)</f>
        <v>22.7276924045263</v>
      </c>
      <c r="AK236" s="27" t="n">
        <f aca="false">VLOOKUP(B236,proft,3,0)</f>
        <v>2.0270347595214</v>
      </c>
      <c r="AL236" s="27" t="s">
        <v>63</v>
      </c>
      <c r="BB236" s="30" t="n">
        <v>22.59</v>
      </c>
      <c r="BC236" s="30" t="n">
        <v>2.241</v>
      </c>
      <c r="BD236" s="30" t="n">
        <v>0.02241</v>
      </c>
      <c r="BE236" s="31" t="n">
        <v>22.59</v>
      </c>
      <c r="BF236" s="31" t="n">
        <v>2.241</v>
      </c>
      <c r="BG236" s="31" t="n">
        <v>0.02241</v>
      </c>
      <c r="BH236" s="14" t="n">
        <f aca="false">10^6/((BB236+273.15)^2)</f>
        <v>11.4335175551989</v>
      </c>
      <c r="BI236" s="14" t="n">
        <f aca="false">BH236*(2*($BF236/($BE236+273.15)))</f>
        <v>0.173277289789686</v>
      </c>
      <c r="BJ236" s="14" t="n">
        <f aca="false">BH236*(2*($BG236/($BE236+273.15)))</f>
        <v>0.00173277289789686</v>
      </c>
      <c r="BL236" s="14" t="n">
        <f aca="false">10^6/((AH236+273.15)^2)</f>
        <v>11.1767638142228</v>
      </c>
      <c r="BM236" s="14" t="n">
        <f aca="false">BL236*(2*($AI236/($AH236+273.15)))</f>
        <v>0.0923682580273812</v>
      </c>
      <c r="BN236" s="14" t="n">
        <f aca="false">10^6/((AJ236+273.15)^2)</f>
        <v>11.4228784144505</v>
      </c>
      <c r="BO236" s="14" t="n">
        <f aca="false">BN236*(2*($AK236/($AJ236+273.15)))</f>
        <v>0.156514480099572</v>
      </c>
    </row>
    <row r="237" s="14" customFormat="true" ht="16" hidden="false" customHeight="false" outlineLevel="0" collapsed="false">
      <c r="A237" s="22" t="s">
        <v>130</v>
      </c>
      <c r="B237" s="40" t="s">
        <v>258</v>
      </c>
      <c r="C237" s="14" t="s">
        <v>53</v>
      </c>
      <c r="D237" s="36" t="s">
        <v>259</v>
      </c>
      <c r="E237" s="24" t="s">
        <v>257</v>
      </c>
      <c r="F237" s="22" t="n">
        <v>-1</v>
      </c>
      <c r="G237" s="22" t="n">
        <v>157.8</v>
      </c>
      <c r="H237" s="22" t="s">
        <v>56</v>
      </c>
      <c r="I237" s="22" t="s">
        <v>57</v>
      </c>
      <c r="J237" s="22" t="n">
        <v>2016</v>
      </c>
      <c r="K237" s="25" t="s">
        <v>130</v>
      </c>
      <c r="L237" s="22" t="s">
        <v>80</v>
      </c>
      <c r="M237" s="22" t="s">
        <v>134</v>
      </c>
      <c r="N237" s="22" t="s">
        <v>135</v>
      </c>
      <c r="O237" s="22" t="s">
        <v>92</v>
      </c>
      <c r="P237" s="22" t="s">
        <v>92</v>
      </c>
      <c r="Q237" s="22" t="n">
        <v>4</v>
      </c>
      <c r="R237" s="25" t="s">
        <v>62</v>
      </c>
      <c r="S237" s="25" t="n">
        <v>34.9342352941176</v>
      </c>
      <c r="T237" s="22" t="n">
        <v>4.33191554054054</v>
      </c>
      <c r="U237" s="40" t="n">
        <v>6</v>
      </c>
      <c r="V237" s="42" t="n">
        <v>1.53666666666667</v>
      </c>
      <c r="W237" s="42" t="n">
        <v>0.0344480284873702</v>
      </c>
      <c r="X237" s="42" t="n">
        <v>0.0140633487398193</v>
      </c>
      <c r="Y237" s="42" t="n">
        <v>-0.936666666666667</v>
      </c>
      <c r="Z237" s="42" t="n">
        <v>0.120111059718356</v>
      </c>
      <c r="AA237" s="42" t="n">
        <v>0.0490351347958218</v>
      </c>
      <c r="AB237" s="27" t="n">
        <v>0.283765663333333</v>
      </c>
      <c r="AC237" s="27" t="n">
        <v>0.208244726183468</v>
      </c>
      <c r="AD237" s="27" t="n">
        <v>0.201397561216295</v>
      </c>
      <c r="AE237" s="43" t="n">
        <v>0.614</v>
      </c>
      <c r="AF237" s="43" t="n">
        <v>0.00982513782770163</v>
      </c>
      <c r="AG237" s="61" t="n">
        <f aca="false">AF237*SQRT(U237)</f>
        <v>0.0240665743303861</v>
      </c>
      <c r="AH237" s="29" t="n">
        <v>28.3901118110208</v>
      </c>
      <c r="AI237" s="27" t="n">
        <v>1.08976124030161</v>
      </c>
      <c r="AJ237" s="27" t="n">
        <f aca="false">VLOOKUP(B237,proft,2,0)</f>
        <v>20.9332725130546</v>
      </c>
      <c r="AK237" s="27" t="n">
        <f aca="false">VLOOKUP(B237,proft,3,0)</f>
        <v>2.1595897674561</v>
      </c>
      <c r="AL237" s="27" t="s">
        <v>63</v>
      </c>
      <c r="BB237" s="30" t="n">
        <v>20.9796</v>
      </c>
      <c r="BC237" s="30" t="n">
        <v>2.221</v>
      </c>
      <c r="BD237" s="30" t="n">
        <v>0.02221</v>
      </c>
      <c r="BE237" s="31" t="n">
        <v>20.9796</v>
      </c>
      <c r="BF237" s="31" t="n">
        <v>2.221</v>
      </c>
      <c r="BG237" s="31" t="n">
        <v>0.02221</v>
      </c>
      <c r="BH237" s="14" t="n">
        <f aca="false">10^6/((BB237+273.15)^2)</f>
        <v>11.5590604604747</v>
      </c>
      <c r="BI237" s="14" t="n">
        <f aca="false">BH237*(2*($BF237/($BE237+273.15)))</f>
        <v>0.174567083916167</v>
      </c>
      <c r="BJ237" s="14" t="n">
        <f aca="false">BH237*(2*($BG237/($BE237+273.15)))</f>
        <v>0.00174567083916167</v>
      </c>
      <c r="BL237" s="14" t="n">
        <f aca="false">10^6/((AH237+273.15)^2)</f>
        <v>10.9979012777464</v>
      </c>
      <c r="BM237" s="14" t="n">
        <f aca="false">BL237*(2*($AI237/($AH237+273.15)))</f>
        <v>0.0794924858598104</v>
      </c>
      <c r="BN237" s="14" t="n">
        <f aca="false">10^6/((AJ237+273.15)^2)</f>
        <v>11.5627025880758</v>
      </c>
      <c r="BO237" s="14" t="n">
        <f aca="false">BN237*(2*($AK237/($AJ237+273.15)))</f>
        <v>0.169820568031377</v>
      </c>
    </row>
    <row r="238" s="14" customFormat="true" ht="16" hidden="false" customHeight="false" outlineLevel="0" collapsed="false">
      <c r="A238" s="22" t="s">
        <v>139</v>
      </c>
      <c r="B238" s="40" t="s">
        <v>260</v>
      </c>
      <c r="C238" s="14" t="s">
        <v>53</v>
      </c>
      <c r="D238" s="36" t="s">
        <v>261</v>
      </c>
      <c r="E238" s="24" t="s">
        <v>257</v>
      </c>
      <c r="F238" s="22" t="n">
        <v>-1</v>
      </c>
      <c r="G238" s="22" t="n">
        <v>157.8</v>
      </c>
      <c r="H238" s="22" t="s">
        <v>56</v>
      </c>
      <c r="I238" s="22" t="s">
        <v>57</v>
      </c>
      <c r="J238" s="22" t="n">
        <v>2016</v>
      </c>
      <c r="K238" s="25" t="s">
        <v>139</v>
      </c>
      <c r="L238" s="22" t="s">
        <v>144</v>
      </c>
      <c r="M238" s="22" t="s">
        <v>145</v>
      </c>
      <c r="N238" s="22" t="s">
        <v>146</v>
      </c>
      <c r="O238" s="22" t="s">
        <v>92</v>
      </c>
      <c r="P238" s="22" t="s">
        <v>92</v>
      </c>
      <c r="Q238" s="22" t="n">
        <v>4</v>
      </c>
      <c r="R238" s="25" t="s">
        <v>62</v>
      </c>
      <c r="S238" s="25" t="n">
        <v>35.389</v>
      </c>
      <c r="T238" s="22" t="n">
        <v>4.33191554054054</v>
      </c>
      <c r="U238" s="40" t="n">
        <v>6</v>
      </c>
      <c r="V238" s="42" t="n">
        <v>1.325</v>
      </c>
      <c r="W238" s="42" t="n">
        <v>0.0585662018573853</v>
      </c>
      <c r="X238" s="42" t="n">
        <v>0.0239095517872391</v>
      </c>
      <c r="Y238" s="42" t="n">
        <v>-1.21</v>
      </c>
      <c r="Z238" s="42" t="n">
        <v>0.0718331399842719</v>
      </c>
      <c r="AA238" s="42" t="n">
        <v>0.0293257565972304</v>
      </c>
      <c r="AB238" s="27" t="n">
        <v>0.30841856</v>
      </c>
      <c r="AC238" s="27" t="n">
        <v>0.203735542558408</v>
      </c>
      <c r="AD238" s="27" t="n">
        <v>0.201876411823631</v>
      </c>
      <c r="AE238" s="43" t="n">
        <v>0.590666666666667</v>
      </c>
      <c r="AF238" s="43" t="n">
        <v>0.00760116950066093</v>
      </c>
      <c r="AG238" s="61" t="n">
        <f aca="false">AF238*SQRT(U238)</f>
        <v>0.0186189867250253</v>
      </c>
      <c r="AH238" s="29" t="n">
        <v>25.9675970077514</v>
      </c>
      <c r="AI238" s="27" t="n">
        <v>1.23600050247924</v>
      </c>
      <c r="AJ238" s="27" t="n">
        <f aca="false">VLOOKUP(B238,proft,2,0)</f>
        <v>22.1647203845461</v>
      </c>
      <c r="AK238" s="27" t="n">
        <f aca="false">VLOOKUP(B238,proft,3,0)</f>
        <v>2.0270347595214</v>
      </c>
      <c r="AL238" s="27" t="s">
        <v>63</v>
      </c>
      <c r="BB238" s="30" t="n">
        <v>22.1432</v>
      </c>
      <c r="BC238" s="30" t="n">
        <v>2.236</v>
      </c>
      <c r="BD238" s="30" t="n">
        <v>0.02236</v>
      </c>
      <c r="BE238" s="31" t="n">
        <v>22.1432</v>
      </c>
      <c r="BF238" s="31" t="n">
        <v>2.236</v>
      </c>
      <c r="BG238" s="31" t="n">
        <v>0.02236</v>
      </c>
      <c r="BH238" s="14" t="n">
        <f aca="false">10^6/((BB238+273.15)^2)</f>
        <v>11.4681432113646</v>
      </c>
      <c r="BI238" s="14" t="n">
        <f aca="false">BH238*(2*($BF238/($BE238+273.15)))</f>
        <v>0.173676659134793</v>
      </c>
      <c r="BJ238" s="14" t="n">
        <f aca="false">BH238*(2*($BG238/($BE238+273.15)))</f>
        <v>0.00173676659134793</v>
      </c>
      <c r="BL238" s="14" t="n">
        <f aca="false">10^6/((AH238+273.15)^2)</f>
        <v>11.1767638142228</v>
      </c>
      <c r="BM238" s="14" t="n">
        <f aca="false">BL238*(2*($AI238/($AH238+273.15)))</f>
        <v>0.0923682580273812</v>
      </c>
      <c r="BN238" s="14" t="n">
        <f aca="false">10^6/((AJ238+273.15)^2)</f>
        <v>11.4664718428722</v>
      </c>
      <c r="BO238" s="14" t="n">
        <f aca="false">BN238*(2*($AK238/($AJ238+273.15)))</f>
        <v>0.15741129981133</v>
      </c>
    </row>
    <row r="239" s="14" customFormat="true" ht="16" hidden="false" customHeight="false" outlineLevel="0" collapsed="false">
      <c r="A239" s="22" t="s">
        <v>139</v>
      </c>
      <c r="B239" s="40" t="s">
        <v>267</v>
      </c>
      <c r="C239" s="14" t="s">
        <v>53</v>
      </c>
      <c r="D239" s="36" t="s">
        <v>268</v>
      </c>
      <c r="E239" s="24" t="s">
        <v>264</v>
      </c>
      <c r="F239" s="22" t="n">
        <v>0</v>
      </c>
      <c r="G239" s="22" t="n">
        <v>159</v>
      </c>
      <c r="H239" s="22" t="s">
        <v>56</v>
      </c>
      <c r="I239" s="22" t="s">
        <v>57</v>
      </c>
      <c r="J239" s="22" t="n">
        <v>2445</v>
      </c>
      <c r="K239" s="25" t="s">
        <v>139</v>
      </c>
      <c r="L239" s="22" t="s">
        <v>144</v>
      </c>
      <c r="M239" s="22" t="s">
        <v>145</v>
      </c>
      <c r="N239" s="22" t="s">
        <v>146</v>
      </c>
      <c r="O239" s="22" t="s">
        <v>92</v>
      </c>
      <c r="P239" s="22" t="s">
        <v>92</v>
      </c>
      <c r="Q239" s="22" t="n">
        <v>4</v>
      </c>
      <c r="R239" s="25" t="s">
        <v>62</v>
      </c>
      <c r="S239" s="25" t="n">
        <v>35.278</v>
      </c>
      <c r="T239" s="22" t="n">
        <v>2.9821677852349</v>
      </c>
      <c r="U239" s="40" t="n">
        <v>6</v>
      </c>
      <c r="V239" s="42" t="n">
        <v>1.39166666666667</v>
      </c>
      <c r="W239" s="42" t="n">
        <v>0.0574166061925177</v>
      </c>
      <c r="X239" s="42" t="n">
        <v>0.0234402313223322</v>
      </c>
      <c r="Y239" s="42" t="n">
        <v>-1.20333333333333</v>
      </c>
      <c r="Z239" s="42" t="n">
        <v>0.108566415924385</v>
      </c>
      <c r="AA239" s="42" t="n">
        <v>0.0443220537029191</v>
      </c>
      <c r="AB239" s="27" t="n">
        <v>0.28564006</v>
      </c>
      <c r="AC239" s="27" t="n">
        <v>0.202886463180285</v>
      </c>
      <c r="AD239" s="27" t="n">
        <v>0.201448401509921</v>
      </c>
      <c r="AE239" s="43" t="n">
        <v>0.574333333333333</v>
      </c>
      <c r="AF239" s="43" t="n">
        <v>0.015101140501447</v>
      </c>
      <c r="AG239" s="61" t="n">
        <f aca="false">AF239*SQRT(U239)</f>
        <v>0.0369900887626221</v>
      </c>
      <c r="AH239" s="29" t="n">
        <v>26.4055786132812</v>
      </c>
      <c r="AI239" s="27" t="n">
        <v>1.55532255988676</v>
      </c>
      <c r="AJ239" s="27" t="n">
        <f aca="false">VLOOKUP(B239,proft,2,0)</f>
        <v>22.0529492535183</v>
      </c>
      <c r="AK239" s="27" t="n">
        <f aca="false">VLOOKUP(B239,proft,3,0)</f>
        <v>2.9614009857178</v>
      </c>
      <c r="AL239" s="27" t="s">
        <v>63</v>
      </c>
      <c r="BB239" s="30" t="n">
        <v>22.0349</v>
      </c>
      <c r="BC239" s="30" t="n">
        <v>2.246</v>
      </c>
      <c r="BD239" s="30" t="n">
        <v>0.02308</v>
      </c>
      <c r="BE239" s="31" t="n">
        <v>22.0349</v>
      </c>
      <c r="BF239" s="31" t="n">
        <v>2.246</v>
      </c>
      <c r="BG239" s="31" t="n">
        <v>0.02308</v>
      </c>
      <c r="BH239" s="14" t="n">
        <f aca="false">10^6/((BB239+273.15)^2)</f>
        <v>11.476559819041</v>
      </c>
      <c r="BI239" s="14" t="n">
        <f aca="false">BH239*(2*($BF239/($BE239+273.15)))</f>
        <v>0.174645473759437</v>
      </c>
      <c r="BJ239" s="14" t="n">
        <f aca="false">BH239*(2*($BG239/($BE239+273.15)))</f>
        <v>0.00179466497523054</v>
      </c>
      <c r="BL239" s="14" t="n">
        <f aca="false">10^6/((AH239+273.15)^2)</f>
        <v>11.1441045105778</v>
      </c>
      <c r="BM239" s="14" t="n">
        <f aca="false">BL239*(2*($AI239/($AH239+273.15)))</f>
        <v>0.115722613047468</v>
      </c>
      <c r="BN239" s="14" t="n">
        <f aca="false">10^6/((AJ239+273.15)^2)</f>
        <v>11.475156465818</v>
      </c>
      <c r="BO239" s="14" t="n">
        <f aca="false">BN239*(2*($AK239/($AJ239+273.15)))</f>
        <v>0.230231708423451</v>
      </c>
    </row>
    <row r="240" s="14" customFormat="true" ht="16" hidden="false" customHeight="false" outlineLevel="0" collapsed="false">
      <c r="A240" s="22" t="s">
        <v>139</v>
      </c>
      <c r="B240" s="40" t="s">
        <v>272</v>
      </c>
      <c r="C240" s="14" t="s">
        <v>53</v>
      </c>
      <c r="D240" s="36" t="s">
        <v>273</v>
      </c>
      <c r="E240" s="24" t="s">
        <v>271</v>
      </c>
      <c r="F240" s="22" t="n">
        <v>0</v>
      </c>
      <c r="G240" s="22" t="n">
        <v>160.4</v>
      </c>
      <c r="H240" s="22" t="s">
        <v>56</v>
      </c>
      <c r="I240" s="22" t="s">
        <v>57</v>
      </c>
      <c r="J240" s="22" t="n">
        <v>2959</v>
      </c>
      <c r="K240" s="25" t="s">
        <v>139</v>
      </c>
      <c r="L240" s="22" t="s">
        <v>144</v>
      </c>
      <c r="M240" s="22" t="s">
        <v>145</v>
      </c>
      <c r="N240" s="22" t="s">
        <v>146</v>
      </c>
      <c r="O240" s="22" t="s">
        <v>92</v>
      </c>
      <c r="P240" s="22" t="s">
        <v>92</v>
      </c>
      <c r="Q240" s="22" t="n">
        <v>4</v>
      </c>
      <c r="R240" s="25" t="s">
        <v>62</v>
      </c>
      <c r="S240" s="25" t="n">
        <v>35.303</v>
      </c>
      <c r="T240" s="22" t="n">
        <v>-2.17345945945946</v>
      </c>
      <c r="U240" s="40" t="n">
        <v>6</v>
      </c>
      <c r="V240" s="42" t="n">
        <v>1.45666666666667</v>
      </c>
      <c r="W240" s="42" t="n">
        <v>0.0868715526893969</v>
      </c>
      <c r="X240" s="42" t="n">
        <v>0.0354651628753877</v>
      </c>
      <c r="Y240" s="42" t="n">
        <v>-1.08</v>
      </c>
      <c r="Z240" s="42" t="n">
        <v>0.134313067123047</v>
      </c>
      <c r="AA240" s="42" t="n">
        <v>0.0548330800399419</v>
      </c>
      <c r="AB240" s="27" t="n">
        <v>0.285494585</v>
      </c>
      <c r="AC240" s="27" t="n">
        <v>0.202801336261954</v>
      </c>
      <c r="AD240" s="27" t="n">
        <v>0.201405538639872</v>
      </c>
      <c r="AE240" s="43" t="n">
        <v>0.602</v>
      </c>
      <c r="AF240" s="43" t="n">
        <v>0.00757187779440037</v>
      </c>
      <c r="AG240" s="61" t="n">
        <f aca="false">AF240*SQRT(U240)</f>
        <v>0.0185472369909914</v>
      </c>
      <c r="AH240" s="29" t="n">
        <v>26.2691173553466</v>
      </c>
      <c r="AI240" s="27" t="n">
        <v>1.64222464106916</v>
      </c>
      <c r="AJ240" s="27" t="n">
        <f aca="false">VLOOKUP(B240,proft,2,0)</f>
        <v>21.4333385155615</v>
      </c>
      <c r="AK240" s="27" t="n">
        <f aca="false">VLOOKUP(B240,proft,3,0)</f>
        <v>2.3040390014648</v>
      </c>
      <c r="AL240" s="27" t="s">
        <v>63</v>
      </c>
      <c r="BB240" s="30" t="n">
        <v>21.5259</v>
      </c>
      <c r="BC240" s="30" t="n">
        <v>2.202</v>
      </c>
      <c r="BD240" s="30" t="n">
        <v>0.02202</v>
      </c>
      <c r="BE240" s="31" t="n">
        <v>21.5259</v>
      </c>
      <c r="BF240" s="31" t="n">
        <v>2.202</v>
      </c>
      <c r="BG240" s="31" t="n">
        <v>0.02202</v>
      </c>
      <c r="BH240" s="14" t="n">
        <f aca="false">10^6/((BB240+273.15)^2)</f>
        <v>11.5162414766284</v>
      </c>
      <c r="BI240" s="14" t="n">
        <f aca="false">BH240*(2*($BF240/($BE240+273.15)))</f>
        <v>0.172112912739289</v>
      </c>
      <c r="BJ240" s="14" t="n">
        <f aca="false">BH240*(2*($BG240/($BE240+273.15)))</f>
        <v>0.00172112912739289</v>
      </c>
      <c r="BL240" s="14" t="n">
        <f aca="false">10^6/((AH240+273.15)^2)</f>
        <v>11.1542647506742</v>
      </c>
      <c r="BM240" s="14" t="n">
        <f aca="false">BL240*(2*($AI240/($AH240+273.15)))</f>
        <v>0.122355637063929</v>
      </c>
      <c r="BN240" s="14" t="n">
        <f aca="false">10^6/((AJ240+273.15)^2)</f>
        <v>11.5234796855518</v>
      </c>
      <c r="BO240" s="14" t="n">
        <f aca="false">BN240*(2*($AK240/($AJ240+273.15)))</f>
        <v>0.180258304912218</v>
      </c>
    </row>
    <row r="241" s="14" customFormat="true" ht="16" hidden="false" customHeight="false" outlineLevel="0" collapsed="false">
      <c r="A241" s="22" t="s">
        <v>130</v>
      </c>
      <c r="B241" s="40" t="s">
        <v>279</v>
      </c>
      <c r="C241" s="14" t="s">
        <v>53</v>
      </c>
      <c r="D241" s="36" t="s">
        <v>280</v>
      </c>
      <c r="E241" s="24" t="s">
        <v>276</v>
      </c>
      <c r="F241" s="22" t="n">
        <v>0</v>
      </c>
      <c r="G241" s="22" t="n">
        <v>160.45</v>
      </c>
      <c r="H241" s="22" t="s">
        <v>56</v>
      </c>
      <c r="I241" s="22" t="s">
        <v>57</v>
      </c>
      <c r="J241" s="22" t="n">
        <v>2965</v>
      </c>
      <c r="K241" s="25" t="s">
        <v>130</v>
      </c>
      <c r="L241" s="22" t="s">
        <v>80</v>
      </c>
      <c r="M241" s="22" t="s">
        <v>134</v>
      </c>
      <c r="N241" s="22" t="s">
        <v>135</v>
      </c>
      <c r="O241" s="22" t="s">
        <v>92</v>
      </c>
      <c r="P241" s="22" t="s">
        <v>92</v>
      </c>
      <c r="Q241" s="22" t="n">
        <v>4</v>
      </c>
      <c r="R241" s="25" t="s">
        <v>62</v>
      </c>
      <c r="S241" s="25" t="n">
        <v>34.9382941176471</v>
      </c>
      <c r="T241" s="22" t="n">
        <v>-4.38908806262231</v>
      </c>
      <c r="U241" s="40" t="n">
        <v>3</v>
      </c>
      <c r="V241" s="42" t="n">
        <v>1.50666666666667</v>
      </c>
      <c r="W241" s="42" t="n">
        <v>0.0251661147842359</v>
      </c>
      <c r="X241" s="42" t="n">
        <v>0.0145296631451356</v>
      </c>
      <c r="Y241" s="42" t="n">
        <v>-1.16666666666667</v>
      </c>
      <c r="Z241" s="42" t="n">
        <v>0.0251661147842359</v>
      </c>
      <c r="AA241" s="42" t="n">
        <v>0.0145296631451356</v>
      </c>
      <c r="AB241" s="27" t="n">
        <v>0.283770043333333</v>
      </c>
      <c r="AC241" s="27" t="n">
        <v>0.209021413322145</v>
      </c>
      <c r="AD241" s="27" t="n">
        <v>0.201531615066217</v>
      </c>
      <c r="AE241" s="43" t="n">
        <v>0.603333333333333</v>
      </c>
      <c r="AF241" s="43" t="n">
        <v>0.000333333333333334</v>
      </c>
      <c r="AG241" s="61" t="n">
        <f aca="false">AF241*SQRT(U241)</f>
        <v>0.000577350269189626</v>
      </c>
      <c r="AH241" s="29" t="n">
        <v>28.5272872027229</v>
      </c>
      <c r="AI241" s="27" t="n">
        <v>1.02129919207233</v>
      </c>
      <c r="AJ241" s="27" t="n">
        <f aca="false">VLOOKUP(B241,proft,2,0)</f>
        <v>21.8713491707834</v>
      </c>
      <c r="AK241" s="27" t="n">
        <f aca="false">VLOOKUP(B241,proft,3,0)</f>
        <v>2.4538688659668</v>
      </c>
      <c r="AL241" s="27" t="s">
        <v>63</v>
      </c>
      <c r="BB241" s="30" t="n">
        <v>21.8823</v>
      </c>
      <c r="BC241" s="30" t="n">
        <v>2.24</v>
      </c>
      <c r="BD241" s="30" t="n">
        <v>0.0224</v>
      </c>
      <c r="BE241" s="31" t="n">
        <v>21.8823</v>
      </c>
      <c r="BF241" s="31" t="n">
        <v>2.24</v>
      </c>
      <c r="BG241" s="31" t="n">
        <v>0.0224</v>
      </c>
      <c r="BH241" s="14" t="n">
        <f aca="false">10^6/((BB241+273.15)^2)</f>
        <v>11.4884349659188</v>
      </c>
      <c r="BI241" s="14" t="n">
        <f aca="false">BH241*(2*($BF241/($BE241+273.15)))</f>
        <v>0.174449335368759</v>
      </c>
      <c r="BJ241" s="14" t="n">
        <f aca="false">BH241*(2*($BG241/($BE241+273.15)))</f>
        <v>0.00174449335368759</v>
      </c>
      <c r="BL241" s="14" t="n">
        <f aca="false">10^6/((AH241+273.15)^2)</f>
        <v>10.9879018612626</v>
      </c>
      <c r="BM241" s="14" t="n">
        <f aca="false">BL241*(2*($AI241/($AH241+273.15)))</f>
        <v>0.0743969517727502</v>
      </c>
      <c r="BN241" s="14" t="n">
        <f aca="false">10^6/((AJ241+273.15)^2)</f>
        <v>11.4892878548677</v>
      </c>
      <c r="BO241" s="14" t="n">
        <f aca="false">BN241*(2*($AK241/($AJ241+273.15)))</f>
        <v>0.191126546186796</v>
      </c>
    </row>
    <row r="242" s="14" customFormat="true" ht="16" hidden="false" customHeight="false" outlineLevel="0" collapsed="false">
      <c r="A242" s="22" t="s">
        <v>139</v>
      </c>
      <c r="B242" s="40" t="s">
        <v>281</v>
      </c>
      <c r="C242" s="14" t="s">
        <v>53</v>
      </c>
      <c r="D242" s="36" t="s">
        <v>282</v>
      </c>
      <c r="E242" s="24" t="s">
        <v>276</v>
      </c>
      <c r="F242" s="22" t="n">
        <v>0</v>
      </c>
      <c r="G242" s="22" t="n">
        <v>160.45</v>
      </c>
      <c r="H242" s="22" t="s">
        <v>56</v>
      </c>
      <c r="I242" s="22" t="s">
        <v>57</v>
      </c>
      <c r="J242" s="22" t="n">
        <v>2965</v>
      </c>
      <c r="K242" s="25" t="s">
        <v>139</v>
      </c>
      <c r="L242" s="22" t="s">
        <v>144</v>
      </c>
      <c r="M242" s="22" t="s">
        <v>145</v>
      </c>
      <c r="N242" s="22" t="s">
        <v>146</v>
      </c>
      <c r="O242" s="22" t="s">
        <v>92</v>
      </c>
      <c r="P242" s="22" t="s">
        <v>92</v>
      </c>
      <c r="Q242" s="22" t="n">
        <v>4</v>
      </c>
      <c r="R242" s="25" t="s">
        <v>62</v>
      </c>
      <c r="S242" s="25" t="n">
        <v>35.303</v>
      </c>
      <c r="T242" s="22" t="n">
        <v>-4.38908806262231</v>
      </c>
      <c r="U242" s="40" t="n">
        <v>9</v>
      </c>
      <c r="V242" s="42" t="n">
        <v>1.41375</v>
      </c>
      <c r="W242" s="42" t="n">
        <v>0.0434042460069123</v>
      </c>
      <c r="X242" s="42" t="n">
        <v>0.0153457183418884</v>
      </c>
      <c r="Y242" s="42" t="n">
        <v>-1.0975</v>
      </c>
      <c r="Z242" s="42" t="n">
        <v>0.0265921578128375</v>
      </c>
      <c r="AA242" s="42" t="n">
        <v>0.00940174755792011</v>
      </c>
      <c r="AB242" s="27" t="n">
        <v>0.286021455</v>
      </c>
      <c r="AC242" s="27" t="n">
        <v>0.202644505024563</v>
      </c>
      <c r="AD242" s="27" t="n">
        <v>0.201326594637482</v>
      </c>
      <c r="AE242" s="43" t="n">
        <v>0.60175</v>
      </c>
      <c r="AF242" s="43" t="n">
        <v>0.00718815990759407</v>
      </c>
      <c r="AG242" s="61" t="n">
        <f aca="false">AF242*SQRT(U242)</f>
        <v>0.0215644797227822</v>
      </c>
      <c r="AH242" s="29" t="n">
        <v>26.3229598999024</v>
      </c>
      <c r="AI242" s="27" t="n">
        <v>1.62225040662285</v>
      </c>
      <c r="AJ242" s="27" t="n">
        <f aca="false">VLOOKUP(B242,proft,2,0)</f>
        <v>21.5148513127534</v>
      </c>
      <c r="AK242" s="27" t="n">
        <f aca="false">VLOOKUP(B242,proft,3,0)</f>
        <v>2.4538688659668</v>
      </c>
      <c r="AL242" s="27" t="s">
        <v>63</v>
      </c>
      <c r="BB242" s="30" t="n">
        <v>21.639</v>
      </c>
      <c r="BC242" s="30" t="n">
        <v>2.229</v>
      </c>
      <c r="BD242" s="30" t="n">
        <v>0.02229</v>
      </c>
      <c r="BE242" s="31" t="n">
        <v>21.639</v>
      </c>
      <c r="BF242" s="31" t="n">
        <v>2.229</v>
      </c>
      <c r="BG242" s="31" t="n">
        <v>0.02229</v>
      </c>
      <c r="BH242" s="14" t="n">
        <f aca="false">10^6/((BB242+273.15)^2)</f>
        <v>11.5074064315475</v>
      </c>
      <c r="BI242" s="14" t="n">
        <f aca="false">BH242*(2*($BF242/($BE242+273.15)))</f>
        <v>0.174022836238254</v>
      </c>
      <c r="BJ242" s="14" t="n">
        <f aca="false">BH242*(2*($BG242/($BE242+273.15)))</f>
        <v>0.00174022836238254</v>
      </c>
      <c r="BL242" s="14" t="n">
        <f aca="false">10^6/((AH242+273.15)^2)</f>
        <v>11.1502542382852</v>
      </c>
      <c r="BM242" s="14" t="n">
        <f aca="false">BL242*(2*($AI242/($AH242+273.15)))</f>
        <v>0.120802255255715</v>
      </c>
      <c r="BN242" s="14" t="n">
        <f aca="false">10^6/((AJ242+273.15)^2)</f>
        <v>11.51710511364</v>
      </c>
      <c r="BO242" s="14" t="n">
        <f aca="false">BN242*(2*($AK242/($AJ242+273.15)))</f>
        <v>0.191821084452532</v>
      </c>
    </row>
    <row r="243" s="14" customFormat="true" ht="16" hidden="false" customHeight="false" outlineLevel="0" collapsed="false">
      <c r="A243" s="22" t="s">
        <v>139</v>
      </c>
      <c r="B243" s="23" t="s">
        <v>290</v>
      </c>
      <c r="C243" s="14" t="s">
        <v>53</v>
      </c>
      <c r="D243" s="23" t="s">
        <v>291</v>
      </c>
      <c r="E243" s="24" t="s">
        <v>292</v>
      </c>
      <c r="F243" s="22" t="n">
        <v>0</v>
      </c>
      <c r="G243" s="22" t="n">
        <v>161</v>
      </c>
      <c r="H243" s="22" t="s">
        <v>56</v>
      </c>
      <c r="I243" s="22" t="s">
        <v>57</v>
      </c>
      <c r="J243" s="22" t="n">
        <v>3411</v>
      </c>
      <c r="K243" s="25" t="s">
        <v>139</v>
      </c>
      <c r="L243" s="22" t="s">
        <v>144</v>
      </c>
      <c r="M243" s="22" t="s">
        <v>145</v>
      </c>
      <c r="N243" s="22" t="s">
        <v>146</v>
      </c>
      <c r="O243" s="22" t="s">
        <v>92</v>
      </c>
      <c r="P243" s="22" t="s">
        <v>92</v>
      </c>
      <c r="Q243" s="22" t="n">
        <v>4</v>
      </c>
      <c r="R243" s="25" t="s">
        <v>62</v>
      </c>
      <c r="S243" s="25" t="n">
        <v>35.29</v>
      </c>
      <c r="T243" s="22" t="n">
        <v>-6.51070068027211</v>
      </c>
      <c r="U243" s="23" t="n">
        <v>12</v>
      </c>
      <c r="V243" s="27" t="n">
        <v>1.55</v>
      </c>
      <c r="W243" s="27" t="n">
        <v>0.134502450129762</v>
      </c>
      <c r="X243" s="27" t="n">
        <v>0.0388275128945411</v>
      </c>
      <c r="Y243" s="27" t="n">
        <v>-1.0625</v>
      </c>
      <c r="Z243" s="27" t="n">
        <v>0.170407266170302</v>
      </c>
      <c r="AA243" s="27" t="n">
        <v>0.0491923404976461</v>
      </c>
      <c r="AB243" s="27" t="n">
        <v>0.286021455</v>
      </c>
      <c r="AC243" s="27" t="n">
        <v>0.202644505024563</v>
      </c>
      <c r="AD243" s="27" t="n">
        <v>0.201326594637482</v>
      </c>
      <c r="AE243" s="28" t="n">
        <v>0.61025</v>
      </c>
      <c r="AF243" s="28" t="n">
        <v>0.00881985106037924</v>
      </c>
      <c r="AG243" s="61" t="n">
        <f aca="false">AF243*SQRT(U243)</f>
        <v>0.0305528603035342</v>
      </c>
      <c r="AH243" s="29" t="n">
        <v>26.3229598999024</v>
      </c>
      <c r="AI243" s="27" t="n">
        <v>1.62225040662285</v>
      </c>
      <c r="AJ243" s="27" t="n">
        <f aca="false">VLOOKUP(B243,proft,2,0)</f>
        <v>21.3344548062804</v>
      </c>
      <c r="AK243" s="27" t="n">
        <f aca="false">VLOOKUP(B243,proft,3,0)</f>
        <v>2.4538688659668</v>
      </c>
      <c r="AL243" s="27" t="s">
        <v>63</v>
      </c>
      <c r="AN243" s="33"/>
      <c r="BB243" s="47" t="n">
        <v>21.4789</v>
      </c>
      <c r="BC243" s="47" t="n">
        <v>2.241</v>
      </c>
      <c r="BD243" s="47" t="n">
        <v>0.02241</v>
      </c>
      <c r="BE243" s="31" t="n">
        <v>21.4789</v>
      </c>
      <c r="BF243" s="31" t="n">
        <v>2.241</v>
      </c>
      <c r="BG243" s="31" t="n">
        <v>0.02241</v>
      </c>
      <c r="BH243" s="14" t="n">
        <f aca="false">10^6/((BB243+273.15)^2)</f>
        <v>11.5199159737419</v>
      </c>
      <c r="BI243" s="14" t="n">
        <f aca="false">BH243*(2*($BF243/($BE243+273.15)))</f>
        <v>0.17524507403826</v>
      </c>
      <c r="BJ243" s="14" t="n">
        <f aca="false">BH243*(2*($BG243/($BE243+273.15)))</f>
        <v>0.0017524507403826</v>
      </c>
      <c r="BL243" s="14" t="n">
        <f aca="false">10^6/((AH243+273.15)^2)</f>
        <v>11.1502542382852</v>
      </c>
      <c r="BM243" s="14" t="n">
        <f aca="false">BL243*(2*($AI243/($AH243+273.15)))</f>
        <v>0.120802255255715</v>
      </c>
      <c r="BN243" s="14" t="n">
        <f aca="false">10^6/((AJ243+273.15)^2)</f>
        <v>11.5312198274024</v>
      </c>
      <c r="BO243" s="14" t="n">
        <f aca="false">BN243*(2*($AK243/($AJ243+273.15)))</f>
        <v>0.192173820106706</v>
      </c>
    </row>
    <row r="244" s="14" customFormat="true" ht="16" hidden="false" customHeight="false" outlineLevel="0" collapsed="false">
      <c r="A244" s="22" t="s">
        <v>139</v>
      </c>
      <c r="B244" s="23" t="s">
        <v>293</v>
      </c>
      <c r="C244" s="14" t="s">
        <v>53</v>
      </c>
      <c r="D244" s="23" t="s">
        <v>294</v>
      </c>
      <c r="E244" s="24" t="s">
        <v>295</v>
      </c>
      <c r="F244" s="22" t="n">
        <v>0</v>
      </c>
      <c r="G244" s="22" t="n">
        <v>161</v>
      </c>
      <c r="H244" s="22" t="s">
        <v>56</v>
      </c>
      <c r="I244" s="22" t="s">
        <v>57</v>
      </c>
      <c r="J244" s="22" t="n">
        <v>3420</v>
      </c>
      <c r="K244" s="25" t="s">
        <v>139</v>
      </c>
      <c r="L244" s="22" t="s">
        <v>144</v>
      </c>
      <c r="M244" s="22" t="s">
        <v>145</v>
      </c>
      <c r="N244" s="22" t="s">
        <v>146</v>
      </c>
      <c r="O244" s="22" t="s">
        <v>92</v>
      </c>
      <c r="P244" s="22" t="s">
        <v>92</v>
      </c>
      <c r="Q244" s="22" t="n">
        <v>4</v>
      </c>
      <c r="R244" s="25" t="s">
        <v>62</v>
      </c>
      <c r="S244" s="25" t="n">
        <v>35.29</v>
      </c>
      <c r="T244" s="22" t="n">
        <v>-6.58845578231293</v>
      </c>
      <c r="U244" s="23" t="n">
        <v>8</v>
      </c>
      <c r="V244" s="27" t="n">
        <v>1.45</v>
      </c>
      <c r="W244" s="27" t="n">
        <v>0.110453610171873</v>
      </c>
      <c r="X244" s="27" t="n">
        <v>0.0390512483795333</v>
      </c>
      <c r="Y244" s="27" t="n">
        <v>-1.21375</v>
      </c>
      <c r="Z244" s="27" t="n">
        <v>0.241716333155801</v>
      </c>
      <c r="AA244" s="27" t="n">
        <v>0.0854596291490067</v>
      </c>
      <c r="AB244" s="27" t="n">
        <v>0.286021455</v>
      </c>
      <c r="AC244" s="27" t="n">
        <v>0.202644505024563</v>
      </c>
      <c r="AD244" s="27" t="n">
        <v>0.201326594637482</v>
      </c>
      <c r="AE244" s="28" t="n">
        <v>0.58275</v>
      </c>
      <c r="AF244" s="28" t="n">
        <v>0.0071657668316597</v>
      </c>
      <c r="AG244" s="61" t="n">
        <f aca="false">AF244*SQRT(U244)</f>
        <v>0.0202678492762729</v>
      </c>
      <c r="AH244" s="29" t="n">
        <v>26.3229598999024</v>
      </c>
      <c r="AI244" s="27" t="n">
        <v>1.62225040662285</v>
      </c>
      <c r="AJ244" s="27" t="n">
        <f aca="false">VLOOKUP(B244,proft,2,0)</f>
        <v>22.1140254235387</v>
      </c>
      <c r="AK244" s="27" t="n">
        <f aca="false">VLOOKUP(B244,proft,3,0)</f>
        <v>2.4538688659668</v>
      </c>
      <c r="AL244" s="27" t="s">
        <v>63</v>
      </c>
      <c r="AN244" s="33"/>
      <c r="BB244" s="47" t="n">
        <v>22.0522</v>
      </c>
      <c r="BC244" s="47" t="n">
        <v>2.226</v>
      </c>
      <c r="BD244" s="47" t="n">
        <v>0.02226</v>
      </c>
      <c r="BE244" s="31" t="n">
        <v>22.0522</v>
      </c>
      <c r="BF244" s="31" t="n">
        <v>2.226</v>
      </c>
      <c r="BG244" s="31" t="n">
        <v>0.02226</v>
      </c>
      <c r="BH244" s="14" t="n">
        <f aca="false">10^6/((BB244+273.15)^2)</f>
        <v>11.4752147161445</v>
      </c>
      <c r="BI244" s="14" t="n">
        <f aca="false">BH244*(2*($BF244/($BE244+273.15)))</f>
        <v>0.173059875286415</v>
      </c>
      <c r="BJ244" s="14" t="n">
        <f aca="false">BH244*(2*($BG244/($BE244+273.15)))</f>
        <v>0.00173059875286415</v>
      </c>
      <c r="BL244" s="14" t="n">
        <f aca="false">10^6/((AH244+273.15)^2)</f>
        <v>11.1502542382852</v>
      </c>
      <c r="BM244" s="14" t="n">
        <f aca="false">BL244*(2*($AI244/($AH244+273.15)))</f>
        <v>0.120802255255715</v>
      </c>
      <c r="BN244" s="14" t="n">
        <f aca="false">10^6/((AJ244+273.15)^2)</f>
        <v>11.4704096219107</v>
      </c>
      <c r="BO244" s="14" t="n">
        <f aca="false">BN244*(2*($AK244/($AJ244+273.15)))</f>
        <v>0.190655675107848</v>
      </c>
    </row>
    <row r="245" s="14" customFormat="true" ht="16" hidden="false" customHeight="false" outlineLevel="0" collapsed="false">
      <c r="A245" s="22" t="s">
        <v>139</v>
      </c>
      <c r="B245" s="40" t="s">
        <v>301</v>
      </c>
      <c r="C245" s="14" t="s">
        <v>53</v>
      </c>
      <c r="D245" s="36" t="s">
        <v>302</v>
      </c>
      <c r="E245" s="24" t="s">
        <v>298</v>
      </c>
      <c r="F245" s="22" t="n">
        <v>0</v>
      </c>
      <c r="G245" s="22" t="n">
        <v>161.4</v>
      </c>
      <c r="H245" s="22" t="s">
        <v>56</v>
      </c>
      <c r="I245" s="22" t="s">
        <v>57</v>
      </c>
      <c r="J245" s="22" t="n">
        <v>3711</v>
      </c>
      <c r="K245" s="25" t="s">
        <v>139</v>
      </c>
      <c r="L245" s="22" t="s">
        <v>144</v>
      </c>
      <c r="M245" s="22" t="s">
        <v>145</v>
      </c>
      <c r="N245" s="22" t="s">
        <v>146</v>
      </c>
      <c r="O245" s="22" t="s">
        <v>92</v>
      </c>
      <c r="P245" s="22" t="s">
        <v>92</v>
      </c>
      <c r="Q245" s="22" t="n">
        <v>4</v>
      </c>
      <c r="R245" s="25" t="s">
        <v>62</v>
      </c>
      <c r="S245" s="25" t="n">
        <v>35.29</v>
      </c>
      <c r="T245" s="22" t="n">
        <v>-13.1332380952381</v>
      </c>
      <c r="U245" s="40" t="n">
        <v>6</v>
      </c>
      <c r="V245" s="42" t="n">
        <v>1.59</v>
      </c>
      <c r="W245" s="42" t="n">
        <v>0.0695701085237044</v>
      </c>
      <c r="X245" s="42" t="n">
        <v>0.0284018778721877</v>
      </c>
      <c r="Y245" s="42" t="n">
        <v>-0.821666666666667</v>
      </c>
      <c r="Z245" s="42" t="n">
        <v>0.149320683988075</v>
      </c>
      <c r="AA245" s="42" t="n">
        <v>0.0609599139690262</v>
      </c>
      <c r="AB245" s="27" t="n">
        <v>0.286021455</v>
      </c>
      <c r="AC245" s="27" t="n">
        <v>0.202644505024563</v>
      </c>
      <c r="AD245" s="27" t="n">
        <v>0.201326594637482</v>
      </c>
      <c r="AE245" s="43" t="n">
        <v>0.588</v>
      </c>
      <c r="AF245" s="43" t="n">
        <v>0.0122528908153681</v>
      </c>
      <c r="AG245" s="61" t="n">
        <f aca="false">AF245*SQRT(U245)</f>
        <v>0.0300133303716865</v>
      </c>
      <c r="AH245" s="29" t="n">
        <v>26.3229598999024</v>
      </c>
      <c r="AI245" s="27" t="n">
        <v>1.62225040662285</v>
      </c>
      <c r="AJ245" s="27" t="n">
        <f aca="false">VLOOKUP(B245,proft,2,0)</f>
        <v>20.0931550355494</v>
      </c>
      <c r="AK245" s="27" t="n">
        <f aca="false">VLOOKUP(B245,proft,3,0)</f>
        <v>2.4538688659668</v>
      </c>
      <c r="AL245" s="27" t="s">
        <v>63</v>
      </c>
      <c r="BB245" s="47" t="n">
        <v>20.5425</v>
      </c>
      <c r="BC245" s="47" t="n">
        <v>2.239</v>
      </c>
      <c r="BD245" s="47" t="n">
        <v>0.02239</v>
      </c>
      <c r="BE245" s="31" t="n">
        <v>20.5425</v>
      </c>
      <c r="BF245" s="31" t="n">
        <v>2.239</v>
      </c>
      <c r="BG245" s="31" t="n">
        <v>0.02239</v>
      </c>
      <c r="BH245" s="14" t="n">
        <f aca="false">10^6/((BB245+273.15)^2)</f>
        <v>11.5934925627411</v>
      </c>
      <c r="BI245" s="14" t="n">
        <f aca="false">BH245*(2*($BF245/($BE245+273.15)))</f>
        <v>0.176768762212023</v>
      </c>
      <c r="BJ245" s="14" t="n">
        <f aca="false">BH245*(2*($BG245/($BE245+273.15)))</f>
        <v>0.00176768762212023</v>
      </c>
      <c r="BL245" s="14" t="n">
        <f aca="false">10^6/((AH245+273.15)^2)</f>
        <v>11.1502542382852</v>
      </c>
      <c r="BM245" s="14" t="n">
        <f aca="false">BL245*(2*($AI245/($AH245+273.15)))</f>
        <v>0.120802255255715</v>
      </c>
      <c r="BN245" s="14" t="n">
        <f aca="false">10^6/((AJ245+273.15)^2)</f>
        <v>11.629049872301</v>
      </c>
      <c r="BO245" s="14" t="n">
        <f aca="false">BN245*(2*($AK245/($AJ245+273.15)))</f>
        <v>0.19462458326746</v>
      </c>
    </row>
    <row r="246" s="14" customFormat="true" ht="16" hidden="false" customHeight="false" outlineLevel="0" collapsed="false">
      <c r="A246" s="22" t="s">
        <v>139</v>
      </c>
      <c r="B246" s="23" t="s">
        <v>303</v>
      </c>
      <c r="C246" s="14" t="s">
        <v>53</v>
      </c>
      <c r="D246" s="23" t="s">
        <v>304</v>
      </c>
      <c r="E246" s="24" t="s">
        <v>305</v>
      </c>
      <c r="F246" s="22" t="n">
        <v>0</v>
      </c>
      <c r="G246" s="22" t="n">
        <v>161.77</v>
      </c>
      <c r="H246" s="22" t="s">
        <v>56</v>
      </c>
      <c r="I246" s="22" t="s">
        <v>57</v>
      </c>
      <c r="J246" s="22" t="n">
        <v>4025</v>
      </c>
      <c r="K246" s="25" t="s">
        <v>139</v>
      </c>
      <c r="L246" s="22" t="s">
        <v>144</v>
      </c>
      <c r="M246" s="22" t="s">
        <v>145</v>
      </c>
      <c r="N246" s="22" t="s">
        <v>146</v>
      </c>
      <c r="O246" s="22" t="s">
        <v>92</v>
      </c>
      <c r="P246" s="22" t="s">
        <v>92</v>
      </c>
      <c r="Q246" s="22" t="n">
        <v>4</v>
      </c>
      <c r="R246" s="25" t="s">
        <v>62</v>
      </c>
      <c r="S246" s="25" t="n">
        <v>35.29</v>
      </c>
      <c r="T246" s="22" t="n">
        <v>-16.6244949152542</v>
      </c>
      <c r="U246" s="23" t="n">
        <v>12</v>
      </c>
      <c r="V246" s="27" t="n">
        <v>1.69833333333333</v>
      </c>
      <c r="W246" s="27" t="n">
        <v>0.0581273419208885</v>
      </c>
      <c r="X246" s="27" t="n">
        <v>0.0167799182526512</v>
      </c>
      <c r="Y246" s="27" t="n">
        <v>-0.771666666666667</v>
      </c>
      <c r="Z246" s="27" t="n">
        <v>0.116371922053495</v>
      </c>
      <c r="AA246" s="27" t="n">
        <v>0.0335936802618496</v>
      </c>
      <c r="AB246" s="27" t="n">
        <v>0.286021455</v>
      </c>
      <c r="AC246" s="27" t="n">
        <v>0.202644505024563</v>
      </c>
      <c r="AD246" s="27" t="n">
        <v>0.201326594637482</v>
      </c>
      <c r="AE246" s="28" t="n">
        <v>0.606583333333333</v>
      </c>
      <c r="AF246" s="28" t="n">
        <v>0.0049779184120646</v>
      </c>
      <c r="AG246" s="61" t="n">
        <f aca="false">AF246*SQRT(U246)</f>
        <v>0.017244015211257</v>
      </c>
      <c r="AH246" s="29" t="n">
        <v>26.3229598999024</v>
      </c>
      <c r="AI246" s="27" t="n">
        <v>1.62225040662285</v>
      </c>
      <c r="AJ246" s="27" t="n">
        <f aca="false">VLOOKUP(B246,proft,2,0)</f>
        <v>19.835445740588</v>
      </c>
      <c r="AK246" s="27" t="n">
        <f aca="false">VLOOKUP(B246,proft,3,0)</f>
        <v>2.4538688659668</v>
      </c>
      <c r="AL246" s="27" t="s">
        <v>63</v>
      </c>
      <c r="AN246" s="33"/>
      <c r="BB246" s="47" t="n">
        <v>20.3362</v>
      </c>
      <c r="BC246" s="47" t="n">
        <v>2.216</v>
      </c>
      <c r="BD246" s="47" t="n">
        <v>0.02234</v>
      </c>
      <c r="BE246" s="31" t="n">
        <v>20.3362</v>
      </c>
      <c r="BF246" s="31" t="n">
        <v>2.216</v>
      </c>
      <c r="BG246" s="31" t="n">
        <v>0.02234</v>
      </c>
      <c r="BH246" s="14" t="n">
        <f aca="false">10^6/((BB246+273.15)^2)</f>
        <v>11.6097970985365</v>
      </c>
      <c r="BI246" s="14" t="n">
        <f aca="false">BH246*(2*($BF246/($BE246+273.15)))</f>
        <v>0.175322113069418</v>
      </c>
      <c r="BJ246" s="14" t="n">
        <f aca="false">BH246*(2*($BG246/($BE246+273.15)))</f>
        <v>0.00176746209655722</v>
      </c>
      <c r="BL246" s="14" t="n">
        <f aca="false">10^6/((AH246+273.15)^2)</f>
        <v>11.1502542382852</v>
      </c>
      <c r="BM246" s="14" t="n">
        <f aca="false">BL246*(2*($AI246/($AH246+273.15)))</f>
        <v>0.120802255255715</v>
      </c>
      <c r="BN246" s="14" t="n">
        <f aca="false">10^6/((AJ246+273.15)^2)</f>
        <v>11.6495166383232</v>
      </c>
      <c r="BO246" s="14" t="n">
        <f aca="false">BN246*(2*($AK246/($AJ246+273.15)))</f>
        <v>0.195138609087458</v>
      </c>
    </row>
    <row r="247" s="14" customFormat="true" ht="16" hidden="false" customHeight="false" outlineLevel="0" collapsed="false">
      <c r="A247" s="22" t="s">
        <v>139</v>
      </c>
      <c r="B247" s="23" t="s">
        <v>306</v>
      </c>
      <c r="C247" s="14" t="s">
        <v>53</v>
      </c>
      <c r="D247" s="23" t="s">
        <v>307</v>
      </c>
      <c r="E247" s="24" t="s">
        <v>308</v>
      </c>
      <c r="F247" s="22" t="n">
        <v>0</v>
      </c>
      <c r="G247" s="22" t="n">
        <v>162.22</v>
      </c>
      <c r="H247" s="22" t="s">
        <v>56</v>
      </c>
      <c r="I247" s="22" t="s">
        <v>57</v>
      </c>
      <c r="J247" s="22" t="n">
        <v>4341</v>
      </c>
      <c r="K247" s="25" t="s">
        <v>139</v>
      </c>
      <c r="L247" s="22" t="s">
        <v>144</v>
      </c>
      <c r="M247" s="22" t="s">
        <v>145</v>
      </c>
      <c r="N247" s="22" t="s">
        <v>146</v>
      </c>
      <c r="O247" s="22" t="s">
        <v>92</v>
      </c>
      <c r="P247" s="22" t="s">
        <v>92</v>
      </c>
      <c r="Q247" s="22" t="n">
        <v>4</v>
      </c>
      <c r="R247" s="25" t="s">
        <v>62</v>
      </c>
      <c r="S247" s="25" t="n">
        <v>35.309</v>
      </c>
      <c r="T247" s="22" t="n">
        <v>-22.8289075425791</v>
      </c>
      <c r="U247" s="23" t="n">
        <v>8</v>
      </c>
      <c r="V247" s="27" t="n">
        <v>1.6175</v>
      </c>
      <c r="W247" s="27" t="n">
        <v>0.0664938235584973</v>
      </c>
      <c r="X247" s="27" t="n">
        <v>0.0235091167726176</v>
      </c>
      <c r="Y247" s="27" t="n">
        <v>-0.7825</v>
      </c>
      <c r="Z247" s="27" t="n">
        <v>0.181324492081383</v>
      </c>
      <c r="AA247" s="27" t="n">
        <v>0.0641078889729762</v>
      </c>
      <c r="AB247" s="48" t="n">
        <v>0.28696181</v>
      </c>
      <c r="AC247" s="27" t="n">
        <v>0.202433737388791</v>
      </c>
      <c r="AD247" s="27" t="n">
        <v>0.201220548196741</v>
      </c>
      <c r="AE247" s="27" t="n">
        <v>0.6195</v>
      </c>
      <c r="AF247" s="27" t="n">
        <v>0.00556455620101781</v>
      </c>
      <c r="AG247" s="61" t="n">
        <f aca="false">AF247*SQRT(U247)</f>
        <v>0.0157389416961334</v>
      </c>
      <c r="AH247" s="29" t="n">
        <v>26.5969934463501</v>
      </c>
      <c r="AI247" s="27" t="n">
        <v>1.57392246989679</v>
      </c>
      <c r="AJ247" s="27" t="n">
        <f aca="false">VLOOKUP(B247,proft,2,0)</f>
        <v>19.8932260773495</v>
      </c>
      <c r="AK247" s="27" t="n">
        <f aca="false">VLOOKUP(B247,proft,3,0)</f>
        <v>2.7229309082031</v>
      </c>
      <c r="AL247" s="27" t="s">
        <v>63</v>
      </c>
      <c r="AN247" s="33"/>
      <c r="BB247" s="47" t="n">
        <v>20.3655</v>
      </c>
      <c r="BC247" s="47" t="n">
        <v>2.235</v>
      </c>
      <c r="BD247" s="47" t="n">
        <v>0.02235</v>
      </c>
      <c r="BE247" s="31" t="n">
        <v>20.3655</v>
      </c>
      <c r="BF247" s="31" t="n">
        <v>2.235</v>
      </c>
      <c r="BG247" s="31" t="n">
        <v>0.02235</v>
      </c>
      <c r="BH247" s="14" t="n">
        <f aca="false">10^6/((BB247+273.15)^2)</f>
        <v>11.6074793328546</v>
      </c>
      <c r="BI247" s="14" t="n">
        <f aca="false">BH247*(2*($BF247/($BE247+273.15)))</f>
        <v>0.176772376988132</v>
      </c>
      <c r="BJ247" s="14" t="n">
        <f aca="false">BH247*(2*($BG247/($BE247+273.15)))</f>
        <v>0.00176772376988132</v>
      </c>
      <c r="BL247" s="14" t="n">
        <f aca="false">10^6/((AH247+273.15)^2)</f>
        <v>11.1298760722601</v>
      </c>
      <c r="BM247" s="14" t="n">
        <f aca="false">BL247*(2*($AI247/($AH247+273.15)))</f>
        <v>0.116882320225388</v>
      </c>
      <c r="BN247" s="14" t="n">
        <f aca="false">10^6/((AJ247+273.15)^2)</f>
        <v>11.6449231410192</v>
      </c>
      <c r="BO247" s="14" t="n">
        <f aca="false">BN247*(2*($AK247/($AJ247+273.15)))</f>
        <v>0.216407125793525</v>
      </c>
    </row>
    <row r="248" s="14" customFormat="true" ht="16" hidden="false" customHeight="false" outlineLevel="0" collapsed="false">
      <c r="A248" s="22" t="s">
        <v>139</v>
      </c>
      <c r="B248" s="23" t="s">
        <v>311</v>
      </c>
      <c r="C248" s="14" t="s">
        <v>53</v>
      </c>
      <c r="D248" s="23" t="s">
        <v>312</v>
      </c>
      <c r="E248" s="24" t="s">
        <v>313</v>
      </c>
      <c r="F248" s="22" t="n">
        <v>0</v>
      </c>
      <c r="G248" s="22" t="n">
        <v>162.7</v>
      </c>
      <c r="H248" s="22" t="s">
        <v>56</v>
      </c>
      <c r="I248" s="22" t="s">
        <v>57</v>
      </c>
      <c r="J248" s="22" t="n">
        <v>4438</v>
      </c>
      <c r="K248" s="25" t="s">
        <v>139</v>
      </c>
      <c r="L248" s="22" t="s">
        <v>144</v>
      </c>
      <c r="M248" s="22" t="s">
        <v>145</v>
      </c>
      <c r="N248" s="22" t="s">
        <v>146</v>
      </c>
      <c r="O248" s="22" t="s">
        <v>92</v>
      </c>
      <c r="P248" s="22" t="s">
        <v>92</v>
      </c>
      <c r="Q248" s="22" t="n">
        <v>4</v>
      </c>
      <c r="R248" s="25" t="s">
        <v>62</v>
      </c>
      <c r="S248" s="25" t="n">
        <v>35.309</v>
      </c>
      <c r="T248" s="22" t="n">
        <v>-30.2154205607477</v>
      </c>
      <c r="U248" s="23" t="n">
        <v>13</v>
      </c>
      <c r="V248" s="27" t="n">
        <v>1.54846153846154</v>
      </c>
      <c r="W248" s="27" t="n">
        <v>0.0871632714934214</v>
      </c>
      <c r="X248" s="27" t="n">
        <v>0.0241747419005169</v>
      </c>
      <c r="Y248" s="27" t="n">
        <v>-0.787692307692308</v>
      </c>
      <c r="Z248" s="27" t="n">
        <v>0.151115510242653</v>
      </c>
      <c r="AA248" s="27" t="n">
        <v>0.0419119015921377</v>
      </c>
      <c r="AB248" s="27" t="n">
        <v>0.28696181</v>
      </c>
      <c r="AC248" s="27" t="n">
        <v>0.202433737388791</v>
      </c>
      <c r="AD248" s="27" t="n">
        <v>0.201220548196741</v>
      </c>
      <c r="AE248" s="28" t="n">
        <v>0.599461538461538</v>
      </c>
      <c r="AF248" s="28" t="n">
        <v>0.00835096753538896</v>
      </c>
      <c r="AG248" s="61" t="n">
        <f aca="false">AF248*SQRT(U248)</f>
        <v>0.03010984164858</v>
      </c>
      <c r="AH248" s="29" t="n">
        <v>26.5969934463501</v>
      </c>
      <c r="AI248" s="27" t="n">
        <v>1.57392246989679</v>
      </c>
      <c r="AJ248" s="27" t="n">
        <f aca="false">VLOOKUP(B248,proft,2,0)</f>
        <v>16.3087789322144</v>
      </c>
      <c r="AK248" s="27" t="n">
        <f aca="false">VLOOKUP(B248,proft,3,0)</f>
        <v>1.9707880020142</v>
      </c>
      <c r="AL248" s="27" t="s">
        <v>63</v>
      </c>
      <c r="AN248" s="33"/>
      <c r="BB248" s="47" t="n">
        <v>20.3905</v>
      </c>
      <c r="BC248" s="47" t="n">
        <v>2.228</v>
      </c>
      <c r="BD248" s="47" t="n">
        <v>0.02228</v>
      </c>
      <c r="BE248" s="31" t="n">
        <v>20.3905</v>
      </c>
      <c r="BF248" s="31" t="n">
        <v>2.228</v>
      </c>
      <c r="BG248" s="31" t="n">
        <v>0.02228</v>
      </c>
      <c r="BH248" s="14" t="n">
        <f aca="false">10^6/((BB248+273.15)^2)</f>
        <v>11.6055022657983</v>
      </c>
      <c r="BI248" s="14" t="n">
        <f aca="false">BH248*(2*($BF248/($BE248+273.15)))</f>
        <v>0.176173707193375</v>
      </c>
      <c r="BJ248" s="14" t="n">
        <f aca="false">BH248*(2*($BG248/($BE248+273.15)))</f>
        <v>0.00176173707193375</v>
      </c>
      <c r="BL248" s="14" t="n">
        <f aca="false">10^6/((AH248+273.15)^2)</f>
        <v>11.1298760722601</v>
      </c>
      <c r="BM248" s="14" t="n">
        <f aca="false">BL248*(2*($AI248/($AH248+273.15)))</f>
        <v>0.116882320225388</v>
      </c>
      <c r="BN248" s="14" t="n">
        <f aca="false">10^6/((AJ248+273.15)^2)</f>
        <v>11.9351133668012</v>
      </c>
      <c r="BO248" s="14" t="n">
        <f aca="false">BN248*(2*($AK248/($AJ248+273.15)))</f>
        <v>0.16252109065574</v>
      </c>
    </row>
    <row r="249" s="14" customFormat="true" ht="16" hidden="false" customHeight="false" outlineLevel="0" collapsed="false">
      <c r="A249" s="22" t="s">
        <v>130</v>
      </c>
      <c r="B249" s="23" t="s">
        <v>352</v>
      </c>
      <c r="C249" s="14" t="s">
        <v>53</v>
      </c>
      <c r="D249" s="23" t="s">
        <v>353</v>
      </c>
      <c r="E249" s="24" t="s">
        <v>349</v>
      </c>
      <c r="F249" s="22" t="n">
        <v>-3.93</v>
      </c>
      <c r="G249" s="22" t="n">
        <v>156</v>
      </c>
      <c r="H249" s="22" t="s">
        <v>56</v>
      </c>
      <c r="I249" s="22" t="s">
        <v>57</v>
      </c>
      <c r="J249" s="22" t="n">
        <v>1800</v>
      </c>
      <c r="K249" s="25" t="s">
        <v>130</v>
      </c>
      <c r="L249" s="22" t="s">
        <v>80</v>
      </c>
      <c r="M249" s="22" t="s">
        <v>134</v>
      </c>
      <c r="N249" s="22" t="s">
        <v>135</v>
      </c>
      <c r="O249" s="22" t="s">
        <v>92</v>
      </c>
      <c r="P249" s="22" t="s">
        <v>92</v>
      </c>
      <c r="Q249" s="22" t="n">
        <v>4</v>
      </c>
      <c r="R249" s="25" t="s">
        <v>62</v>
      </c>
      <c r="S249" s="25" t="n">
        <v>35.0083529411765</v>
      </c>
      <c r="T249" s="22" t="n">
        <v>6.05656321839081</v>
      </c>
      <c r="U249" s="23" t="n">
        <v>5</v>
      </c>
      <c r="V249" s="27" t="n">
        <v>1.266</v>
      </c>
      <c r="W249" s="27" t="n">
        <v>0.0427784992724149</v>
      </c>
      <c r="X249" s="27" t="n">
        <v>0.019131126469709</v>
      </c>
      <c r="Y249" s="27" t="n">
        <v>-0.436</v>
      </c>
      <c r="Z249" s="27" t="n">
        <v>0.0684105255059488</v>
      </c>
      <c r="AA249" s="27" t="n">
        <v>0.0305941170815569</v>
      </c>
      <c r="AB249" s="27" t="n">
        <v>0.318244435</v>
      </c>
      <c r="AC249" s="27" t="n">
        <v>0.207620164584352</v>
      </c>
      <c r="AD249" s="27" t="n">
        <v>0.201290061330258</v>
      </c>
      <c r="AE249" s="28" t="n">
        <v>0.6136</v>
      </c>
      <c r="AF249" s="28" t="n">
        <v>0.00966747123088557</v>
      </c>
      <c r="AG249" s="61" t="n">
        <f aca="false">AF249*SQRT(U249)</f>
        <v>0.0216171228427837</v>
      </c>
      <c r="AH249" s="29" t="n">
        <v>28.482523282369</v>
      </c>
      <c r="AI249" s="27" t="n">
        <v>0.807590496795228</v>
      </c>
      <c r="AJ249" s="27" t="n">
        <f aca="false">VLOOKUP(B249,proft,2,0)</f>
        <v>18.6245978216662</v>
      </c>
      <c r="AK249" s="27" t="n">
        <f aca="false">VLOOKUP(B249,proft,3,0)</f>
        <v>2.928279876709</v>
      </c>
      <c r="AL249" s="27" t="s">
        <v>63</v>
      </c>
      <c r="BB249" s="30" t="n">
        <v>19.1228</v>
      </c>
      <c r="BC249" s="30" t="n">
        <v>2.204</v>
      </c>
      <c r="BD249" s="30" t="n">
        <v>0.02204</v>
      </c>
      <c r="BE249" s="31" t="n">
        <v>19.1228</v>
      </c>
      <c r="BF249" s="31" t="n">
        <v>2.204</v>
      </c>
      <c r="BG249" s="31" t="n">
        <v>0.02204</v>
      </c>
      <c r="BH249" s="14" t="n">
        <f aca="false">10^6/((BB249+273.15)^2)</f>
        <v>11.7063956891702</v>
      </c>
      <c r="BI249" s="14" t="n">
        <f aca="false">BH249*(2*($BF249/($BE249+273.15)))</f>
        <v>0.176553521907828</v>
      </c>
      <c r="BJ249" s="14" t="n">
        <f aca="false">BH249*(2*($BG249/($BE249+273.15)))</f>
        <v>0.00176553521907828</v>
      </c>
      <c r="BL249" s="14" t="n">
        <f aca="false">10^6/((AH249+273.15)^2)</f>
        <v>10.9911634330314</v>
      </c>
      <c r="BM249" s="14" t="n">
        <f aca="false">BL249*(2*($AI249/($AH249+273.15)))</f>
        <v>0.058855451266639</v>
      </c>
      <c r="BN249" s="14" t="n">
        <f aca="false">10^6/((AJ249+273.15)^2)</f>
        <v>11.7464069241888</v>
      </c>
      <c r="BO249" s="14" t="n">
        <f aca="false">BN249*(2*($AK249/($AJ249+273.15)))</f>
        <v>0.235776296336535</v>
      </c>
    </row>
    <row r="250" s="14" customFormat="true" ht="16" hidden="false" customHeight="false" outlineLevel="0" collapsed="false">
      <c r="A250" s="22" t="s">
        <v>139</v>
      </c>
      <c r="B250" s="23" t="s">
        <v>354</v>
      </c>
      <c r="C250" s="14" t="s">
        <v>53</v>
      </c>
      <c r="D250" s="23" t="s">
        <v>355</v>
      </c>
      <c r="E250" s="24" t="s">
        <v>349</v>
      </c>
      <c r="F250" s="22" t="n">
        <v>-3.93</v>
      </c>
      <c r="G250" s="22" t="n">
        <v>156</v>
      </c>
      <c r="H250" s="22" t="s">
        <v>56</v>
      </c>
      <c r="I250" s="22" t="s">
        <v>57</v>
      </c>
      <c r="J250" s="22" t="n">
        <v>1800</v>
      </c>
      <c r="K250" s="25" t="s">
        <v>139</v>
      </c>
      <c r="L250" s="22" t="s">
        <v>144</v>
      </c>
      <c r="M250" s="22" t="s">
        <v>145</v>
      </c>
      <c r="N250" s="22" t="s">
        <v>146</v>
      </c>
      <c r="O250" s="22" t="s">
        <v>92</v>
      </c>
      <c r="P250" s="22" t="s">
        <v>92</v>
      </c>
      <c r="Q250" s="22" t="n">
        <v>4</v>
      </c>
      <c r="R250" s="25" t="s">
        <v>62</v>
      </c>
      <c r="S250" s="25" t="n">
        <v>35.4135</v>
      </c>
      <c r="T250" s="22" t="n">
        <v>6.05656321839081</v>
      </c>
      <c r="U250" s="23" t="n">
        <v>3</v>
      </c>
      <c r="V250" s="27" t="n">
        <v>1.22</v>
      </c>
      <c r="W250" s="27" t="n">
        <v>0.02</v>
      </c>
      <c r="X250" s="27" t="n">
        <v>0.0115470053837925</v>
      </c>
      <c r="Y250" s="27" t="n">
        <v>-1.28</v>
      </c>
      <c r="Z250" s="27" t="n">
        <v>0.02</v>
      </c>
      <c r="AA250" s="27" t="n">
        <v>0.0115470053837925</v>
      </c>
      <c r="AB250" s="27" t="n">
        <v>0.354047505</v>
      </c>
      <c r="AC250" s="27" t="n">
        <v>0.205387596987682</v>
      </c>
      <c r="AD250" s="27" t="n">
        <v>0.202711697980623</v>
      </c>
      <c r="AE250" s="28" t="n">
        <v>0.620666666666667</v>
      </c>
      <c r="AF250" s="28" t="n">
        <v>0.00260341655863555</v>
      </c>
      <c r="AG250" s="61" t="n">
        <f aca="false">AF250*SQRT(U250)</f>
        <v>0.0045092497528229</v>
      </c>
      <c r="AH250" s="29" t="n">
        <v>26.8171615600586</v>
      </c>
      <c r="AI250" s="27" t="n">
        <v>0.938049931839799</v>
      </c>
      <c r="AJ250" s="27" t="n">
        <f aca="false">VLOOKUP(B250,proft,2,0)</f>
        <v>22.8933195291853</v>
      </c>
      <c r="AK250" s="27" t="n">
        <f aca="false">VLOOKUP(B250,proft,3,0)</f>
        <v>2.678581237793</v>
      </c>
      <c r="AL250" s="27" t="s">
        <v>63</v>
      </c>
      <c r="BB250" s="30" t="n">
        <v>22.5554</v>
      </c>
      <c r="BC250" s="30" t="n">
        <v>2.239</v>
      </c>
      <c r="BD250" s="30" t="n">
        <v>0.02239</v>
      </c>
      <c r="BE250" s="31" t="n">
        <v>22.5554</v>
      </c>
      <c r="BF250" s="31" t="n">
        <v>2.239</v>
      </c>
      <c r="BG250" s="31" t="n">
        <v>0.02239</v>
      </c>
      <c r="BH250" s="14" t="n">
        <f aca="false">10^6/((BB250+273.15)^2)</f>
        <v>11.4361933457096</v>
      </c>
      <c r="BI250" s="14" t="n">
        <f aca="false">BH250*(2*($BF250/($BE250+273.15)))</f>
        <v>0.173183424455853</v>
      </c>
      <c r="BJ250" s="14" t="n">
        <f aca="false">BH250*(2*($BG250/($BE250+273.15)))</f>
        <v>0.00173183424455853</v>
      </c>
      <c r="BL250" s="14" t="n">
        <f aca="false">10^6/((AH250+273.15)^2)</f>
        <v>11.1135439875959</v>
      </c>
      <c r="BM250" s="14" t="n">
        <f aca="false">BL250*(2*($AI250/($AH250+273.15)))</f>
        <v>0.0695080029816906</v>
      </c>
      <c r="BN250" s="14" t="n">
        <f aca="false">10^6/((AJ250+273.15)^2)</f>
        <v>11.4101004921555</v>
      </c>
      <c r="BO250" s="14" t="n">
        <f aca="false">BN250*(2*($AK250/($AJ250+273.15)))</f>
        <v>0.206475735701291</v>
      </c>
    </row>
    <row r="251" s="14" customFormat="true" ht="16" hidden="false" customHeight="false" outlineLevel="0" collapsed="false">
      <c r="A251" s="22" t="s">
        <v>51</v>
      </c>
      <c r="B251" s="23" t="s">
        <v>117</v>
      </c>
      <c r="C251" s="14" t="s">
        <v>53</v>
      </c>
      <c r="D251" s="23" t="s">
        <v>118</v>
      </c>
      <c r="E251" s="24" t="s">
        <v>119</v>
      </c>
      <c r="F251" s="22" t="n">
        <v>19.99933333</v>
      </c>
      <c r="G251" s="22" t="n">
        <v>65.58333333</v>
      </c>
      <c r="H251" s="22" t="s">
        <v>120</v>
      </c>
      <c r="I251" s="22" t="s">
        <v>121</v>
      </c>
      <c r="J251" s="22" t="n">
        <v>3190</v>
      </c>
      <c r="K251" s="25" t="s">
        <v>51</v>
      </c>
      <c r="L251" s="22" t="s">
        <v>58</v>
      </c>
      <c r="M251" s="22" t="s">
        <v>59</v>
      </c>
      <c r="N251" s="22" t="s">
        <v>60</v>
      </c>
      <c r="O251" s="22" t="s">
        <v>61</v>
      </c>
      <c r="P251" s="22" t="s">
        <v>61</v>
      </c>
      <c r="Q251" s="22" t="n">
        <v>3</v>
      </c>
      <c r="R251" s="25" t="s">
        <v>62</v>
      </c>
      <c r="S251" s="25" t="n">
        <v>36.4762352941176</v>
      </c>
      <c r="T251" s="22" t="n">
        <v>-3.12037638376384</v>
      </c>
      <c r="U251" s="23" t="n">
        <v>8</v>
      </c>
      <c r="V251" s="27" t="n">
        <v>1.6425</v>
      </c>
      <c r="W251" s="27" t="n">
        <v>0.0961769203083567</v>
      </c>
      <c r="X251" s="27" t="n">
        <v>0.0340036762718386</v>
      </c>
      <c r="Y251" s="27" t="n">
        <v>-0.3725</v>
      </c>
      <c r="Z251" s="27" t="n">
        <v>0.0443202630213965</v>
      </c>
      <c r="AA251" s="27" t="n">
        <v>0.0156695792632004</v>
      </c>
      <c r="AB251" s="27" t="n">
        <v>0.672289202</v>
      </c>
      <c r="AC251" s="27" t="n">
        <v>0.202870966674951</v>
      </c>
      <c r="AD251" s="27" t="n">
        <v>0.200577480849486</v>
      </c>
      <c r="AE251" s="28" t="n">
        <v>0.59425</v>
      </c>
      <c r="AF251" s="28" t="n">
        <v>0.00953892401838757</v>
      </c>
      <c r="AG251" s="61" t="n">
        <f aca="false">AF251*SQRT(U251)</f>
        <v>0.0269801514345003</v>
      </c>
      <c r="AH251" s="29" t="n">
        <v>25.0609136469224</v>
      </c>
      <c r="AI251" s="27" t="n">
        <v>1.50341550156977</v>
      </c>
      <c r="AJ251" s="27" t="n">
        <f aca="false">VLOOKUP(B251,proft,2,0)</f>
        <v>19.2435869864156</v>
      </c>
      <c r="AK251" s="27" t="n">
        <f aca="false">VLOOKUP(B251,proft,3,0)</f>
        <v>1.1674976348877</v>
      </c>
      <c r="AL251" s="27" t="s">
        <v>63</v>
      </c>
      <c r="AN251" s="33"/>
      <c r="BB251" s="30" t="n">
        <v>20.2964</v>
      </c>
      <c r="BC251" s="30" t="n">
        <v>2.264</v>
      </c>
      <c r="BD251" s="30" t="n">
        <v>0.02264</v>
      </c>
      <c r="BE251" s="31" t="n">
        <v>20.2964</v>
      </c>
      <c r="BF251" s="31" t="n">
        <v>2.264</v>
      </c>
      <c r="BG251" s="31" t="n">
        <v>0.02264</v>
      </c>
      <c r="BH251" s="14" t="n">
        <f aca="false">10^6/((BB251+273.15)^2)</f>
        <v>11.6129465749635</v>
      </c>
      <c r="BI251" s="14" t="n">
        <f aca="false">BH251*(2*($BF251/($BE251+273.15)))</f>
        <v>0.179192595620306</v>
      </c>
      <c r="BJ251" s="14" t="n">
        <f aca="false">BH251*(2*($BG251/($BE251+273.15)))</f>
        <v>0.00179192595620306</v>
      </c>
      <c r="BL251" s="14" t="n">
        <f aca="false">10^6/((AH251+273.15)^2)</f>
        <v>11.2448310159529</v>
      </c>
      <c r="BM251" s="14" t="n">
        <f aca="false">BL251*(2*($AI251/($AH251+273.15)))</f>
        <v>0.113380513510865</v>
      </c>
      <c r="BN251" s="14" t="n">
        <f aca="false">10^6/((AJ251+273.15)^2)</f>
        <v>11.6967259271485</v>
      </c>
      <c r="BO251" s="14" t="n">
        <f aca="false">BN251*(2*($AK251/($AJ251+273.15)))</f>
        <v>0.0934076564169651</v>
      </c>
    </row>
    <row r="252" s="14" customFormat="true" ht="16" hidden="false" customHeight="false" outlineLevel="0" collapsed="false">
      <c r="A252" s="22" t="s">
        <v>51</v>
      </c>
      <c r="B252" s="23" t="s">
        <v>52</v>
      </c>
      <c r="C252" s="14" t="s">
        <v>53</v>
      </c>
      <c r="D252" s="23" t="s">
        <v>54</v>
      </c>
      <c r="E252" s="24" t="s">
        <v>55</v>
      </c>
      <c r="F252" s="22" t="n">
        <v>8.02</v>
      </c>
      <c r="G252" s="22" t="n">
        <v>113.39</v>
      </c>
      <c r="H252" s="22" t="s">
        <v>56</v>
      </c>
      <c r="I252" s="22" t="s">
        <v>57</v>
      </c>
      <c r="J252" s="22" t="n">
        <v>1911</v>
      </c>
      <c r="K252" s="27" t="s">
        <v>51</v>
      </c>
      <c r="L252" s="22" t="s">
        <v>58</v>
      </c>
      <c r="M252" s="22" t="s">
        <v>59</v>
      </c>
      <c r="N252" s="22" t="s">
        <v>60</v>
      </c>
      <c r="O252" s="22" t="s">
        <v>61</v>
      </c>
      <c r="P252" s="22" t="s">
        <v>61</v>
      </c>
      <c r="Q252" s="22" t="n">
        <v>3</v>
      </c>
      <c r="R252" s="27" t="s">
        <v>62</v>
      </c>
      <c r="S252" s="25" t="n">
        <v>33.7532352941176</v>
      </c>
      <c r="T252" s="22" t="n">
        <v>3.70164634146341</v>
      </c>
      <c r="U252" s="23" t="n">
        <v>3</v>
      </c>
      <c r="V252" s="27" t="n">
        <v>1.35666666666667</v>
      </c>
      <c r="W252" s="27" t="n">
        <v>0.0208166599946612</v>
      </c>
      <c r="X252" s="27" t="n">
        <v>0.0120185042515466</v>
      </c>
      <c r="Y252" s="27" t="n">
        <v>-1.03</v>
      </c>
      <c r="Z252" s="27" t="n">
        <v>0.0360555127546399</v>
      </c>
      <c r="AA252" s="27" t="n">
        <v>0.0208166599946613</v>
      </c>
      <c r="AB252" s="27" t="n">
        <v>0.0481249134</v>
      </c>
      <c r="AC252" s="27" t="n">
        <v>0.268868222956965</v>
      </c>
      <c r="AD252" s="27" t="n">
        <v>0.215541235644614</v>
      </c>
      <c r="AE252" s="28" t="n">
        <v>0.594333333333333</v>
      </c>
      <c r="AF252" s="28" t="n">
        <v>0.00233333333333334</v>
      </c>
      <c r="AG252" s="61" t="n">
        <f aca="false">AF252*SQRT(U252)</f>
        <v>0.00404145188432738</v>
      </c>
      <c r="AH252" s="29" t="n">
        <v>25.3513699699851</v>
      </c>
      <c r="AI252" s="27" t="n">
        <v>2.802273257524</v>
      </c>
      <c r="AJ252" s="27" t="n">
        <f aca="false">VLOOKUP(B252,proft,2,0)</f>
        <v>19.399192918054</v>
      </c>
      <c r="AK252" s="27" t="n">
        <f aca="false">VLOOKUP(B252,proft,3,0)</f>
        <v>1.7928161621094</v>
      </c>
      <c r="AL252" s="27" t="s">
        <v>63</v>
      </c>
      <c r="BB252" s="30" t="n">
        <v>20.4221</v>
      </c>
      <c r="BC252" s="30" t="n">
        <v>2.252</v>
      </c>
      <c r="BD252" s="30" t="n">
        <v>0.02252</v>
      </c>
      <c r="BE252" s="31" t="n">
        <v>20.4221</v>
      </c>
      <c r="BF252" s="31" t="n">
        <v>2.252</v>
      </c>
      <c r="BG252" s="31" t="n">
        <v>0.02252</v>
      </c>
      <c r="BH252" s="14" t="n">
        <f aca="false">10^6/((BB252+273.15)^2)</f>
        <v>11.6030039757084</v>
      </c>
      <c r="BI252" s="14" t="n">
        <f aca="false">BH252*(2*($BF252/($BE252+273.15)))</f>
        <v>0.178013952642607</v>
      </c>
      <c r="BJ252" s="14" t="n">
        <f aca="false">BH252*(2*($BG252/($BE252+273.15)))</f>
        <v>0.00178013952642607</v>
      </c>
      <c r="BL252" s="14" t="n">
        <f aca="false">10^6/((AH252+273.15)^2)</f>
        <v>11.2229581299554</v>
      </c>
      <c r="BM252" s="14" t="n">
        <f aca="false">BL252*(2*($AI252/($AH252+273.15)))</f>
        <v>0.210717930313337</v>
      </c>
      <c r="BN252" s="14" t="n">
        <f aca="false">10^6/((AJ252+273.15)^2)</f>
        <v>11.6842863379658</v>
      </c>
      <c r="BO252" s="14" t="n">
        <f aca="false">BN252*(2*($AK252/($AJ252+273.15)))</f>
        <v>0.143208580960173</v>
      </c>
    </row>
    <row r="253" s="14" customFormat="true" ht="16" hidden="false" customHeight="false" outlineLevel="0" collapsed="false">
      <c r="A253" s="22" t="s">
        <v>51</v>
      </c>
      <c r="B253" s="23" t="s">
        <v>73</v>
      </c>
      <c r="C253" s="14" t="s">
        <v>53</v>
      </c>
      <c r="D253" s="23" t="s">
        <v>54</v>
      </c>
      <c r="E253" s="24" t="s">
        <v>55</v>
      </c>
      <c r="F253" s="22" t="n">
        <v>8.02</v>
      </c>
      <c r="G253" s="22" t="n">
        <v>113.39</v>
      </c>
      <c r="H253" s="22" t="s">
        <v>56</v>
      </c>
      <c r="I253" s="22" t="s">
        <v>57</v>
      </c>
      <c r="J253" s="22" t="n">
        <v>1911</v>
      </c>
      <c r="K253" s="27" t="s">
        <v>51</v>
      </c>
      <c r="L253" s="22" t="s">
        <v>58</v>
      </c>
      <c r="M253" s="22" t="s">
        <v>59</v>
      </c>
      <c r="N253" s="22" t="s">
        <v>60</v>
      </c>
      <c r="O253" s="22" t="s">
        <v>61</v>
      </c>
      <c r="P253" s="22" t="s">
        <v>61</v>
      </c>
      <c r="Q253" s="22" t="n">
        <v>3</v>
      </c>
      <c r="R253" s="27" t="s">
        <v>62</v>
      </c>
      <c r="S253" s="25" t="n">
        <v>33.7532352941176</v>
      </c>
      <c r="T253" s="22" t="n">
        <v>3.70164634146341</v>
      </c>
      <c r="U253" s="23" t="n">
        <v>4</v>
      </c>
      <c r="V253" s="27" t="n">
        <v>1.37</v>
      </c>
      <c r="W253" s="27" t="n">
        <v>0.0115470053837924</v>
      </c>
      <c r="X253" s="27" t="n">
        <v>0.0057735026918962</v>
      </c>
      <c r="Y253" s="27" t="n">
        <v>-0.9025</v>
      </c>
      <c r="Z253" s="27" t="n">
        <v>0.0543905629069357</v>
      </c>
      <c r="AA253" s="27" t="n">
        <v>0.0271952814534679</v>
      </c>
      <c r="AB253" s="27" t="n">
        <v>0.0481249134</v>
      </c>
      <c r="AC253" s="27" t="n">
        <v>0.268868222956965</v>
      </c>
      <c r="AD253" s="27" t="n">
        <v>0.215541235644614</v>
      </c>
      <c r="AE253" s="28" t="n">
        <v>0.60525</v>
      </c>
      <c r="AF253" s="28" t="n">
        <v>0.00481966458030709</v>
      </c>
      <c r="AG253" s="61" t="n">
        <f aca="false">AF253*SQRT(U253)</f>
        <v>0.00963932916061418</v>
      </c>
      <c r="AH253" s="29" t="n">
        <v>25.3513699699851</v>
      </c>
      <c r="AI253" s="27" t="n">
        <v>2.802273257524</v>
      </c>
      <c r="AJ253" s="27" t="n">
        <f aca="false">VLOOKUP(B253,proft,2,0)</f>
        <v>18.8607966252616</v>
      </c>
      <c r="AK253" s="27" t="n">
        <f aca="false">VLOOKUP(B253,proft,3,0)</f>
        <v>1.7928161621094</v>
      </c>
      <c r="AL253" s="27" t="s">
        <v>63</v>
      </c>
      <c r="BB253" s="30" t="n">
        <v>19.9121</v>
      </c>
      <c r="BC253" s="30" t="n">
        <v>2.239</v>
      </c>
      <c r="BD253" s="30" t="n">
        <v>0.02239</v>
      </c>
      <c r="BE253" s="31" t="n">
        <v>19.9121</v>
      </c>
      <c r="BF253" s="31" t="n">
        <v>2.239</v>
      </c>
      <c r="BG253" s="31" t="n">
        <v>0.02239</v>
      </c>
      <c r="BH253" s="14" t="n">
        <f aca="false">10^6/((BB253+273.15)^2)</f>
        <v>11.6434232657281</v>
      </c>
      <c r="BI253" s="14" t="n">
        <f aca="false">BH253*(2*($BF253/($BE253+273.15)))</f>
        <v>0.177911948982589</v>
      </c>
      <c r="BJ253" s="14" t="n">
        <f aca="false">BH253*(2*($BG253/($BE253+273.15)))</f>
        <v>0.00177911948982589</v>
      </c>
      <c r="BL253" s="14" t="n">
        <f aca="false">10^6/((AH253+273.15)^2)</f>
        <v>11.2229581299554</v>
      </c>
      <c r="BM253" s="14" t="n">
        <f aca="false">BL253*(2*($AI253/($AH253+273.15)))</f>
        <v>0.210717930313337</v>
      </c>
      <c r="BN253" s="14" t="n">
        <f aca="false">10^6/((AJ253+273.15)^2)</f>
        <v>11.7274119747267</v>
      </c>
      <c r="BO253" s="14" t="n">
        <f aca="false">BN253*(2*($AK253/($AJ253+273.15)))</f>
        <v>0.144002166844447</v>
      </c>
    </row>
    <row r="254" s="14" customFormat="true" ht="16" hidden="false" customHeight="false" outlineLevel="0" collapsed="false">
      <c r="A254" s="22" t="s">
        <v>229</v>
      </c>
      <c r="B254" s="40" t="s">
        <v>230</v>
      </c>
      <c r="C254" s="14" t="s">
        <v>53</v>
      </c>
      <c r="D254" s="36" t="s">
        <v>231</v>
      </c>
      <c r="E254" s="24" t="s">
        <v>222</v>
      </c>
      <c r="F254" s="22" t="n">
        <v>-2.18</v>
      </c>
      <c r="G254" s="22" t="n">
        <v>157</v>
      </c>
      <c r="H254" s="22" t="s">
        <v>56</v>
      </c>
      <c r="I254" s="22" t="s">
        <v>57</v>
      </c>
      <c r="J254" s="22" t="n">
        <v>1614</v>
      </c>
      <c r="K254" s="27" t="s">
        <v>229</v>
      </c>
      <c r="L254" s="22" t="s">
        <v>58</v>
      </c>
      <c r="M254" s="22" t="s">
        <v>232</v>
      </c>
      <c r="N254" s="22" t="s">
        <v>233</v>
      </c>
      <c r="O254" s="22" t="s">
        <v>61</v>
      </c>
      <c r="P254" s="22" t="s">
        <v>61</v>
      </c>
      <c r="Q254" s="22" t="n">
        <v>3</v>
      </c>
      <c r="R254" s="27" t="s">
        <v>234</v>
      </c>
      <c r="S254" s="25" t="n">
        <v>35.219875</v>
      </c>
      <c r="T254" s="22" t="n">
        <v>11.0624545454545</v>
      </c>
      <c r="U254" s="40" t="n">
        <v>5</v>
      </c>
      <c r="V254" s="42" t="n">
        <v>1.736</v>
      </c>
      <c r="W254" s="42" t="n">
        <v>0.0928977932999487</v>
      </c>
      <c r="X254" s="42" t="n">
        <v>0.041545156155682</v>
      </c>
      <c r="Y254" s="42" t="n">
        <v>-0.386</v>
      </c>
      <c r="Z254" s="42" t="n">
        <v>0.15274161188098</v>
      </c>
      <c r="AA254" s="42" t="n">
        <v>0.0683081254317522</v>
      </c>
      <c r="AB254" s="27" t="n">
        <v>0.272355646</v>
      </c>
      <c r="AC254" s="27" t="n">
        <v>0.231242300874694</v>
      </c>
      <c r="AD254" s="27" t="n">
        <v>0.206626717398222</v>
      </c>
      <c r="AE254" s="43" t="n">
        <v>0.5978</v>
      </c>
      <c r="AF254" s="43" t="n">
        <v>0.00461952378498044</v>
      </c>
      <c r="AG254" s="61" t="n">
        <f aca="false">AF254*SQRT(U254)</f>
        <v>0.0103295692068934</v>
      </c>
      <c r="AH254" s="29" t="n">
        <v>17.302487373352</v>
      </c>
      <c r="AI254" s="27" t="n">
        <v>5.98384420626632</v>
      </c>
      <c r="AJ254" s="27" t="n">
        <f aca="false">VLOOKUP(B254,proft,2,0)</f>
        <v>18.1611346345033</v>
      </c>
      <c r="AK254" s="27" t="n">
        <f aca="false">VLOOKUP(B254,proft,3,0)</f>
        <v>3.6172599792481</v>
      </c>
      <c r="AL254" s="27" t="s">
        <v>63</v>
      </c>
      <c r="BB254" s="30" t="n">
        <v>18.8361</v>
      </c>
      <c r="BC254" s="30" t="n">
        <v>2.257</v>
      </c>
      <c r="BD254" s="30" t="n">
        <v>0.02257</v>
      </c>
      <c r="BE254" s="31" t="n">
        <v>18.8361</v>
      </c>
      <c r="BF254" s="31" t="n">
        <v>2.257</v>
      </c>
      <c r="BG254" s="31" t="n">
        <v>0.02257</v>
      </c>
      <c r="BH254" s="14" t="n">
        <f aca="false">10^6/((BB254+273.15)^2)</f>
        <v>11.7293959030534</v>
      </c>
      <c r="BI254" s="14" t="n">
        <f aca="false">BH254*(2*($BF254/($BE254+273.15)))</f>
        <v>0.18133223844006</v>
      </c>
      <c r="BJ254" s="14" t="n">
        <f aca="false">BH254*(2*($BG254/($BE254+273.15)))</f>
        <v>0.0018133223844006</v>
      </c>
      <c r="BL254" s="14" t="n">
        <f aca="false">10^6/((AH254+273.15)^2)</f>
        <v>11.8535872280689</v>
      </c>
      <c r="BM254" s="14" t="n">
        <f aca="false">BL254*(2*($AI254/($AH254+273.15)))</f>
        <v>0.488410479108607</v>
      </c>
      <c r="BN254" s="14" t="n">
        <f aca="false">10^6/((AJ254+273.15)^2)</f>
        <v>11.7838126883138</v>
      </c>
      <c r="BO254" s="14" t="n">
        <f aca="false">BN254*(2*($AK254/($AJ254+273.15)))</f>
        <v>0.29264321869381</v>
      </c>
    </row>
    <row r="255" s="14" customFormat="true" ht="16" hidden="false" customHeight="false" outlineLevel="0" collapsed="false">
      <c r="A255" s="22" t="s">
        <v>229</v>
      </c>
      <c r="B255" s="40" t="s">
        <v>251</v>
      </c>
      <c r="C255" s="14" t="s">
        <v>53</v>
      </c>
      <c r="D255" s="36" t="s">
        <v>252</v>
      </c>
      <c r="E255" s="24" t="s">
        <v>248</v>
      </c>
      <c r="F255" s="22" t="n">
        <v>-0.997</v>
      </c>
      <c r="G255" s="22" t="n">
        <v>157.8</v>
      </c>
      <c r="H255" s="22" t="s">
        <v>56</v>
      </c>
      <c r="I255" s="22" t="s">
        <v>57</v>
      </c>
      <c r="J255" s="22" t="n">
        <v>2015</v>
      </c>
      <c r="K255" s="27" t="s">
        <v>229</v>
      </c>
      <c r="L255" s="22" t="s">
        <v>58</v>
      </c>
      <c r="M255" s="22" t="s">
        <v>232</v>
      </c>
      <c r="N255" s="22" t="s">
        <v>233</v>
      </c>
      <c r="O255" s="22" t="s">
        <v>61</v>
      </c>
      <c r="P255" s="22" t="s">
        <v>61</v>
      </c>
      <c r="Q255" s="22" t="n">
        <v>3</v>
      </c>
      <c r="R255" s="27" t="s">
        <v>234</v>
      </c>
      <c r="S255" s="25" t="n">
        <v>35.119875</v>
      </c>
      <c r="T255" s="22" t="n">
        <v>4.35245945945946</v>
      </c>
      <c r="U255" s="40" t="n">
        <v>6</v>
      </c>
      <c r="V255" s="42" t="n">
        <v>1.71666666666667</v>
      </c>
      <c r="W255" s="42" t="n">
        <v>0.0175119007154183</v>
      </c>
      <c r="X255" s="42" t="n">
        <v>0.00714920352984241</v>
      </c>
      <c r="Y255" s="42" t="n">
        <v>-0.726666666666667</v>
      </c>
      <c r="Z255" s="42" t="n">
        <v>0.111833209140517</v>
      </c>
      <c r="AA255" s="42" t="n">
        <v>0.0456557164487036</v>
      </c>
      <c r="AB255" s="27" t="n">
        <v>0.25244204</v>
      </c>
      <c r="AC255" s="27" t="n">
        <v>0.22695138504313</v>
      </c>
      <c r="AD255" s="27" t="n">
        <v>0.205673008036055</v>
      </c>
      <c r="AE255" s="43" t="n">
        <v>0.584666666666667</v>
      </c>
      <c r="AF255" s="43" t="n">
        <v>0.00745505048794291</v>
      </c>
      <c r="AG255" s="61" t="n">
        <f aca="false">AF255*SQRT(U255)</f>
        <v>0.0182610697021469</v>
      </c>
      <c r="AH255" s="29" t="n">
        <v>16.8201615810394</v>
      </c>
      <c r="AI255" s="27" t="n">
        <v>5.32427134601853</v>
      </c>
      <c r="AJ255" s="27" t="n">
        <f aca="false">VLOOKUP(B255,proft,2,0)</f>
        <v>19.7558481672419</v>
      </c>
      <c r="AK255" s="27" t="n">
        <f aca="false">VLOOKUP(B255,proft,3,0)</f>
        <v>3.0971984863281</v>
      </c>
      <c r="AL255" s="27" t="s">
        <v>63</v>
      </c>
      <c r="BB255" s="30" t="n">
        <v>20.0031</v>
      </c>
      <c r="BC255" s="30" t="n">
        <v>2.241</v>
      </c>
      <c r="BD255" s="30" t="n">
        <v>0.02241</v>
      </c>
      <c r="BE255" s="31" t="n">
        <v>20.0031</v>
      </c>
      <c r="BF255" s="31" t="n">
        <v>2.241</v>
      </c>
      <c r="BG255" s="31" t="n">
        <v>0.02241</v>
      </c>
      <c r="BH255" s="14" t="n">
        <f aca="false">10^6/((BB255+273.15)^2)</f>
        <v>11.6361957312743</v>
      </c>
      <c r="BI255" s="14" t="n">
        <f aca="false">BH255*(2*($BF255/($BE255+273.15)))</f>
        <v>0.177905092143223</v>
      </c>
      <c r="BJ255" s="14" t="n">
        <f aca="false">BH255*(2*($BG255/($BE255+273.15)))</f>
        <v>0.00177905092143223</v>
      </c>
      <c r="BL255" s="14" t="n">
        <f aca="false">10^6/((AH255+273.15)^2)</f>
        <v>11.8930536737672</v>
      </c>
      <c r="BM255" s="14" t="n">
        <f aca="false">BL255*(2*($AI255/($AH255+273.15)))</f>
        <v>0.436747315976525</v>
      </c>
      <c r="BN255" s="14" t="n">
        <f aca="false">10^6/((AJ255+273.15)^2)</f>
        <v>11.6558490434614</v>
      </c>
      <c r="BO255" s="14" t="n">
        <f aca="false">BN255*(2*($AK255/($AJ255+273.15)))</f>
        <v>0.246498854428233</v>
      </c>
    </row>
    <row r="256" s="14" customFormat="true" ht="16" hidden="false" customHeight="false" outlineLevel="0" collapsed="false">
      <c r="A256" s="22" t="s">
        <v>229</v>
      </c>
      <c r="B256" s="40" t="s">
        <v>265</v>
      </c>
      <c r="C256" s="14" t="s">
        <v>53</v>
      </c>
      <c r="D256" s="36" t="s">
        <v>266</v>
      </c>
      <c r="E256" s="24" t="s">
        <v>264</v>
      </c>
      <c r="F256" s="22" t="n">
        <v>0</v>
      </c>
      <c r="G256" s="22" t="n">
        <v>159</v>
      </c>
      <c r="H256" s="22" t="s">
        <v>56</v>
      </c>
      <c r="I256" s="22" t="s">
        <v>57</v>
      </c>
      <c r="J256" s="22" t="n">
        <v>2445</v>
      </c>
      <c r="K256" s="27" t="s">
        <v>229</v>
      </c>
      <c r="L256" s="22" t="s">
        <v>58</v>
      </c>
      <c r="M256" s="22" t="s">
        <v>232</v>
      </c>
      <c r="N256" s="22" t="s">
        <v>233</v>
      </c>
      <c r="O256" s="22" t="s">
        <v>61</v>
      </c>
      <c r="P256" s="22" t="s">
        <v>61</v>
      </c>
      <c r="Q256" s="22" t="n">
        <v>3</v>
      </c>
      <c r="R256" s="27" t="s">
        <v>234</v>
      </c>
      <c r="S256" s="25" t="n">
        <v>35.0695</v>
      </c>
      <c r="T256" s="22" t="n">
        <v>2.9821677852349</v>
      </c>
      <c r="U256" s="40" t="n">
        <v>6</v>
      </c>
      <c r="V256" s="42" t="n">
        <v>1.85</v>
      </c>
      <c r="W256" s="42" t="n">
        <v>0.132815661727072</v>
      </c>
      <c r="X256" s="42" t="n">
        <v>0.0542217668469038</v>
      </c>
      <c r="Y256" s="42" t="n">
        <v>-0.746666666666667</v>
      </c>
      <c r="Z256" s="42" t="n">
        <v>0.343608304129378</v>
      </c>
      <c r="AA256" s="42" t="n">
        <v>0.140277502750006</v>
      </c>
      <c r="AB256" s="27" t="n">
        <v>0.228604084</v>
      </c>
      <c r="AC256" s="27" t="n">
        <v>0.222206987775184</v>
      </c>
      <c r="AD256" s="27" t="n">
        <v>0.204634281300138</v>
      </c>
      <c r="AE256" s="43" t="n">
        <v>0.578</v>
      </c>
      <c r="AF256" s="43" t="n">
        <v>0.00857126983980008</v>
      </c>
      <c r="AG256" s="61" t="n">
        <f aca="false">AF256*SQRT(U256)</f>
        <v>0.0209952375552171</v>
      </c>
      <c r="AH256" s="29" t="n">
        <v>17.2450672388077</v>
      </c>
      <c r="AI256" s="27" t="n">
        <v>4.94471501370271</v>
      </c>
      <c r="AJ256" s="27" t="n">
        <f aca="false">VLOOKUP(B256,proft,2,0)</f>
        <v>19.6998288018794</v>
      </c>
      <c r="AK256" s="27" t="n">
        <f aca="false">VLOOKUP(B256,proft,3,0)</f>
        <v>2.4637832641601</v>
      </c>
      <c r="AL256" s="27" t="s">
        <v>63</v>
      </c>
      <c r="BB256" s="30" t="n">
        <v>19.9949</v>
      </c>
      <c r="BC256" s="30" t="n">
        <v>2.244</v>
      </c>
      <c r="BD256" s="30" t="n">
        <v>0.02244</v>
      </c>
      <c r="BE256" s="31" t="n">
        <v>19.9949</v>
      </c>
      <c r="BF256" s="31" t="n">
        <v>2.244</v>
      </c>
      <c r="BG256" s="31" t="n">
        <v>0.02244</v>
      </c>
      <c r="BH256" s="14" t="n">
        <f aca="false">10^6/((BB256+273.15)^2)</f>
        <v>11.6368467276895</v>
      </c>
      <c r="BI256" s="14" t="n">
        <f aca="false">BH256*(2*($BF256/($BE256+273.15)))</f>
        <v>0.178158201332756</v>
      </c>
      <c r="BJ256" s="14" t="n">
        <f aca="false">BH256*(2*($BG256/($BE256+273.15)))</f>
        <v>0.00178158201332756</v>
      </c>
      <c r="BL256" s="14" t="n">
        <f aca="false">10^6/((AH256+273.15)^2)</f>
        <v>11.8582753370733</v>
      </c>
      <c r="BM256" s="14" t="n">
        <f aca="false">BL256*(2*($AI256/($AH256+273.15)))</f>
        <v>0.403834628827408</v>
      </c>
      <c r="BN256" s="14" t="n">
        <f aca="false">10^6/((AJ256+273.15)^2)</f>
        <v>11.6603087743801</v>
      </c>
      <c r="BO256" s="14" t="n">
        <f aca="false">BN256*(2*($AK256/($AJ256+273.15)))</f>
        <v>0.196199353988303</v>
      </c>
    </row>
    <row r="257" s="14" customFormat="true" ht="16" hidden="false" customHeight="false" outlineLevel="0" collapsed="false">
      <c r="A257" s="22" t="s">
        <v>229</v>
      </c>
      <c r="B257" s="40" t="s">
        <v>269</v>
      </c>
      <c r="C257" s="14" t="s">
        <v>53</v>
      </c>
      <c r="D257" s="36" t="s">
        <v>270</v>
      </c>
      <c r="E257" s="24" t="s">
        <v>271</v>
      </c>
      <c r="F257" s="22" t="n">
        <v>0</v>
      </c>
      <c r="G257" s="22" t="n">
        <v>160.4</v>
      </c>
      <c r="H257" s="22" t="s">
        <v>56</v>
      </c>
      <c r="I257" s="22" t="s">
        <v>57</v>
      </c>
      <c r="J257" s="22" t="n">
        <v>2959</v>
      </c>
      <c r="K257" s="27" t="s">
        <v>229</v>
      </c>
      <c r="L257" s="22" t="s">
        <v>58</v>
      </c>
      <c r="M257" s="22" t="s">
        <v>232</v>
      </c>
      <c r="N257" s="22" t="s">
        <v>233</v>
      </c>
      <c r="O257" s="22" t="s">
        <v>61</v>
      </c>
      <c r="P257" s="22" t="s">
        <v>61</v>
      </c>
      <c r="Q257" s="22" t="n">
        <v>3</v>
      </c>
      <c r="R257" s="27" t="s">
        <v>234</v>
      </c>
      <c r="S257" s="25" t="n">
        <v>35.062625</v>
      </c>
      <c r="T257" s="22" t="n">
        <v>-2.17345945945946</v>
      </c>
      <c r="U257" s="40" t="n">
        <v>4</v>
      </c>
      <c r="V257" s="42" t="n">
        <v>2.1025</v>
      </c>
      <c r="W257" s="42" t="n">
        <v>0.0485626742811115</v>
      </c>
      <c r="X257" s="42" t="n">
        <v>0.0242813371405557</v>
      </c>
      <c r="Y257" s="42" t="n">
        <v>-0.375</v>
      </c>
      <c r="Z257" s="42" t="n">
        <v>0.135769412362775</v>
      </c>
      <c r="AA257" s="42" t="n">
        <v>0.0678847061813877</v>
      </c>
      <c r="AB257" s="27" t="n">
        <v>0.229350568</v>
      </c>
      <c r="AC257" s="27" t="n">
        <v>0.222063598809596</v>
      </c>
      <c r="AD257" s="27" t="n">
        <v>0.20460314851745</v>
      </c>
      <c r="AE257" s="43" t="n">
        <v>0.628</v>
      </c>
      <c r="AF257" s="43" t="n">
        <v>0.00578791845139512</v>
      </c>
      <c r="AG257" s="61" t="n">
        <f aca="false">AF257*SQRT(U257)</f>
        <v>0.0115758369027902</v>
      </c>
      <c r="AH257" s="29" t="n">
        <v>17.2583122253418</v>
      </c>
      <c r="AI257" s="27" t="n">
        <v>4.81785628436477</v>
      </c>
      <c r="AJ257" s="27" t="n">
        <f aca="false">VLOOKUP(B257,proft,2,0)</f>
        <v>17.8200244858676</v>
      </c>
      <c r="AK257" s="27" t="n">
        <f aca="false">VLOOKUP(B257,proft,3,0)</f>
        <v>2.4528865814209</v>
      </c>
      <c r="AL257" s="27" t="s">
        <v>63</v>
      </c>
      <c r="BB257" s="30" t="n">
        <v>18.5816</v>
      </c>
      <c r="BC257" s="30" t="n">
        <v>2.233</v>
      </c>
      <c r="BD257" s="30" t="n">
        <v>0.02233</v>
      </c>
      <c r="BE257" s="31" t="n">
        <v>18.5816</v>
      </c>
      <c r="BF257" s="31" t="n">
        <v>2.233</v>
      </c>
      <c r="BG257" s="31" t="n">
        <v>0.02233</v>
      </c>
      <c r="BH257" s="14" t="n">
        <f aca="false">10^6/((BB257+273.15)^2)</f>
        <v>11.7498697450203</v>
      </c>
      <c r="BI257" s="14" t="n">
        <f aca="false">BH257*(2*($BF257/($BE257+273.15)))</f>
        <v>0.179873960452898</v>
      </c>
      <c r="BJ257" s="14" t="n">
        <f aca="false">BH257*(2*($BG257/($BE257+273.15)))</f>
        <v>0.00179873960452898</v>
      </c>
      <c r="BL257" s="14" t="n">
        <f aca="false">10^6/((AH257+273.15)^2)</f>
        <v>11.8571936936845</v>
      </c>
      <c r="BM257" s="14" t="n">
        <f aca="false">BL257*(2*($AI257/($AH257+273.15)))</f>
        <v>0.393420248300064</v>
      </c>
      <c r="BN257" s="14" t="n">
        <f aca="false">10^6/((AJ257+273.15)^2)</f>
        <v>11.8114576955394</v>
      </c>
      <c r="BO257" s="14" t="n">
        <f aca="false">BN257*(2*($AK257/($AJ257+273.15)))</f>
        <v>0.199141929754461</v>
      </c>
    </row>
    <row r="258" s="14" customFormat="true" ht="16" hidden="false" customHeight="false" outlineLevel="0" collapsed="false">
      <c r="A258" s="22" t="s">
        <v>229</v>
      </c>
      <c r="B258" s="40" t="s">
        <v>277</v>
      </c>
      <c r="C258" s="14" t="s">
        <v>53</v>
      </c>
      <c r="D258" s="36" t="s">
        <v>278</v>
      </c>
      <c r="E258" s="24" t="s">
        <v>276</v>
      </c>
      <c r="F258" s="22" t="n">
        <v>0</v>
      </c>
      <c r="G258" s="22" t="n">
        <v>160.45</v>
      </c>
      <c r="H258" s="22" t="s">
        <v>56</v>
      </c>
      <c r="I258" s="22" t="s">
        <v>57</v>
      </c>
      <c r="J258" s="22" t="n">
        <v>2965</v>
      </c>
      <c r="K258" s="25" t="s">
        <v>229</v>
      </c>
      <c r="L258" s="22" t="s">
        <v>58</v>
      </c>
      <c r="M258" s="22" t="s">
        <v>232</v>
      </c>
      <c r="N258" s="22" t="s">
        <v>233</v>
      </c>
      <c r="O258" s="22" t="s">
        <v>61</v>
      </c>
      <c r="P258" s="22" t="s">
        <v>61</v>
      </c>
      <c r="Q258" s="22" t="n">
        <v>3</v>
      </c>
      <c r="R258" s="25" t="s">
        <v>234</v>
      </c>
      <c r="S258" s="25" t="n">
        <v>35.062625</v>
      </c>
      <c r="T258" s="22" t="n">
        <v>-4.38908806262231</v>
      </c>
      <c r="U258" s="40" t="n">
        <v>3</v>
      </c>
      <c r="V258" s="42" t="n">
        <v>2.06666666666667</v>
      </c>
      <c r="W258" s="42" t="n">
        <v>0.0404145188432738</v>
      </c>
      <c r="X258" s="42" t="n">
        <v>0.0233333333333333</v>
      </c>
      <c r="Y258" s="42" t="n">
        <v>-0.38</v>
      </c>
      <c r="Z258" s="42" t="n">
        <v>0.04</v>
      </c>
      <c r="AA258" s="42" t="n">
        <v>0.023094010767585</v>
      </c>
      <c r="AB258" s="27" t="n">
        <v>0.229749928</v>
      </c>
      <c r="AC258" s="27" t="n">
        <v>0.222082321788729</v>
      </c>
      <c r="AD258" s="27" t="n">
        <v>0.204607212801051</v>
      </c>
      <c r="AE258" s="43" t="n">
        <v>0.614666666666667</v>
      </c>
      <c r="AF258" s="43" t="n">
        <v>0.0120046287369127</v>
      </c>
      <c r="AG258" s="61" t="n">
        <f aca="false">AF258*SQRT(U258)</f>
        <v>0.0207926268983343</v>
      </c>
      <c r="AH258" s="29" t="n">
        <v>17.1850528717041</v>
      </c>
      <c r="AI258" s="27" t="n">
        <v>4.89682398535433</v>
      </c>
      <c r="AJ258" s="27" t="n">
        <f aca="false">VLOOKUP(B258,proft,2,0)</f>
        <v>17.8744945123164</v>
      </c>
      <c r="AK258" s="27" t="n">
        <f aca="false">VLOOKUP(B258,proft,3,0)</f>
        <v>2.6444129943847</v>
      </c>
      <c r="AL258" s="27" t="s">
        <v>63</v>
      </c>
      <c r="BB258" s="30" t="n">
        <v>18.5834</v>
      </c>
      <c r="BC258" s="30" t="n">
        <v>2.23</v>
      </c>
      <c r="BD258" s="30" t="n">
        <v>0.02258</v>
      </c>
      <c r="BE258" s="31" t="n">
        <v>18.5834</v>
      </c>
      <c r="BF258" s="31" t="n">
        <v>2.23</v>
      </c>
      <c r="BG258" s="31" t="n">
        <v>0.02258</v>
      </c>
      <c r="BH258" s="14" t="n">
        <f aca="false">10^6/((BB258+273.15)^2)</f>
        <v>11.7497247516785</v>
      </c>
      <c r="BI258" s="14" t="n">
        <f aca="false">BH258*(2*($BF258/($BE258+273.15)))</f>
        <v>0.179628977664148</v>
      </c>
      <c r="BJ258" s="14" t="n">
        <f aca="false">BH258*(2*($BG258/($BE258+273.15)))</f>
        <v>0.00181884408773832</v>
      </c>
      <c r="BL258" s="14" t="n">
        <f aca="false">10^6/((AH258+273.15)^2)</f>
        <v>11.8631782272729</v>
      </c>
      <c r="BM258" s="14" t="n">
        <f aca="false">BL258*(2*($AI258/($AH258+273.15)))</f>
        <v>0.400171423403796</v>
      </c>
      <c r="BN258" s="14" t="n">
        <f aca="false">10^6/((AJ258+273.15)^2)</f>
        <v>11.8070366916959</v>
      </c>
      <c r="BO258" s="14" t="n">
        <f aca="false">BN258*(2*($AK258/($AJ258+273.15)))</f>
        <v>0.214570813395065</v>
      </c>
    </row>
    <row r="259" s="14" customFormat="true" ht="16" hidden="false" customHeight="false" outlineLevel="0" collapsed="false">
      <c r="A259" s="22" t="s">
        <v>229</v>
      </c>
      <c r="B259" s="40" t="s">
        <v>286</v>
      </c>
      <c r="C259" s="14" t="s">
        <v>53</v>
      </c>
      <c r="D259" s="36" t="s">
        <v>287</v>
      </c>
      <c r="E259" s="24" t="s">
        <v>285</v>
      </c>
      <c r="F259" s="22" t="n">
        <v>0</v>
      </c>
      <c r="G259" s="22" t="n">
        <v>0</v>
      </c>
      <c r="H259" s="22" t="s">
        <v>56</v>
      </c>
      <c r="I259" s="22" t="s">
        <v>57</v>
      </c>
      <c r="J259" s="22" t="n">
        <v>3160</v>
      </c>
      <c r="K259" s="25" t="s">
        <v>229</v>
      </c>
      <c r="L259" s="22" t="s">
        <v>58</v>
      </c>
      <c r="M259" s="22" t="s">
        <v>232</v>
      </c>
      <c r="N259" s="22" t="s">
        <v>233</v>
      </c>
      <c r="O259" s="22" t="s">
        <v>61</v>
      </c>
      <c r="P259" s="22" t="s">
        <v>61</v>
      </c>
      <c r="Q259" s="22" t="n">
        <v>3</v>
      </c>
      <c r="R259" s="25" t="s">
        <v>234</v>
      </c>
      <c r="S259" s="25" t="n">
        <v>35.344125</v>
      </c>
      <c r="T259" s="22" t="n">
        <v>-6.75776591576885</v>
      </c>
      <c r="U259" s="40" t="n">
        <v>5</v>
      </c>
      <c r="V259" s="42" t="n">
        <v>1.916</v>
      </c>
      <c r="W259" s="42" t="n">
        <v>0.0250998007960223</v>
      </c>
      <c r="X259" s="42" t="n">
        <v>0.0112249721603218</v>
      </c>
      <c r="Y259" s="42" t="n">
        <v>-0.554</v>
      </c>
      <c r="Z259" s="42" t="n">
        <v>0.0598331012066064</v>
      </c>
      <c r="AA259" s="42" t="n">
        <v>0.0267581763205193</v>
      </c>
      <c r="AB259" s="27" t="n">
        <v>0.272355646</v>
      </c>
      <c r="AC259" s="27" t="n">
        <v>0.231242300874694</v>
      </c>
      <c r="AD259" s="27" t="n">
        <v>0.206626717398222</v>
      </c>
      <c r="AE259" s="43" t="n">
        <v>0.58</v>
      </c>
      <c r="AF259" s="43" t="n">
        <v>0.00925742944882649</v>
      </c>
      <c r="AG259" s="61" t="n">
        <f aca="false">AF259*SQRT(U259)</f>
        <v>0.0207002415444844</v>
      </c>
      <c r="AH259" s="29" t="n">
        <v>17.2450672388077</v>
      </c>
      <c r="AI259" s="27" t="n">
        <v>4.94471501370271</v>
      </c>
      <c r="AJ259" s="27" t="n">
        <f aca="false">VLOOKUP(B259,proft,2,0)</f>
        <v>19.0390280661365</v>
      </c>
      <c r="AK259" s="27" t="n">
        <f aca="false">VLOOKUP(B259,proft,3,0)</f>
        <v>2.4637832641601</v>
      </c>
      <c r="AL259" s="27" t="s">
        <v>63</v>
      </c>
      <c r="BB259" s="30" t="n">
        <v>19.4249</v>
      </c>
      <c r="BC259" s="30" t="n">
        <v>2.235</v>
      </c>
      <c r="BD259" s="30" t="n">
        <v>0.02235</v>
      </c>
      <c r="BE259" s="31" t="n">
        <v>19.4249</v>
      </c>
      <c r="BF259" s="31" t="n">
        <v>2.235</v>
      </c>
      <c r="BG259" s="31" t="n">
        <v>0.02235</v>
      </c>
      <c r="BH259" s="14" t="n">
        <f aca="false">10^6/((BB259+273.15)^2)</f>
        <v>11.6822331494632</v>
      </c>
      <c r="BI259" s="14" t="n">
        <f aca="false">BH259*(2*($BF259/($BE259+273.15)))</f>
        <v>0.178482782282761</v>
      </c>
      <c r="BJ259" s="14" t="n">
        <f aca="false">BH259*(2*($BG259/($BE259+273.15)))</f>
        <v>0.00178482782282761</v>
      </c>
      <c r="BL259" s="14" t="n">
        <f aca="false">10^6/((AH259+273.15)^2)</f>
        <v>11.8582753370733</v>
      </c>
      <c r="BM259" s="14" t="n">
        <f aca="false">BL259*(2*($AI259/($AH259+273.15)))</f>
        <v>0.403834628827408</v>
      </c>
      <c r="BN259" s="14" t="n">
        <f aca="false">10^6/((AJ259+273.15)^2)</f>
        <v>11.7131092060525</v>
      </c>
      <c r="BO259" s="14" t="n">
        <f aca="false">BN259*(2*($AK259/($AJ259+273.15)))</f>
        <v>0.197533511947065</v>
      </c>
    </row>
    <row r="260" s="14" customFormat="true" ht="16" hidden="false" customHeight="false" outlineLevel="0" collapsed="false">
      <c r="A260" s="22" t="s">
        <v>229</v>
      </c>
      <c r="B260" s="40" t="s">
        <v>299</v>
      </c>
      <c r="C260" s="14" t="s">
        <v>53</v>
      </c>
      <c r="D260" s="36" t="s">
        <v>300</v>
      </c>
      <c r="E260" s="24" t="s">
        <v>298</v>
      </c>
      <c r="F260" s="22" t="n">
        <v>0</v>
      </c>
      <c r="G260" s="22" t="n">
        <v>161.4</v>
      </c>
      <c r="H260" s="22" t="s">
        <v>56</v>
      </c>
      <c r="I260" s="22" t="s">
        <v>57</v>
      </c>
      <c r="J260" s="22" t="n">
        <v>3711</v>
      </c>
      <c r="K260" s="27" t="s">
        <v>229</v>
      </c>
      <c r="L260" s="22" t="s">
        <v>58</v>
      </c>
      <c r="M260" s="22" t="s">
        <v>232</v>
      </c>
      <c r="N260" s="22" t="s">
        <v>233</v>
      </c>
      <c r="O260" s="22" t="s">
        <v>61</v>
      </c>
      <c r="P260" s="22" t="s">
        <v>61</v>
      </c>
      <c r="Q260" s="22" t="n">
        <v>3</v>
      </c>
      <c r="R260" s="27" t="s">
        <v>234</v>
      </c>
      <c r="S260" s="25" t="n">
        <v>35.087625</v>
      </c>
      <c r="T260" s="22" t="n">
        <v>-13.1332380952381</v>
      </c>
      <c r="U260" s="40" t="n">
        <v>9</v>
      </c>
      <c r="V260" s="42" t="n">
        <v>2.18</v>
      </c>
      <c r="W260" s="42" t="n">
        <v>0.0939414711402797</v>
      </c>
      <c r="X260" s="42" t="n">
        <v>0.0313138237134266</v>
      </c>
      <c r="Y260" s="42" t="n">
        <v>-0.274444444444444</v>
      </c>
      <c r="Z260" s="42" t="n">
        <v>0.197301236128357</v>
      </c>
      <c r="AA260" s="42" t="n">
        <v>0.0657670787094524</v>
      </c>
      <c r="AB260" s="27" t="n">
        <v>0.229749928</v>
      </c>
      <c r="AC260" s="27" t="n">
        <v>0.222082321788729</v>
      </c>
      <c r="AD260" s="27" t="n">
        <v>0.204607212801051</v>
      </c>
      <c r="AE260" s="43" t="n">
        <v>0.595666666666667</v>
      </c>
      <c r="AF260" s="43" t="n">
        <v>0.010682280239308</v>
      </c>
      <c r="AG260" s="61" t="n">
        <f aca="false">AF260*SQRT(U260)</f>
        <v>0.0320468407179241</v>
      </c>
      <c r="AH260" s="29" t="n">
        <v>17.1850528717041</v>
      </c>
      <c r="AI260" s="27" t="n">
        <v>2.77545429651281</v>
      </c>
      <c r="AJ260" s="27" t="n">
        <f aca="false">VLOOKUP(B260,proft,2,0)</f>
        <v>17.3449483920949</v>
      </c>
      <c r="AK260" s="27" t="n">
        <f aca="false">VLOOKUP(B260,proft,3,0)</f>
        <v>2.6444129943847</v>
      </c>
      <c r="AL260" s="27" t="s">
        <v>63</v>
      </c>
      <c r="BB260" s="47" t="n">
        <v>18.2268</v>
      </c>
      <c r="BC260" s="47" t="n">
        <v>2.258</v>
      </c>
      <c r="BD260" s="47" t="n">
        <v>0.02258</v>
      </c>
      <c r="BE260" s="31" t="n">
        <v>18.2268</v>
      </c>
      <c r="BF260" s="31" t="n">
        <v>2.258</v>
      </c>
      <c r="BG260" s="31" t="n">
        <v>0.02258</v>
      </c>
      <c r="BH260" s="14" t="n">
        <f aca="false">10^6/((BB260+273.15)^2)</f>
        <v>11.77850203094</v>
      </c>
      <c r="BI260" s="14" t="n">
        <f aca="false">BH260*(2*($BF260/($BE260+273.15)))</f>
        <v>0.182553021282838</v>
      </c>
      <c r="BJ260" s="14" t="n">
        <f aca="false">BH260*(2*($BG260/($BE260+273.15)))</f>
        <v>0.00182553021282838</v>
      </c>
      <c r="BL260" s="14" t="n">
        <f aca="false">10^6/((AH260+273.15)^2)</f>
        <v>11.8631782272729</v>
      </c>
      <c r="BM260" s="14" t="n">
        <f aca="false">BL260*(2*($AI260/($AH260+273.15)))</f>
        <v>0.226811806948651</v>
      </c>
      <c r="BN260" s="14" t="n">
        <f aca="false">10^6/((AJ260+273.15)^2)</f>
        <v>11.8501222548707</v>
      </c>
      <c r="BO260" s="14" t="n">
        <f aca="false">BN260*(2*($AK260/($AJ260+273.15)))</f>
        <v>0.215746383538008</v>
      </c>
    </row>
    <row r="261" s="14" customFormat="true" ht="16" hidden="false" customHeight="false" outlineLevel="0" collapsed="false">
      <c r="A261" s="22" t="s">
        <v>229</v>
      </c>
      <c r="B261" s="40" t="s">
        <v>309</v>
      </c>
      <c r="C261" s="14" t="s">
        <v>53</v>
      </c>
      <c r="D261" s="36" t="s">
        <v>310</v>
      </c>
      <c r="E261" s="24" t="s">
        <v>308</v>
      </c>
      <c r="F261" s="22" t="n">
        <v>0</v>
      </c>
      <c r="G261" s="22" t="n">
        <v>162.22</v>
      </c>
      <c r="H261" s="22" t="s">
        <v>56</v>
      </c>
      <c r="I261" s="22" t="s">
        <v>57</v>
      </c>
      <c r="J261" s="22" t="n">
        <v>4341</v>
      </c>
      <c r="K261" s="25" t="s">
        <v>229</v>
      </c>
      <c r="L261" s="22" t="s">
        <v>58</v>
      </c>
      <c r="M261" s="22" t="s">
        <v>232</v>
      </c>
      <c r="N261" s="22" t="s">
        <v>233</v>
      </c>
      <c r="O261" s="22" t="s">
        <v>61</v>
      </c>
      <c r="P261" s="22" t="s">
        <v>61</v>
      </c>
      <c r="Q261" s="22" t="n">
        <v>3</v>
      </c>
      <c r="R261" s="25" t="s">
        <v>234</v>
      </c>
      <c r="S261" s="25" t="n">
        <v>35.096375</v>
      </c>
      <c r="T261" s="22" t="n">
        <v>-22.8289075425791</v>
      </c>
      <c r="U261" s="40" t="n">
        <v>5</v>
      </c>
      <c r="V261" s="42" t="n">
        <v>2.216</v>
      </c>
      <c r="W261" s="42" t="n">
        <v>0.0207364413533278</v>
      </c>
      <c r="X261" s="42" t="n">
        <v>0.00927361849549573</v>
      </c>
      <c r="Y261" s="42" t="n">
        <v>0.126</v>
      </c>
      <c r="Z261" s="42" t="n">
        <v>0.169499262535269</v>
      </c>
      <c r="AA261" s="42" t="n">
        <v>0.0758023746329889</v>
      </c>
      <c r="AB261" s="27" t="n">
        <v>0.229580832</v>
      </c>
      <c r="AC261" s="27" t="n">
        <v>0.222182666991312</v>
      </c>
      <c r="AD261" s="27" t="n">
        <v>0.204628999661032</v>
      </c>
      <c r="AE261" s="43" t="n">
        <v>0.6122</v>
      </c>
      <c r="AF261" s="43" t="n">
        <v>0.00468401537145215</v>
      </c>
      <c r="AG261" s="61" t="n">
        <f aca="false">AF261*SQRT(U261)</f>
        <v>0.0104737767782209</v>
      </c>
      <c r="AH261" s="29" t="n">
        <v>17.312336564064</v>
      </c>
      <c r="AI261" s="27" t="n">
        <v>4.98144429220822</v>
      </c>
      <c r="AJ261" s="27" t="n">
        <f aca="false">VLOOKUP(B261,proft,2,0)</f>
        <v>15.2261092053829</v>
      </c>
      <c r="AK261" s="27" t="n">
        <f aca="false">VLOOKUP(B261,proft,3,0)</f>
        <v>1.9707880020142</v>
      </c>
      <c r="AL261" s="27" t="s">
        <v>63</v>
      </c>
      <c r="BB261" s="47" t="n">
        <v>16.5979</v>
      </c>
      <c r="BC261" s="47" t="n">
        <v>2.251</v>
      </c>
      <c r="BD261" s="47" t="n">
        <v>0.02251</v>
      </c>
      <c r="BE261" s="31" t="n">
        <v>16.5979</v>
      </c>
      <c r="BF261" s="31" t="n">
        <v>2.251</v>
      </c>
      <c r="BG261" s="31" t="n">
        <v>0.02251</v>
      </c>
      <c r="BH261" s="14" t="n">
        <f aca="false">10^6/((BB261+273.15)^2)</f>
        <v>11.9113066637538</v>
      </c>
      <c r="BI261" s="14" t="n">
        <f aca="false">BH261*(2*($BF261/($BE261+273.15)))</f>
        <v>0.185073654028966</v>
      </c>
      <c r="BJ261" s="14" t="n">
        <f aca="false">BH261*(2*($BG261/($BE261+273.15)))</f>
        <v>0.00185073654028966</v>
      </c>
      <c r="BL261" s="14" t="n">
        <f aca="false">10^6/((AH261+273.15)^2)</f>
        <v>11.8527833630087</v>
      </c>
      <c r="BM261" s="14" t="n">
        <f aca="false">BL261*(2*($AI261/($AH261+273.15)))</f>
        <v>0.406551711515392</v>
      </c>
      <c r="BN261" s="14" t="n">
        <f aca="false">10^6/((AJ261+273.15)^2)</f>
        <v>12.0248991852386</v>
      </c>
      <c r="BO261" s="14" t="n">
        <f aca="false">BN261*(2*($AK261/($AJ261+273.15)))</f>
        <v>0.164358463015536</v>
      </c>
    </row>
    <row r="262" s="14" customFormat="true" ht="16" hidden="false" customHeight="false" outlineLevel="0" collapsed="false">
      <c r="A262" s="22" t="s">
        <v>229</v>
      </c>
      <c r="B262" s="40" t="s">
        <v>314</v>
      </c>
      <c r="C262" s="14" t="s">
        <v>53</v>
      </c>
      <c r="D262" s="36" t="s">
        <v>315</v>
      </c>
      <c r="E262" s="24" t="s">
        <v>313</v>
      </c>
      <c r="F262" s="22" t="n">
        <v>0</v>
      </c>
      <c r="G262" s="22" t="n">
        <v>162.7</v>
      </c>
      <c r="H262" s="22" t="s">
        <v>56</v>
      </c>
      <c r="I262" s="22" t="s">
        <v>57</v>
      </c>
      <c r="J262" s="22" t="n">
        <v>4438</v>
      </c>
      <c r="K262" s="27" t="s">
        <v>229</v>
      </c>
      <c r="L262" s="22" t="s">
        <v>58</v>
      </c>
      <c r="M262" s="22" t="s">
        <v>232</v>
      </c>
      <c r="N262" s="22" t="s">
        <v>233</v>
      </c>
      <c r="O262" s="22" t="s">
        <v>61</v>
      </c>
      <c r="P262" s="22" t="s">
        <v>61</v>
      </c>
      <c r="Q262" s="22" t="n">
        <v>3</v>
      </c>
      <c r="R262" s="27" t="s">
        <v>234</v>
      </c>
      <c r="S262" s="25" t="n">
        <v>35.096375</v>
      </c>
      <c r="T262" s="22" t="n">
        <v>-30.2154205607477</v>
      </c>
      <c r="U262" s="40" t="n">
        <v>6</v>
      </c>
      <c r="V262" s="42" t="n">
        <v>2.14333333333333</v>
      </c>
      <c r="W262" s="42" t="n">
        <v>0.0706163342766153</v>
      </c>
      <c r="X262" s="42" t="n">
        <v>0.0288289977472529</v>
      </c>
      <c r="Y262" s="42" t="n">
        <v>-0.0783333333333333</v>
      </c>
      <c r="Z262" s="42" t="n">
        <v>0.177021655925671</v>
      </c>
      <c r="AA262" s="42" t="n">
        <v>0.0722687884067374</v>
      </c>
      <c r="AB262" s="27" t="n">
        <v>0.229580832</v>
      </c>
      <c r="AC262" s="27" t="n">
        <v>0.222182666991312</v>
      </c>
      <c r="AD262" s="27" t="n">
        <v>0.204628999661032</v>
      </c>
      <c r="AE262" s="43" t="n">
        <v>0.615666666666667</v>
      </c>
      <c r="AF262" s="43" t="n">
        <v>0.0174158293259641</v>
      </c>
      <c r="AG262" s="61" t="n">
        <f aca="false">AF262*SQRT(U262)</f>
        <v>0.0426598952960115</v>
      </c>
      <c r="AH262" s="29" t="n">
        <v>17.312336564064</v>
      </c>
      <c r="AI262" s="27" t="n">
        <v>4.98144429220822</v>
      </c>
      <c r="AJ262" s="27" t="n">
        <f aca="false">VLOOKUP(B262,proft,2,0)</f>
        <v>19.9198380627015</v>
      </c>
      <c r="AK262" s="27" t="n">
        <f aca="false">VLOOKUP(B262,proft,3,0)</f>
        <v>2.7229309082031</v>
      </c>
      <c r="AL262" s="27" t="s">
        <v>63</v>
      </c>
      <c r="BB262" s="47" t="n">
        <v>17.4373</v>
      </c>
      <c r="BC262" s="47" t="n">
        <v>2.223</v>
      </c>
      <c r="BD262" s="47" t="n">
        <v>0.0223</v>
      </c>
      <c r="BE262" s="31" t="n">
        <v>17.4373</v>
      </c>
      <c r="BF262" s="31" t="n">
        <v>2.223</v>
      </c>
      <c r="BG262" s="31" t="n">
        <v>0.0223</v>
      </c>
      <c r="BH262" s="14" t="n">
        <f aca="false">10^6/((BB262+273.15)^2)</f>
        <v>11.8425912723268</v>
      </c>
      <c r="BI262" s="14" t="n">
        <f aca="false">BH262*(2*($BF262/($BE262+273.15)))</f>
        <v>0.181192229656165</v>
      </c>
      <c r="BJ262" s="14" t="n">
        <f aca="false">BH262*(2*($BG262/($BE262+273.15)))</f>
        <v>0.00181762785485042</v>
      </c>
      <c r="BL262" s="14" t="n">
        <f aca="false">10^6/((AH262+273.15)^2)</f>
        <v>11.8527833630087</v>
      </c>
      <c r="BM262" s="14" t="n">
        <f aca="false">BL262*(2*($AI262/($AH262+273.15)))</f>
        <v>0.406551711515392</v>
      </c>
      <c r="BN262" s="14" t="n">
        <f aca="false">10^6/((AJ262+273.15)^2)</f>
        <v>11.6428084201306</v>
      </c>
      <c r="BO262" s="14" t="n">
        <f aca="false">BN262*(2*($AK262/($AJ262+273.15)))</f>
        <v>0.216348179089506</v>
      </c>
    </row>
    <row r="263" s="14" customFormat="true" ht="16" hidden="false" customHeight="false" outlineLevel="0" collapsed="false">
      <c r="A263" s="22" t="s">
        <v>51</v>
      </c>
      <c r="B263" s="23" t="s">
        <v>347</v>
      </c>
      <c r="C263" s="14" t="s">
        <v>53</v>
      </c>
      <c r="D263" s="23" t="s">
        <v>348</v>
      </c>
      <c r="E263" s="24" t="s">
        <v>349</v>
      </c>
      <c r="F263" s="22" t="n">
        <v>-3.93</v>
      </c>
      <c r="G263" s="22" t="n">
        <v>156</v>
      </c>
      <c r="H263" s="22" t="s">
        <v>56</v>
      </c>
      <c r="I263" s="22" t="s">
        <v>57</v>
      </c>
      <c r="J263" s="22" t="n">
        <v>1800</v>
      </c>
      <c r="K263" s="25" t="s">
        <v>51</v>
      </c>
      <c r="L263" s="22" t="s">
        <v>58</v>
      </c>
      <c r="M263" s="22" t="s">
        <v>59</v>
      </c>
      <c r="N263" s="22" t="s">
        <v>60</v>
      </c>
      <c r="O263" s="22" t="s">
        <v>61</v>
      </c>
      <c r="P263" s="22" t="s">
        <v>61</v>
      </c>
      <c r="Q263" s="22" t="n">
        <v>3</v>
      </c>
      <c r="R263" s="25" t="s">
        <v>62</v>
      </c>
      <c r="S263" s="25" t="n">
        <v>34.9564117647059</v>
      </c>
      <c r="T263" s="22" t="n">
        <v>6.05656321839081</v>
      </c>
      <c r="U263" s="23" t="n">
        <v>4</v>
      </c>
      <c r="V263" s="27" t="n">
        <v>1.5275</v>
      </c>
      <c r="W263" s="27" t="n">
        <v>0.278492968193692</v>
      </c>
      <c r="X263" s="27" t="n">
        <v>0.139246484096846</v>
      </c>
      <c r="Y263" s="27" t="n">
        <v>-0.275</v>
      </c>
      <c r="Z263" s="27" t="n">
        <v>0.81344944526381</v>
      </c>
      <c r="AA263" s="27" t="n">
        <v>0.406724722631905</v>
      </c>
      <c r="AB263" s="27" t="n">
        <v>0.304474638</v>
      </c>
      <c r="AC263" s="27" t="n">
        <v>0.206059727037775</v>
      </c>
      <c r="AD263" s="27" t="n">
        <v>0.201226544524763</v>
      </c>
      <c r="AE263" s="28" t="n">
        <v>0.60925</v>
      </c>
      <c r="AF263" s="28" t="n">
        <v>0.00818916967707961</v>
      </c>
      <c r="AG263" s="61" t="n">
        <f aca="false">AF263*SQRT(U263)</f>
        <v>0.0163783393541592</v>
      </c>
      <c r="AH263" s="29" t="n">
        <v>28.6195034700281</v>
      </c>
      <c r="AI263" s="27" t="n">
        <v>0.578024004936658</v>
      </c>
      <c r="AJ263" s="27" t="n">
        <f aca="false">VLOOKUP(B263,proft,2,0)</f>
        <v>17.7154509846043</v>
      </c>
      <c r="AK263" s="27" t="n">
        <f aca="false">VLOOKUP(B263,proft,3,0)</f>
        <v>2.8988542556763</v>
      </c>
      <c r="AL263" s="27" t="s">
        <v>63</v>
      </c>
      <c r="BB263" s="30" t="n">
        <v>18.4829</v>
      </c>
      <c r="BC263" s="30" t="n">
        <v>2.256</v>
      </c>
      <c r="BD263" s="30" t="n">
        <v>0.02256</v>
      </c>
      <c r="BE263" s="31" t="n">
        <v>18.4829</v>
      </c>
      <c r="BF263" s="31" t="n">
        <v>2.256</v>
      </c>
      <c r="BG263" s="31" t="n">
        <v>0.02256</v>
      </c>
      <c r="BH263" s="14" t="n">
        <f aca="false">10^6/((BB263+273.15)^2)</f>
        <v>11.7578243234636</v>
      </c>
      <c r="BI263" s="14" t="n">
        <f aca="false">BH263*(2*($BF263/($BE263+273.15)))</f>
        <v>0.181911243030082</v>
      </c>
      <c r="BJ263" s="14" t="n">
        <f aca="false">BH263*(2*($BG263/($BE263+273.15)))</f>
        <v>0.00181911243030082</v>
      </c>
      <c r="BL263" s="14" t="n">
        <f aca="false">10^6/((AH263+273.15)^2)</f>
        <v>10.9811874089112</v>
      </c>
      <c r="BM263" s="14" t="n">
        <f aca="false">BL263*(2*($AI263/($AH263+273.15)))</f>
        <v>0.0420678024258293</v>
      </c>
      <c r="BN263" s="14" t="n">
        <f aca="false">10^6/((AJ263+273.15)^2)</f>
        <v>11.8199522590478</v>
      </c>
      <c r="BO263" s="14" t="n">
        <f aca="false">BN263*(2*($AK263/($AJ263+273.15)))</f>
        <v>0.235602535756954</v>
      </c>
    </row>
    <row r="264" s="14" customFormat="true" ht="16" hidden="false" customHeight="false" outlineLevel="0" collapsed="false">
      <c r="A264" s="22" t="s">
        <v>229</v>
      </c>
      <c r="B264" s="23" t="s">
        <v>350</v>
      </c>
      <c r="C264" s="14" t="s">
        <v>53</v>
      </c>
      <c r="D264" s="23" t="s">
        <v>351</v>
      </c>
      <c r="E264" s="24" t="s">
        <v>349</v>
      </c>
      <c r="F264" s="22" t="n">
        <v>-3.93</v>
      </c>
      <c r="G264" s="22" t="n">
        <v>156</v>
      </c>
      <c r="H264" s="22" t="s">
        <v>56</v>
      </c>
      <c r="I264" s="22" t="s">
        <v>57</v>
      </c>
      <c r="J264" s="22" t="n">
        <v>1800</v>
      </c>
      <c r="K264" s="27" t="s">
        <v>229</v>
      </c>
      <c r="L264" s="22" t="s">
        <v>58</v>
      </c>
      <c r="M264" s="22" t="s">
        <v>232</v>
      </c>
      <c r="N264" s="22" t="s">
        <v>233</v>
      </c>
      <c r="O264" s="22" t="s">
        <v>61</v>
      </c>
      <c r="P264" s="22" t="s">
        <v>61</v>
      </c>
      <c r="Q264" s="22" t="n">
        <v>3</v>
      </c>
      <c r="R264" s="27" t="s">
        <v>234</v>
      </c>
      <c r="S264" s="25" t="n">
        <v>35.2445</v>
      </c>
      <c r="T264" s="22" t="n">
        <v>6.05656321839081</v>
      </c>
      <c r="U264" s="23" t="n">
        <v>3</v>
      </c>
      <c r="V264" s="27" t="n">
        <v>1.9</v>
      </c>
      <c r="W264" s="27" t="n">
        <v>0.01</v>
      </c>
      <c r="X264" s="27" t="n">
        <v>0.00577350269189626</v>
      </c>
      <c r="Y264" s="27" t="n">
        <v>-0.81</v>
      </c>
      <c r="Z264" s="27" t="n">
        <v>0.07</v>
      </c>
      <c r="AA264" s="27" t="n">
        <v>0.0404145188432738</v>
      </c>
      <c r="AB264" s="27" t="n">
        <v>0.303608124</v>
      </c>
      <c r="AC264" s="27" t="n">
        <v>0.234179176857208</v>
      </c>
      <c r="AD264" s="27" t="n">
        <v>0.2072871857465</v>
      </c>
      <c r="AE264" s="28" t="n">
        <v>0.602</v>
      </c>
      <c r="AF264" s="28" t="n">
        <v>0.00556776436283003</v>
      </c>
      <c r="AG264" s="61" t="n">
        <f aca="false">AF264*SQRT(U264)</f>
        <v>0.00964365076099296</v>
      </c>
      <c r="AH264" s="29" t="n">
        <v>17.8231718540192</v>
      </c>
      <c r="AI264" s="27" t="n">
        <v>5.80620327937593</v>
      </c>
      <c r="AJ264" s="27" t="n">
        <f aca="false">VLOOKUP(B264,proft,2,0)</f>
        <v>20.4397485929179</v>
      </c>
      <c r="AK264" s="27" t="n">
        <f aca="false">VLOOKUP(B264,proft,3,0)</f>
        <v>3.0231380462646</v>
      </c>
      <c r="AL264" s="27" t="s">
        <v>63</v>
      </c>
      <c r="BB264" s="30" t="n">
        <v>20.5547</v>
      </c>
      <c r="BC264" s="30" t="n">
        <v>2.25</v>
      </c>
      <c r="BD264" s="30" t="n">
        <v>0.02294</v>
      </c>
      <c r="BE264" s="31" t="n">
        <v>20.5547</v>
      </c>
      <c r="BF264" s="31" t="n">
        <v>2.25</v>
      </c>
      <c r="BG264" s="31" t="n">
        <v>0.02294</v>
      </c>
      <c r="BH264" s="14" t="n">
        <f aca="false">10^6/((BB264+273.15)^2)</f>
        <v>11.5925294343222</v>
      </c>
      <c r="BI264" s="14" t="n">
        <f aca="false">BH264*(2*($BF264/($BE264+273.15)))</f>
        <v>0.177615075463382</v>
      </c>
      <c r="BJ264" s="14" t="n">
        <f aca="false">BH264*(2*($BG264/($BE264+273.15)))</f>
        <v>0.0018108843693911</v>
      </c>
      <c r="BL264" s="14" t="n">
        <f aca="false">10^6/((AH264+273.15)^2)</f>
        <v>11.8112021750426</v>
      </c>
      <c r="BM264" s="14" t="n">
        <f aca="false">BL264*(2*($AI264/($AH264+273.15)))</f>
        <v>0.471371572610205</v>
      </c>
      <c r="BN264" s="14" t="n">
        <f aca="false">10^6/((AJ264+273.15)^2)</f>
        <v>11.601609032323</v>
      </c>
      <c r="BO264" s="14" t="n">
        <f aca="false">BN264*(2*($AK264/($AJ264+273.15)))</f>
        <v>0.238927045863131</v>
      </c>
    </row>
    <row r="265" customFormat="false" ht="16" hidden="false" customHeight="false" outlineLevel="0" collapsed="false">
      <c r="AE265" s="69"/>
      <c r="BM265" s="93"/>
      <c r="BO265" s="93"/>
    </row>
    <row r="266" customFormat="false" ht="16" hidden="false" customHeight="false" outlineLevel="0" collapsed="false">
      <c r="AF266" s="94" t="n">
        <f aca="false">AVERAGE(AF2:AF264)</f>
        <v>0.00851370614886508</v>
      </c>
      <c r="AG266" s="94" t="n">
        <f aca="false">AVERAGE(AG2:AG264)</f>
        <v>0.0213182317947217</v>
      </c>
      <c r="BM266" s="14" t="n">
        <f aca="false">AVERAGE(BM2:BM264)</f>
        <v>0.0827303982629399</v>
      </c>
      <c r="BO266" s="14" t="n">
        <f aca="false">AVERAGE(BO2:BO264)</f>
        <v>0.0875718983015243</v>
      </c>
    </row>
    <row r="267" customFormat="false" ht="16" hidden="false" customHeight="false" outlineLevel="0" collapsed="false">
      <c r="BI267" s="0" t="n">
        <f aca="false">AVERAGE(BI2:BI264)</f>
        <v>0.16049786434243</v>
      </c>
    </row>
    <row r="271" customFormat="false" ht="16" hidden="false" customHeight="false" outlineLevel="0" collapsed="false">
      <c r="BA271" s="0" t="s">
        <v>166</v>
      </c>
      <c r="BB271" s="0" t="n">
        <v>11.986771778665</v>
      </c>
      <c r="BC271" s="0" t="n">
        <v>0.0810295638350933</v>
      </c>
      <c r="BD271" s="0" t="n">
        <v>0.615666666666666</v>
      </c>
    </row>
    <row r="272" customFormat="false" ht="16" hidden="false" customHeight="false" outlineLevel="0" collapsed="false">
      <c r="BA272" s="0" t="s">
        <v>173</v>
      </c>
      <c r="BB272" s="0" t="n">
        <v>12.4747574358631</v>
      </c>
      <c r="BC272" s="0" t="n">
        <v>0.0743730280615687</v>
      </c>
      <c r="BD272" s="0" t="n">
        <v>0.6635</v>
      </c>
    </row>
    <row r="273" customFormat="false" ht="16" hidden="false" customHeight="false" outlineLevel="0" collapsed="false">
      <c r="BA273" s="0" t="s">
        <v>184</v>
      </c>
      <c r="BB273" s="0" t="n">
        <v>12.8750160009578</v>
      </c>
      <c r="BC273" s="0" t="n">
        <v>0.0784961997144418</v>
      </c>
      <c r="BD273" s="0" t="n">
        <v>0.661714285714286</v>
      </c>
    </row>
    <row r="274" customFormat="false" ht="16" hidden="false" customHeight="false" outlineLevel="0" collapsed="false">
      <c r="BA274" s="0" t="s">
        <v>173</v>
      </c>
      <c r="BB274" s="0" t="n">
        <v>11.6578039107913</v>
      </c>
      <c r="BC274" s="0" t="n">
        <v>0.0696167747286278</v>
      </c>
      <c r="BD274" s="0" t="n">
        <v>0.627666666666667</v>
      </c>
    </row>
    <row r="275" customFormat="false" ht="16" hidden="false" customHeight="false" outlineLevel="0" collapsed="false">
      <c r="BA275" s="0" t="s">
        <v>179</v>
      </c>
      <c r="BB275" s="0" t="n">
        <v>11.9892033831422</v>
      </c>
      <c r="BC275" s="0" t="n">
        <v>0.0791789283901601</v>
      </c>
      <c r="BD275" s="0" t="n">
        <v>0.6308</v>
      </c>
    </row>
    <row r="276" customFormat="false" ht="16" hidden="false" customHeight="false" outlineLevel="0" collapsed="false">
      <c r="BA276" s="0" t="s">
        <v>184</v>
      </c>
      <c r="BB276" s="0" t="n">
        <v>12.0618999310927</v>
      </c>
      <c r="BC276" s="0" t="n">
        <v>0.0789980553917662</v>
      </c>
      <c r="BD276" s="0" t="n">
        <v>0.622454545454546</v>
      </c>
    </row>
    <row r="277" customFormat="false" ht="16" hidden="false" customHeight="false" outlineLevel="0" collapsed="false">
      <c r="BA277" s="0" t="s">
        <v>166</v>
      </c>
      <c r="BB277" s="0" t="n">
        <v>12.9042701262756</v>
      </c>
      <c r="BC277" s="0" t="n">
        <v>0.0796244657027891</v>
      </c>
      <c r="BD277" s="0" t="n">
        <v>0.671777777777778</v>
      </c>
    </row>
    <row r="278" customFormat="false" ht="16" hidden="false" customHeight="false" outlineLevel="0" collapsed="false">
      <c r="BA278" s="0" t="s">
        <v>173</v>
      </c>
      <c r="BB278" s="0" t="n">
        <v>12.434663886032</v>
      </c>
      <c r="BC278" s="0" t="n">
        <v>0.074139135541138</v>
      </c>
      <c r="BD278" s="0" t="n">
        <v>0.6422</v>
      </c>
    </row>
    <row r="279" customFormat="false" ht="16" hidden="false" customHeight="false" outlineLevel="0" collapsed="false">
      <c r="BA279" s="0" t="s">
        <v>184</v>
      </c>
      <c r="BB279" s="0" t="n">
        <v>12.9561267726431</v>
      </c>
      <c r="BC279" s="0" t="n">
        <v>0.0817706897003276</v>
      </c>
      <c r="BD279" s="0" t="n">
        <v>0.662625</v>
      </c>
    </row>
    <row r="280" customFormat="false" ht="16" hidden="false" customHeight="false" outlineLevel="0" collapsed="false">
      <c r="BA280" s="0" t="s">
        <v>171</v>
      </c>
      <c r="BB280" s="0" t="n">
        <v>12.8425926739012</v>
      </c>
      <c r="BC280" s="0" t="n">
        <v>0.0791661144979035</v>
      </c>
      <c r="BD280" s="0" t="n">
        <v>0.6612</v>
      </c>
    </row>
    <row r="281" customFormat="false" ht="16" hidden="false" customHeight="false" outlineLevel="0" collapsed="false">
      <c r="BA281" s="0" t="s">
        <v>171</v>
      </c>
      <c r="BB281" s="0" t="n">
        <v>12.8581978684326</v>
      </c>
      <c r="BC281" s="0" t="n">
        <v>0.079381226756011</v>
      </c>
      <c r="BD281" s="0" t="n">
        <v>0.640833333333333</v>
      </c>
    </row>
    <row r="282" customFormat="false" ht="16" hidden="false" customHeight="false" outlineLevel="0" collapsed="false">
      <c r="BA282" s="0" t="s">
        <v>464</v>
      </c>
      <c r="BB282" s="0" t="n">
        <v>12.8369339176812</v>
      </c>
      <c r="BC282" s="0" t="n">
        <v>0.0790477781248757</v>
      </c>
      <c r="BD282" s="0" t="n">
        <v>0.664008279</v>
      </c>
    </row>
    <row r="283" customFormat="false" ht="16" hidden="false" customHeight="false" outlineLevel="0" collapsed="false">
      <c r="BA283" s="0" t="s">
        <v>538</v>
      </c>
      <c r="BB283" s="0" t="n">
        <v>12.9222689436687</v>
      </c>
      <c r="BC283" s="0" t="n">
        <v>0.0791707466792051</v>
      </c>
      <c r="BD283" s="0" t="n">
        <v>0.63233105</v>
      </c>
    </row>
    <row r="284" customFormat="false" ht="16" hidden="false" customHeight="false" outlineLevel="0" collapsed="false">
      <c r="BA284" s="0" t="s">
        <v>474</v>
      </c>
      <c r="BB284" s="0" t="n">
        <v>12.844867719471</v>
      </c>
      <c r="BC284" s="0" t="n">
        <v>0.0775880270379954</v>
      </c>
      <c r="BD284" s="0" t="n">
        <v>0.651848893</v>
      </c>
    </row>
    <row r="285" customFormat="false" ht="16" hidden="false" customHeight="false" outlineLevel="0" collapsed="false">
      <c r="BA285" s="0" t="s">
        <v>489</v>
      </c>
      <c r="BB285" s="0" t="n">
        <v>11.8196868358406</v>
      </c>
      <c r="BC285" s="0" t="n">
        <v>0.0809730335481316</v>
      </c>
      <c r="BD285" s="0" t="n">
        <v>0.61457637225</v>
      </c>
    </row>
    <row r="286" customFormat="false" ht="16" hidden="false" customHeight="false" outlineLevel="0" collapsed="false">
      <c r="BA286" s="0" t="s">
        <v>489</v>
      </c>
      <c r="BB286" s="0" t="n">
        <v>11.8137747452352</v>
      </c>
      <c r="BC286" s="0" t="n">
        <v>0.0908220934159694</v>
      </c>
      <c r="BD286" s="0" t="n">
        <v>0.6133554835</v>
      </c>
    </row>
    <row r="287" customFormat="false" ht="16" hidden="false" customHeight="false" outlineLevel="0" collapsed="false">
      <c r="BA287" s="0" t="s">
        <v>489</v>
      </c>
      <c r="BB287" s="0" t="n">
        <v>12.0810835077595</v>
      </c>
      <c r="BC287" s="0" t="n">
        <v>0.0767581710229308</v>
      </c>
      <c r="BD287" s="0" t="n">
        <v>0.595724654</v>
      </c>
    </row>
    <row r="288" customFormat="false" ht="16" hidden="false" customHeight="false" outlineLevel="0" collapsed="false">
      <c r="BA288" s="0" t="s">
        <v>173</v>
      </c>
      <c r="BB288" s="0" t="n">
        <v>12.6703720335051</v>
      </c>
      <c r="BC288" s="0" t="n">
        <v>0.0878155702870664</v>
      </c>
      <c r="BD288" s="0" t="n">
        <v>0.668088557</v>
      </c>
    </row>
    <row r="289" customFormat="false" ht="16" hidden="false" customHeight="false" outlineLevel="0" collapsed="false">
      <c r="BA289" s="0" t="s">
        <v>372</v>
      </c>
      <c r="BB289" s="0" t="n">
        <v>12.9370759374106</v>
      </c>
      <c r="BC289" s="0" t="n">
        <v>0.0790836175737564</v>
      </c>
      <c r="BD289" s="0" t="n">
        <v>0.651781561</v>
      </c>
    </row>
    <row r="290" customFormat="false" ht="16" hidden="false" customHeight="false" outlineLevel="0" collapsed="false">
      <c r="BA290" s="0" t="s">
        <v>474</v>
      </c>
      <c r="BB290" s="0" t="n">
        <v>13.3197231474457</v>
      </c>
      <c r="BC290" s="0" t="n">
        <v>0.082901397631197</v>
      </c>
      <c r="BD290" s="0" t="n">
        <v>0.6679332595</v>
      </c>
    </row>
    <row r="291" customFormat="false" ht="16" hidden="false" customHeight="false" outlineLevel="0" collapsed="false">
      <c r="BA291" s="0" t="s">
        <v>538</v>
      </c>
      <c r="BB291" s="0" t="n">
        <v>13.4799362364134</v>
      </c>
      <c r="BC291" s="0" t="n">
        <v>0.0798824164612366</v>
      </c>
      <c r="BD291" s="0" t="n">
        <v>0.691824148</v>
      </c>
    </row>
    <row r="292" customFormat="false" ht="16" hidden="false" customHeight="false" outlineLevel="0" collapsed="false">
      <c r="BA292" s="0" t="s">
        <v>62</v>
      </c>
      <c r="BB292" s="0" t="n">
        <v>13.5899603707848</v>
      </c>
      <c r="BC292" s="0" t="n">
        <v>0.0825474515887592</v>
      </c>
      <c r="BD292" s="0" t="n">
        <v>0.686137986882838</v>
      </c>
    </row>
    <row r="293" customFormat="false" ht="16" hidden="false" customHeight="false" outlineLevel="0" collapsed="false">
      <c r="BA293" s="0" t="s">
        <v>83</v>
      </c>
      <c r="BB293" s="0" t="n">
        <v>12.5668854167963</v>
      </c>
      <c r="BC293" s="0" t="n">
        <v>0.0774406658849554</v>
      </c>
      <c r="BD293" s="0" t="n">
        <v>0.646760917448803</v>
      </c>
    </row>
    <row r="367" customFormat="false" ht="16" hidden="false" customHeight="false" outlineLevel="0" collapsed="false">
      <c r="A367" s="95"/>
      <c r="D367" s="23" t="s">
        <v>794</v>
      </c>
      <c r="E367" s="23"/>
      <c r="F367" s="23"/>
      <c r="G367" s="23"/>
      <c r="H367" s="95"/>
      <c r="I367" s="95"/>
      <c r="J367" s="23"/>
      <c r="K367" s="23"/>
      <c r="L367" s="95"/>
      <c r="M367" s="95"/>
      <c r="N367" s="23"/>
      <c r="O367" s="95"/>
      <c r="P367" s="95"/>
      <c r="Q367" s="95"/>
      <c r="R367" s="95"/>
      <c r="S367" s="95"/>
      <c r="T367" s="95"/>
      <c r="U367" s="26" t="n">
        <v>2</v>
      </c>
      <c r="V367" s="27" t="n">
        <v>0.07</v>
      </c>
      <c r="W367" s="27" t="n">
        <v>0.0848528137423857</v>
      </c>
      <c r="X367" s="27"/>
      <c r="Y367" s="27" t="n">
        <v>1.67</v>
      </c>
      <c r="Z367" s="27" t="n">
        <v>0.0424264068711929</v>
      </c>
      <c r="AA367" s="27"/>
      <c r="AB367" s="27"/>
      <c r="AC367" s="27"/>
      <c r="AD367" s="27"/>
      <c r="AE367" s="28" t="n">
        <v>0.6355</v>
      </c>
      <c r="AF367" s="96" t="n">
        <v>0.0155</v>
      </c>
      <c r="AG367" s="96"/>
      <c r="AH367" s="96"/>
      <c r="AI367" s="96"/>
      <c r="AJ367" s="96"/>
      <c r="AK367" s="96"/>
      <c r="AL367" s="23"/>
    </row>
    <row r="368" customFormat="false" ht="16" hidden="false" customHeight="false" outlineLevel="0" collapsed="false">
      <c r="A368" s="95"/>
      <c r="D368" s="23" t="s">
        <v>795</v>
      </c>
      <c r="E368" s="23"/>
      <c r="F368" s="23"/>
      <c r="G368" s="23"/>
      <c r="H368" s="95"/>
      <c r="I368" s="95"/>
      <c r="J368" s="23"/>
      <c r="K368" s="23"/>
      <c r="L368" s="95"/>
      <c r="M368" s="95"/>
      <c r="N368" s="23"/>
      <c r="O368" s="95"/>
      <c r="P368" s="95"/>
      <c r="Q368" s="95"/>
      <c r="R368" s="95"/>
      <c r="S368" s="95"/>
      <c r="T368" s="95"/>
      <c r="U368" s="26" t="n">
        <v>1</v>
      </c>
      <c r="V368" s="27" t="n">
        <v>0.09</v>
      </c>
      <c r="W368" s="27" t="n">
        <v>0</v>
      </c>
      <c r="X368" s="27"/>
      <c r="Y368" s="27" t="n">
        <v>1.64</v>
      </c>
      <c r="Z368" s="27" t="n">
        <v>0.01</v>
      </c>
      <c r="AA368" s="27"/>
      <c r="AB368" s="27"/>
      <c r="AC368" s="27"/>
      <c r="AD368" s="27"/>
      <c r="AE368" s="28" t="n">
        <v>0.617</v>
      </c>
      <c r="AF368" s="96" t="n">
        <v>0.016</v>
      </c>
      <c r="AG368" s="96"/>
      <c r="AH368" s="96"/>
      <c r="AI368" s="96"/>
      <c r="AJ368" s="96"/>
      <c r="AK368" s="96"/>
      <c r="AL368" s="23"/>
    </row>
    <row r="369" customFormat="false" ht="16" hidden="false" customHeight="false" outlineLevel="0" collapsed="false">
      <c r="A369" s="95"/>
      <c r="D369" s="23" t="s">
        <v>796</v>
      </c>
      <c r="E369" s="23"/>
      <c r="F369" s="23"/>
      <c r="G369" s="23"/>
      <c r="H369" s="95"/>
      <c r="I369" s="95"/>
      <c r="J369" s="23"/>
      <c r="K369" s="23"/>
      <c r="L369" s="95"/>
      <c r="M369" s="95"/>
      <c r="N369" s="23"/>
      <c r="O369" s="95"/>
      <c r="P369" s="95"/>
      <c r="Q369" s="95"/>
      <c r="R369" s="95"/>
      <c r="S369" s="95"/>
      <c r="T369" s="95"/>
      <c r="U369" s="26" t="n">
        <v>1</v>
      </c>
      <c r="V369" s="27" t="n">
        <v>1.6</v>
      </c>
      <c r="W369" s="27" t="n">
        <v>0</v>
      </c>
      <c r="X369" s="27"/>
      <c r="Y369" s="27" t="n">
        <v>-1.4</v>
      </c>
      <c r="Z369" s="27" t="n">
        <v>0.01</v>
      </c>
      <c r="AA369" s="27"/>
      <c r="AB369" s="27"/>
      <c r="AC369" s="27"/>
      <c r="AD369" s="27"/>
      <c r="AE369" s="28" t="n">
        <v>0.61</v>
      </c>
      <c r="AF369" s="96" t="n">
        <v>0.022</v>
      </c>
      <c r="AG369" s="96"/>
      <c r="AH369" s="96"/>
      <c r="AI369" s="96"/>
      <c r="AJ369" s="96"/>
      <c r="AK369" s="96"/>
      <c r="AL369" s="23"/>
    </row>
    <row r="370" customFormat="false" ht="16" hidden="false" customHeight="false" outlineLevel="0" collapsed="false">
      <c r="A370" s="95"/>
      <c r="D370" s="23" t="s">
        <v>797</v>
      </c>
      <c r="E370" s="23"/>
      <c r="F370" s="23"/>
      <c r="G370" s="23"/>
      <c r="H370" s="95"/>
      <c r="I370" s="95"/>
      <c r="J370" s="23"/>
      <c r="K370" s="23"/>
      <c r="L370" s="95"/>
      <c r="M370" s="95"/>
      <c r="N370" s="23"/>
      <c r="O370" s="95"/>
      <c r="P370" s="95"/>
      <c r="Q370" s="95"/>
      <c r="R370" s="95"/>
      <c r="S370" s="95"/>
      <c r="T370" s="95"/>
      <c r="U370" s="26" t="n">
        <v>2</v>
      </c>
      <c r="V370" s="27" t="n">
        <v>1.59</v>
      </c>
      <c r="W370" s="27" t="n">
        <v>0.0282842712474619</v>
      </c>
      <c r="X370" s="27"/>
      <c r="Y370" s="27" t="n">
        <v>-2.71</v>
      </c>
      <c r="Z370" s="27" t="n">
        <v>0.0282842712474619</v>
      </c>
      <c r="AA370" s="27"/>
      <c r="AB370" s="27"/>
      <c r="AC370" s="27"/>
      <c r="AD370" s="27"/>
      <c r="AE370" s="28" t="n">
        <v>0.6415</v>
      </c>
      <c r="AF370" s="96" t="n">
        <v>0.00650000000000001</v>
      </c>
      <c r="AG370" s="96"/>
      <c r="AH370" s="96"/>
      <c r="AI370" s="96"/>
      <c r="AJ370" s="96"/>
      <c r="AK370" s="96"/>
      <c r="AL370" s="23"/>
    </row>
    <row r="371" customFormat="false" ht="16" hidden="false" customHeight="false" outlineLevel="0" collapsed="false">
      <c r="A371" s="95"/>
      <c r="D371" s="23" t="s">
        <v>798</v>
      </c>
      <c r="E371" s="23"/>
      <c r="F371" s="23"/>
      <c r="G371" s="23"/>
      <c r="H371" s="95"/>
      <c r="I371" s="95"/>
      <c r="J371" s="23"/>
      <c r="K371" s="23"/>
      <c r="L371" s="95"/>
      <c r="M371" s="95"/>
      <c r="N371" s="23"/>
      <c r="O371" s="95"/>
      <c r="P371" s="95"/>
      <c r="Q371" s="95"/>
      <c r="R371" s="95"/>
      <c r="S371" s="95"/>
      <c r="T371" s="95"/>
      <c r="U371" s="26" t="n">
        <v>2</v>
      </c>
      <c r="V371" s="27" t="n">
        <v>1.345</v>
      </c>
      <c r="W371" s="27" t="n">
        <v>0.00707106781186548</v>
      </c>
      <c r="X371" s="27"/>
      <c r="Y371" s="27" t="n">
        <v>-3.1</v>
      </c>
      <c r="Z371" s="27" t="n">
        <v>0.014142135623731</v>
      </c>
      <c r="AA371" s="27"/>
      <c r="AB371" s="27"/>
      <c r="AC371" s="27"/>
      <c r="AD371" s="27"/>
      <c r="AE371" s="28" t="n">
        <v>0.62</v>
      </c>
      <c r="AF371" s="96" t="n">
        <v>0.002</v>
      </c>
      <c r="AG371" s="96"/>
      <c r="AH371" s="96"/>
      <c r="AI371" s="96"/>
      <c r="AJ371" s="96"/>
      <c r="AK371" s="96"/>
      <c r="AL371" s="23"/>
    </row>
    <row r="372" customFormat="false" ht="16" hidden="false" customHeight="false" outlineLevel="0" collapsed="false">
      <c r="A372" s="95"/>
      <c r="D372" s="23" t="s">
        <v>799</v>
      </c>
      <c r="E372" s="23"/>
      <c r="F372" s="23"/>
      <c r="G372" s="23"/>
      <c r="H372" s="95"/>
      <c r="I372" s="95"/>
      <c r="J372" s="23"/>
      <c r="K372" s="23"/>
      <c r="L372" s="95"/>
      <c r="M372" s="95"/>
      <c r="N372" s="23"/>
      <c r="O372" s="95"/>
      <c r="P372" s="95"/>
      <c r="Q372" s="95"/>
      <c r="R372" s="95"/>
      <c r="S372" s="95"/>
      <c r="T372" s="95"/>
      <c r="U372" s="26" t="n">
        <v>1</v>
      </c>
      <c r="V372" s="27" t="n">
        <v>1.49</v>
      </c>
      <c r="W372" s="27" t="n">
        <v>0</v>
      </c>
      <c r="X372" s="27"/>
      <c r="Y372" s="27" t="n">
        <v>-1.79</v>
      </c>
      <c r="Z372" s="27" t="n">
        <v>0</v>
      </c>
      <c r="AA372" s="27"/>
      <c r="AB372" s="27"/>
      <c r="AC372" s="27"/>
      <c r="AD372" s="27"/>
      <c r="AE372" s="28" t="n">
        <v>0.61</v>
      </c>
      <c r="AF372" s="96" t="n">
        <v>0.005</v>
      </c>
      <c r="AG372" s="96"/>
      <c r="AH372" s="96"/>
      <c r="AI372" s="96"/>
      <c r="AJ372" s="96"/>
      <c r="AK372" s="96"/>
      <c r="AL372" s="23"/>
    </row>
    <row r="373" customFormat="false" ht="16" hidden="false" customHeight="false" outlineLevel="0" collapsed="false">
      <c r="A373" s="97"/>
      <c r="D373" s="98" t="s">
        <v>800</v>
      </c>
      <c r="E373" s="98"/>
      <c r="F373" s="98"/>
      <c r="G373" s="98"/>
      <c r="H373" s="97"/>
      <c r="I373" s="97"/>
      <c r="J373" s="98"/>
      <c r="K373" s="98"/>
      <c r="L373" s="97"/>
      <c r="M373" s="97"/>
      <c r="N373" s="98"/>
      <c r="O373" s="97"/>
      <c r="P373" s="97"/>
      <c r="Q373" s="97"/>
      <c r="R373" s="97"/>
      <c r="S373" s="97"/>
      <c r="T373" s="97"/>
      <c r="U373" s="99" t="n">
        <v>2</v>
      </c>
      <c r="V373" s="100" t="n">
        <v>1.905</v>
      </c>
      <c r="W373" s="100" t="n">
        <v>0.134350288425444</v>
      </c>
      <c r="X373" s="100"/>
      <c r="Y373" s="100" t="n">
        <v>-2.28</v>
      </c>
      <c r="Z373" s="100" t="n">
        <v>0.226274169979695</v>
      </c>
      <c r="AA373" s="100"/>
      <c r="AB373" s="27"/>
      <c r="AC373" s="27"/>
      <c r="AD373" s="27"/>
      <c r="AE373" s="101" t="n">
        <v>0.6185</v>
      </c>
      <c r="AF373" s="102" t="n">
        <v>0.0245</v>
      </c>
      <c r="AG373" s="102"/>
      <c r="AH373" s="102"/>
      <c r="AI373" s="102"/>
      <c r="AJ373" s="102"/>
      <c r="AK373" s="102"/>
      <c r="AL373" s="98"/>
    </row>
    <row r="374" customFormat="false" ht="16" hidden="false" customHeight="false" outlineLevel="0" collapsed="false">
      <c r="A374" s="95"/>
      <c r="D374" s="23" t="s">
        <v>801</v>
      </c>
      <c r="E374" s="23"/>
      <c r="F374" s="23"/>
      <c r="G374" s="23"/>
      <c r="H374" s="95"/>
      <c r="I374" s="95"/>
      <c r="J374" s="23"/>
      <c r="K374" s="23"/>
      <c r="L374" s="95"/>
      <c r="M374" s="95"/>
      <c r="N374" s="23"/>
      <c r="O374" s="95"/>
      <c r="P374" s="95"/>
      <c r="Q374" s="95"/>
      <c r="R374" s="95"/>
      <c r="S374" s="95"/>
      <c r="T374" s="95"/>
      <c r="U374" s="26" t="n">
        <v>2</v>
      </c>
      <c r="V374" s="27" t="n">
        <v>0.615</v>
      </c>
      <c r="W374" s="27" t="n">
        <v>0.0353553390593274</v>
      </c>
      <c r="X374" s="27"/>
      <c r="Y374" s="27" t="n">
        <v>-1.945</v>
      </c>
      <c r="Z374" s="27" t="n">
        <v>0.0212132034355964</v>
      </c>
      <c r="AA374" s="27"/>
      <c r="AB374" s="27"/>
      <c r="AC374" s="27"/>
      <c r="AD374" s="27"/>
      <c r="AE374" s="28" t="n">
        <v>0.605</v>
      </c>
      <c r="AF374" s="96" t="n">
        <v>0.001</v>
      </c>
      <c r="AG374" s="96"/>
      <c r="AH374" s="96"/>
      <c r="AI374" s="96"/>
      <c r="AJ374" s="96"/>
      <c r="AK374" s="96"/>
      <c r="AL374" s="23"/>
    </row>
    <row r="375" customFormat="false" ht="16" hidden="false" customHeight="false" outlineLevel="0" collapsed="false">
      <c r="A375" s="95"/>
      <c r="D375" s="23" t="s">
        <v>802</v>
      </c>
      <c r="E375" s="23"/>
      <c r="F375" s="23"/>
      <c r="G375" s="23"/>
      <c r="H375" s="95"/>
      <c r="I375" s="95"/>
      <c r="J375" s="23"/>
      <c r="K375" s="23"/>
      <c r="L375" s="95"/>
      <c r="M375" s="95"/>
      <c r="N375" s="23"/>
      <c r="O375" s="95"/>
      <c r="P375" s="95"/>
      <c r="Q375" s="95"/>
      <c r="R375" s="95"/>
      <c r="S375" s="95"/>
      <c r="T375" s="95"/>
      <c r="U375" s="26" t="n">
        <v>1</v>
      </c>
      <c r="V375" s="27" t="n">
        <v>-1.84</v>
      </c>
      <c r="W375" s="27" t="n">
        <v>0</v>
      </c>
      <c r="X375" s="27"/>
      <c r="Y375" s="27" t="n">
        <v>-2.31</v>
      </c>
      <c r="Z375" s="27" t="n">
        <v>0</v>
      </c>
      <c r="AA375" s="27"/>
      <c r="AB375" s="27"/>
      <c r="AC375" s="27"/>
      <c r="AD375" s="27"/>
      <c r="AE375" s="28" t="n">
        <v>0.616</v>
      </c>
      <c r="AF375" s="96" t="n">
        <v>0.019</v>
      </c>
      <c r="AG375" s="96"/>
      <c r="AH375" s="96"/>
      <c r="AI375" s="96"/>
      <c r="AJ375" s="96"/>
      <c r="AK375" s="96"/>
      <c r="AL375" s="23"/>
    </row>
    <row r="376" customFormat="false" ht="16" hidden="false" customHeight="false" outlineLevel="0" collapsed="false">
      <c r="A376" s="95"/>
      <c r="D376" s="23" t="s">
        <v>803</v>
      </c>
      <c r="E376" s="23"/>
      <c r="F376" s="23"/>
      <c r="G376" s="23"/>
      <c r="H376" s="95"/>
      <c r="I376" s="95"/>
      <c r="J376" s="23"/>
      <c r="K376" s="23"/>
      <c r="L376" s="95"/>
      <c r="M376" s="95"/>
      <c r="N376" s="23"/>
      <c r="O376" s="95"/>
      <c r="P376" s="95"/>
      <c r="Q376" s="95"/>
      <c r="R376" s="95"/>
      <c r="S376" s="95"/>
      <c r="T376" s="95"/>
      <c r="U376" s="26" t="n">
        <v>1</v>
      </c>
      <c r="V376" s="27" t="n">
        <v>1.49</v>
      </c>
      <c r="W376" s="27" t="n">
        <v>0</v>
      </c>
      <c r="X376" s="27"/>
      <c r="Y376" s="27" t="n">
        <v>-0.47</v>
      </c>
      <c r="Z376" s="27" t="n">
        <v>0.01</v>
      </c>
      <c r="AA376" s="27"/>
      <c r="AB376" s="27"/>
      <c r="AC376" s="27"/>
      <c r="AD376" s="27"/>
      <c r="AE376" s="28" t="n">
        <v>0.614</v>
      </c>
      <c r="AF376" s="96" t="n">
        <v>0.011</v>
      </c>
      <c r="AG376" s="96"/>
      <c r="AH376" s="96"/>
      <c r="AI376" s="96"/>
      <c r="AJ376" s="96"/>
      <c r="AK376" s="96"/>
      <c r="AL376" s="23"/>
    </row>
    <row r="377" customFormat="false" ht="16" hidden="false" customHeight="false" outlineLevel="0" collapsed="false">
      <c r="A377" s="95"/>
      <c r="D377" s="23" t="s">
        <v>804</v>
      </c>
      <c r="E377" s="23"/>
      <c r="F377" s="23"/>
      <c r="G377" s="23"/>
      <c r="H377" s="95"/>
      <c r="I377" s="95"/>
      <c r="J377" s="23"/>
      <c r="K377" s="23"/>
      <c r="L377" s="95"/>
      <c r="M377" s="95"/>
      <c r="N377" s="23"/>
      <c r="O377" s="95"/>
      <c r="P377" s="95"/>
      <c r="Q377" s="95"/>
      <c r="R377" s="95"/>
      <c r="S377" s="95"/>
      <c r="T377" s="95"/>
      <c r="U377" s="26" t="n">
        <v>2</v>
      </c>
      <c r="V377" s="27" t="n">
        <v>1.7</v>
      </c>
      <c r="W377" s="27" t="n">
        <v>0.763675323681471</v>
      </c>
      <c r="X377" s="27"/>
      <c r="Y377" s="27" t="n">
        <v>-2.36</v>
      </c>
      <c r="Z377" s="27" t="n">
        <v>0.551543289325509</v>
      </c>
      <c r="AA377" s="27"/>
      <c r="AB377" s="27"/>
      <c r="AC377" s="27"/>
      <c r="AD377" s="27"/>
      <c r="AE377" s="28" t="n">
        <v>0.621</v>
      </c>
      <c r="AF377" s="96" t="n">
        <v>0.00700000000000001</v>
      </c>
      <c r="AG377" s="96"/>
      <c r="AH377" s="96"/>
      <c r="AI377" s="96"/>
      <c r="AJ377" s="96"/>
      <c r="AK377" s="96"/>
      <c r="AL377" s="23"/>
    </row>
    <row r="378" customFormat="false" ht="16" hidden="false" customHeight="false" outlineLevel="0" collapsed="false">
      <c r="A378" s="95"/>
      <c r="D378" s="23" t="s">
        <v>805</v>
      </c>
      <c r="E378" s="23"/>
      <c r="F378" s="23"/>
      <c r="G378" s="23"/>
      <c r="H378" s="95"/>
      <c r="I378" s="95"/>
      <c r="J378" s="23"/>
      <c r="K378" s="23"/>
      <c r="L378" s="95"/>
      <c r="M378" s="95"/>
      <c r="N378" s="23"/>
      <c r="O378" s="95"/>
      <c r="P378" s="95"/>
      <c r="Q378" s="95"/>
      <c r="R378" s="95"/>
      <c r="S378" s="95"/>
      <c r="T378" s="95"/>
      <c r="U378" s="26" t="n">
        <v>1</v>
      </c>
      <c r="V378" s="27" t="n">
        <v>1.38</v>
      </c>
      <c r="W378" s="27" t="n">
        <v>0.01</v>
      </c>
      <c r="X378" s="27"/>
      <c r="Y378" s="27" t="n">
        <v>-1.6</v>
      </c>
      <c r="Z378" s="27" t="n">
        <v>0.02</v>
      </c>
      <c r="AA378" s="27"/>
      <c r="AB378" s="27"/>
      <c r="AC378" s="27"/>
      <c r="AD378" s="27"/>
      <c r="AE378" s="28" t="n">
        <v>0.656</v>
      </c>
      <c r="AF378" s="96" t="n">
        <v>0.013</v>
      </c>
      <c r="AG378" s="96"/>
      <c r="AH378" s="96"/>
      <c r="AI378" s="96"/>
      <c r="AJ378" s="96"/>
      <c r="AK378" s="96"/>
      <c r="AL378" s="23"/>
    </row>
    <row r="379" customFormat="false" ht="16" hidden="false" customHeight="false" outlineLevel="0" collapsed="false">
      <c r="A379" s="95"/>
      <c r="D379" s="23" t="s">
        <v>806</v>
      </c>
      <c r="E379" s="23"/>
      <c r="F379" s="23"/>
      <c r="G379" s="23"/>
      <c r="H379" s="95"/>
      <c r="I379" s="95"/>
      <c r="J379" s="23"/>
      <c r="K379" s="23"/>
      <c r="L379" s="95"/>
      <c r="M379" s="95"/>
      <c r="N379" s="23"/>
      <c r="O379" s="95"/>
      <c r="P379" s="95"/>
      <c r="Q379" s="95"/>
      <c r="R379" s="95"/>
      <c r="S379" s="95"/>
      <c r="T379" s="95"/>
      <c r="U379" s="26" t="n">
        <v>1</v>
      </c>
      <c r="V379" s="27" t="n">
        <v>1.21</v>
      </c>
      <c r="W379" s="27" t="n">
        <v>0.01</v>
      </c>
      <c r="X379" s="27"/>
      <c r="Y379" s="27" t="n">
        <v>-1.32</v>
      </c>
      <c r="Z379" s="27" t="n">
        <v>0.01</v>
      </c>
      <c r="AA379" s="27"/>
      <c r="AB379" s="27"/>
      <c r="AC379" s="27"/>
      <c r="AD379" s="27"/>
      <c r="AE379" s="28" t="n">
        <v>0.645</v>
      </c>
      <c r="AF379" s="96" t="n">
        <v>0.013</v>
      </c>
      <c r="AG379" s="96"/>
      <c r="AH379" s="96"/>
      <c r="AI379" s="96"/>
      <c r="AJ379" s="96"/>
      <c r="AK379" s="96"/>
      <c r="AL379" s="23"/>
    </row>
    <row r="380" customFormat="false" ht="16" hidden="false" customHeight="false" outlineLevel="0" collapsed="false">
      <c r="A380" s="95"/>
      <c r="D380" s="23" t="s">
        <v>807</v>
      </c>
      <c r="E380" s="23"/>
      <c r="F380" s="23"/>
      <c r="G380" s="23"/>
      <c r="H380" s="95"/>
      <c r="I380" s="95"/>
      <c r="J380" s="23"/>
      <c r="K380" s="23"/>
      <c r="L380" s="95"/>
      <c r="M380" s="95"/>
      <c r="N380" s="23"/>
      <c r="O380" s="95"/>
      <c r="P380" s="95"/>
      <c r="Q380" s="95"/>
      <c r="R380" s="95"/>
      <c r="S380" s="95"/>
      <c r="T380" s="95"/>
      <c r="U380" s="26" t="n">
        <v>1</v>
      </c>
      <c r="V380" s="27" t="n">
        <v>1.04</v>
      </c>
      <c r="W380" s="27" t="n">
        <v>0</v>
      </c>
      <c r="X380" s="27"/>
      <c r="Y380" s="27" t="n">
        <v>-3.59</v>
      </c>
      <c r="Z380" s="27" t="n">
        <v>0</v>
      </c>
      <c r="AA380" s="27"/>
      <c r="AB380" s="27"/>
      <c r="AC380" s="27"/>
      <c r="AD380" s="27"/>
      <c r="AE380" s="28" t="n">
        <v>0.587</v>
      </c>
      <c r="AF380" s="96" t="n">
        <v>0.016</v>
      </c>
      <c r="AG380" s="96"/>
      <c r="AH380" s="96"/>
      <c r="AI380" s="96"/>
      <c r="AJ380" s="96"/>
      <c r="AK380" s="96"/>
      <c r="AL380" s="23"/>
    </row>
    <row r="381" customFormat="false" ht="16" hidden="false" customHeight="false" outlineLevel="0" collapsed="false">
      <c r="A381" s="95"/>
      <c r="D381" s="23" t="s">
        <v>808</v>
      </c>
      <c r="E381" s="23"/>
      <c r="F381" s="23"/>
      <c r="G381" s="23"/>
      <c r="H381" s="95"/>
      <c r="I381" s="95"/>
      <c r="J381" s="23"/>
      <c r="K381" s="23"/>
      <c r="L381" s="95"/>
      <c r="M381" s="95"/>
      <c r="N381" s="23"/>
      <c r="O381" s="95"/>
      <c r="P381" s="95"/>
      <c r="Q381" s="95"/>
      <c r="R381" s="95"/>
      <c r="S381" s="95"/>
      <c r="T381" s="95"/>
      <c r="U381" s="26" t="n">
        <v>2</v>
      </c>
      <c r="V381" s="27" t="n">
        <v>2.155</v>
      </c>
      <c r="W381" s="27" t="n">
        <v>0.0636396103067895</v>
      </c>
      <c r="X381" s="27"/>
      <c r="Y381" s="27" t="n">
        <v>-1.875</v>
      </c>
      <c r="Z381" s="27" t="n">
        <v>0.134350288425444</v>
      </c>
      <c r="AA381" s="27"/>
      <c r="AB381" s="27"/>
      <c r="AC381" s="27"/>
      <c r="AD381" s="27"/>
      <c r="AE381" s="28" t="n">
        <v>0.595</v>
      </c>
      <c r="AF381" s="96" t="n">
        <v>0.00900000000000001</v>
      </c>
      <c r="AG381" s="96"/>
      <c r="AH381" s="96"/>
      <c r="AI381" s="96"/>
      <c r="AJ381" s="96"/>
      <c r="AK381" s="96"/>
      <c r="AL381" s="23"/>
    </row>
    <row r="382" customFormat="false" ht="16" hidden="false" customHeight="false" outlineLevel="0" collapsed="false">
      <c r="A382" s="97"/>
      <c r="D382" s="98" t="s">
        <v>809</v>
      </c>
      <c r="E382" s="98"/>
      <c r="F382" s="98"/>
      <c r="G382" s="98"/>
      <c r="H382" s="97"/>
      <c r="I382" s="97"/>
      <c r="J382" s="98"/>
      <c r="K382" s="98"/>
      <c r="L382" s="97"/>
      <c r="M382" s="97"/>
      <c r="N382" s="98"/>
      <c r="O382" s="97"/>
      <c r="P382" s="97"/>
      <c r="Q382" s="97"/>
      <c r="R382" s="97"/>
      <c r="S382" s="97"/>
      <c r="T382" s="97"/>
      <c r="U382" s="99" t="n">
        <v>2</v>
      </c>
      <c r="V382" s="100" t="n">
        <v>2.005</v>
      </c>
      <c r="W382" s="100" t="n">
        <v>0.120208152801713</v>
      </c>
      <c r="X382" s="100"/>
      <c r="Y382" s="100" t="n">
        <v>-1.76</v>
      </c>
      <c r="Z382" s="100" t="n">
        <v>0.183847763108502</v>
      </c>
      <c r="AA382" s="100"/>
      <c r="AB382" s="27"/>
      <c r="AC382" s="27"/>
      <c r="AD382" s="27"/>
      <c r="AE382" s="101" t="n">
        <v>0.62</v>
      </c>
      <c r="AF382" s="102" t="n">
        <v>0.024</v>
      </c>
      <c r="AG382" s="102"/>
      <c r="AH382" s="102"/>
      <c r="AI382" s="102"/>
      <c r="AJ382" s="102"/>
      <c r="AK382" s="102"/>
      <c r="AL382" s="98"/>
    </row>
    <row r="383" customFormat="false" ht="16" hidden="false" customHeight="false" outlineLevel="0" collapsed="false">
      <c r="A383" s="97"/>
      <c r="D383" s="98" t="s">
        <v>810</v>
      </c>
      <c r="E383" s="98"/>
      <c r="F383" s="98"/>
      <c r="G383" s="98"/>
      <c r="H383" s="97"/>
      <c r="I383" s="97"/>
      <c r="J383" s="98"/>
      <c r="K383" s="98"/>
      <c r="L383" s="97"/>
      <c r="M383" s="97"/>
      <c r="N383" s="98"/>
      <c r="O383" s="97"/>
      <c r="P383" s="97"/>
      <c r="Q383" s="97"/>
      <c r="R383" s="97"/>
      <c r="S383" s="97"/>
      <c r="T383" s="97"/>
      <c r="U383" s="99" t="n">
        <v>1</v>
      </c>
      <c r="V383" s="100" t="n">
        <v>-0.42</v>
      </c>
      <c r="W383" s="100" t="n">
        <v>0</v>
      </c>
      <c r="X383" s="100"/>
      <c r="Y383" s="100" t="n">
        <v>0.43</v>
      </c>
      <c r="Z383" s="100" t="n">
        <v>0.02</v>
      </c>
      <c r="AA383" s="100"/>
      <c r="AB383" s="27"/>
      <c r="AC383" s="27"/>
      <c r="AD383" s="27"/>
      <c r="AE383" s="101" t="n">
        <v>0.76</v>
      </c>
      <c r="AF383" s="102" t="n">
        <v>0.008</v>
      </c>
      <c r="AG383" s="102"/>
      <c r="AH383" s="102"/>
      <c r="AI383" s="102"/>
      <c r="AJ383" s="102"/>
      <c r="AK383" s="102"/>
      <c r="AL383" s="98"/>
    </row>
    <row r="384" customFormat="false" ht="16" hidden="false" customHeight="false" outlineLevel="0" collapsed="false">
      <c r="A384" s="95"/>
      <c r="D384" s="23" t="s">
        <v>811</v>
      </c>
      <c r="E384" s="23"/>
      <c r="F384" s="23"/>
      <c r="G384" s="23"/>
      <c r="H384" s="95"/>
      <c r="I384" s="95"/>
      <c r="J384" s="23"/>
      <c r="K384" s="23"/>
      <c r="L384" s="95"/>
      <c r="M384" s="95"/>
      <c r="N384" s="23"/>
      <c r="O384" s="95"/>
      <c r="P384" s="95"/>
      <c r="Q384" s="95"/>
      <c r="R384" s="95"/>
      <c r="S384" s="95"/>
      <c r="T384" s="95"/>
      <c r="U384" s="26" t="n">
        <v>1</v>
      </c>
      <c r="V384" s="27" t="n">
        <v>1.81</v>
      </c>
      <c r="W384" s="27" t="n">
        <v>0.01</v>
      </c>
      <c r="X384" s="27"/>
      <c r="Y384" s="27" t="n">
        <v>-1.34</v>
      </c>
      <c r="Z384" s="27" t="n">
        <v>0.02</v>
      </c>
      <c r="AA384" s="27"/>
      <c r="AB384" s="27"/>
      <c r="AC384" s="27"/>
      <c r="AD384" s="27"/>
      <c r="AE384" s="28" t="n">
        <v>0.661</v>
      </c>
      <c r="AF384" s="96" t="n">
        <v>0.01</v>
      </c>
      <c r="AG384" s="96"/>
      <c r="AH384" s="96"/>
      <c r="AI384" s="96"/>
      <c r="AJ384" s="96"/>
      <c r="AK384" s="96"/>
      <c r="AL384" s="23"/>
    </row>
    <row r="385" customFormat="false" ht="16" hidden="false" customHeight="false" outlineLevel="0" collapsed="false">
      <c r="A385" s="95"/>
      <c r="D385" s="23" t="s">
        <v>812</v>
      </c>
      <c r="E385" s="23"/>
      <c r="F385" s="23"/>
      <c r="G385" s="23"/>
      <c r="H385" s="95"/>
      <c r="I385" s="95"/>
      <c r="J385" s="23"/>
      <c r="K385" s="23"/>
      <c r="L385" s="95"/>
      <c r="M385" s="95"/>
      <c r="N385" s="23"/>
      <c r="O385" s="95"/>
      <c r="P385" s="95"/>
      <c r="Q385" s="95"/>
      <c r="R385" s="95"/>
      <c r="S385" s="95"/>
      <c r="T385" s="95"/>
      <c r="U385" s="26" t="n">
        <v>2</v>
      </c>
      <c r="V385" s="27" t="n">
        <v>1.585</v>
      </c>
      <c r="W385" s="27" t="n">
        <v>0.00707106781186548</v>
      </c>
      <c r="X385" s="27"/>
      <c r="Y385" s="27" t="n">
        <v>-2.165</v>
      </c>
      <c r="Z385" s="27" t="n">
        <v>0.00707106781186532</v>
      </c>
      <c r="AA385" s="27"/>
      <c r="AB385" s="27"/>
      <c r="AC385" s="27"/>
      <c r="AD385" s="27"/>
      <c r="AE385" s="28" t="n">
        <v>0.5925</v>
      </c>
      <c r="AF385" s="96" t="n">
        <v>0.00550000000000001</v>
      </c>
      <c r="AG385" s="96"/>
      <c r="AH385" s="96"/>
      <c r="AI385" s="96"/>
      <c r="AJ385" s="96"/>
      <c r="AK385" s="96"/>
      <c r="AL385" s="23"/>
    </row>
    <row r="386" customFormat="false" ht="16" hidden="false" customHeight="false" outlineLevel="0" collapsed="false">
      <c r="A386" s="95"/>
      <c r="D386" s="23" t="s">
        <v>813</v>
      </c>
      <c r="E386" s="23"/>
      <c r="F386" s="23"/>
      <c r="G386" s="23"/>
      <c r="H386" s="95"/>
      <c r="I386" s="95"/>
      <c r="J386" s="23"/>
      <c r="K386" s="23"/>
      <c r="L386" s="95"/>
      <c r="M386" s="95"/>
      <c r="N386" s="23"/>
      <c r="O386" s="95"/>
      <c r="P386" s="95"/>
      <c r="Q386" s="95"/>
      <c r="R386" s="95"/>
      <c r="S386" s="95"/>
      <c r="T386" s="95"/>
      <c r="U386" s="26" t="n">
        <v>1</v>
      </c>
      <c r="V386" s="27" t="n">
        <v>0.55</v>
      </c>
      <c r="W386" s="27" t="n">
        <v>0</v>
      </c>
      <c r="X386" s="27"/>
      <c r="Y386" s="27" t="n">
        <v>2</v>
      </c>
      <c r="Z386" s="27" t="n">
        <v>0.01</v>
      </c>
      <c r="AA386" s="27"/>
      <c r="AB386" s="27"/>
      <c r="AC386" s="27"/>
      <c r="AD386" s="27"/>
      <c r="AE386" s="28" t="n">
        <v>0.641</v>
      </c>
      <c r="AF386" s="96" t="n">
        <v>0.01</v>
      </c>
      <c r="AG386" s="96"/>
      <c r="AH386" s="96"/>
      <c r="AI386" s="96"/>
      <c r="AJ386" s="96"/>
      <c r="AK386" s="96"/>
      <c r="AL386" s="23"/>
    </row>
    <row r="387" customFormat="false" ht="16" hidden="false" customHeight="false" outlineLevel="0" collapsed="false">
      <c r="A387" s="95"/>
      <c r="D387" s="23" t="s">
        <v>814</v>
      </c>
      <c r="E387" s="23"/>
      <c r="F387" s="23"/>
      <c r="G387" s="23"/>
      <c r="H387" s="95"/>
      <c r="I387" s="95"/>
      <c r="J387" s="23"/>
      <c r="K387" s="23"/>
      <c r="L387" s="95"/>
      <c r="M387" s="95"/>
      <c r="N387" s="23"/>
      <c r="O387" s="95"/>
      <c r="P387" s="95"/>
      <c r="Q387" s="95"/>
      <c r="R387" s="95"/>
      <c r="S387" s="95"/>
      <c r="T387" s="95"/>
      <c r="U387" s="26" t="n">
        <v>2</v>
      </c>
      <c r="V387" s="27" t="n">
        <v>-0.135</v>
      </c>
      <c r="W387" s="27" t="n">
        <v>0.0494974746830583</v>
      </c>
      <c r="X387" s="27"/>
      <c r="Y387" s="27" t="n">
        <v>0.55</v>
      </c>
      <c r="Z387" s="27" t="n">
        <v>0.0565685424949238</v>
      </c>
      <c r="AA387" s="27"/>
      <c r="AB387" s="27"/>
      <c r="AC387" s="27"/>
      <c r="AD387" s="27"/>
      <c r="AE387" s="28" t="n">
        <v>0.6475</v>
      </c>
      <c r="AF387" s="96" t="n">
        <v>0.0025</v>
      </c>
      <c r="AG387" s="96"/>
      <c r="AH387" s="96"/>
      <c r="AI387" s="96"/>
      <c r="AJ387" s="96"/>
      <c r="AK387" s="96"/>
      <c r="AL387" s="23"/>
    </row>
    <row r="388" customFormat="false" ht="16" hidden="false" customHeight="false" outlineLevel="0" collapsed="false">
      <c r="A388" s="95"/>
      <c r="D388" s="23" t="s">
        <v>815</v>
      </c>
      <c r="E388" s="23"/>
      <c r="F388" s="23"/>
      <c r="G388" s="23"/>
      <c r="H388" s="95"/>
      <c r="I388" s="95"/>
      <c r="J388" s="23"/>
      <c r="K388" s="23"/>
      <c r="L388" s="95"/>
      <c r="M388" s="95"/>
      <c r="N388" s="23"/>
      <c r="O388" s="95"/>
      <c r="P388" s="95"/>
      <c r="Q388" s="95"/>
      <c r="R388" s="95"/>
      <c r="S388" s="95"/>
      <c r="T388" s="95"/>
      <c r="U388" s="26" t="n">
        <v>1</v>
      </c>
      <c r="V388" s="27" t="n">
        <v>-0.49</v>
      </c>
      <c r="W388" s="27" t="n">
        <v>0.01</v>
      </c>
      <c r="X388" s="27"/>
      <c r="Y388" s="27" t="n">
        <v>0.18</v>
      </c>
      <c r="Z388" s="27" t="n">
        <v>0.02</v>
      </c>
      <c r="AA388" s="27"/>
      <c r="AB388" s="27"/>
      <c r="AC388" s="27"/>
      <c r="AD388" s="27"/>
      <c r="AE388" s="28" t="n">
        <v>0.694</v>
      </c>
      <c r="AF388" s="96" t="n">
        <v>0.015</v>
      </c>
      <c r="AG388" s="96"/>
      <c r="AH388" s="96"/>
      <c r="AI388" s="96"/>
      <c r="AJ388" s="96"/>
      <c r="AK388" s="96"/>
      <c r="AL388" s="23"/>
    </row>
    <row r="389" customFormat="false" ht="16" hidden="false" customHeight="false" outlineLevel="0" collapsed="false">
      <c r="A389" s="95"/>
      <c r="D389" s="23" t="s">
        <v>816</v>
      </c>
      <c r="E389" s="23"/>
      <c r="F389" s="23"/>
      <c r="G389" s="23"/>
      <c r="H389" s="95"/>
      <c r="I389" s="95"/>
      <c r="J389" s="23"/>
      <c r="K389" s="23"/>
      <c r="L389" s="95"/>
      <c r="M389" s="95"/>
      <c r="N389" s="23"/>
      <c r="O389" s="95"/>
      <c r="P389" s="95"/>
      <c r="Q389" s="95"/>
      <c r="R389" s="95"/>
      <c r="S389" s="95"/>
      <c r="T389" s="95"/>
      <c r="U389" s="26" t="n">
        <v>2</v>
      </c>
      <c r="V389" s="27" t="n">
        <v>1.63333333333333</v>
      </c>
      <c r="W389" s="27" t="n">
        <v>0.30989245446337</v>
      </c>
      <c r="X389" s="27"/>
      <c r="Y389" s="27" t="n">
        <v>-1.42</v>
      </c>
      <c r="Z389" s="27" t="n">
        <v>0.342198772645374</v>
      </c>
      <c r="AA389" s="27"/>
      <c r="AB389" s="27"/>
      <c r="AC389" s="27"/>
      <c r="AD389" s="27"/>
      <c r="AE389" s="28" t="n">
        <v>0.594333333333333</v>
      </c>
      <c r="AF389" s="96" t="n">
        <v>0.0164249133263399</v>
      </c>
      <c r="AG389" s="96"/>
      <c r="AH389" s="96"/>
      <c r="AI389" s="96"/>
      <c r="AJ389" s="96"/>
      <c r="AK389" s="96"/>
      <c r="AL389" s="23"/>
    </row>
    <row r="390" customFormat="false" ht="16" hidden="false" customHeight="false" outlineLevel="0" collapsed="false">
      <c r="A390" s="95"/>
      <c r="D390" s="23" t="s">
        <v>817</v>
      </c>
      <c r="E390" s="23"/>
      <c r="F390" s="23"/>
      <c r="G390" s="23"/>
      <c r="H390" s="95"/>
      <c r="I390" s="95"/>
      <c r="J390" s="23"/>
      <c r="K390" s="23"/>
      <c r="L390" s="95"/>
      <c r="M390" s="95"/>
      <c r="N390" s="23"/>
      <c r="O390" s="95"/>
      <c r="P390" s="95"/>
      <c r="Q390" s="95"/>
      <c r="R390" s="95"/>
      <c r="S390" s="95"/>
      <c r="T390" s="95"/>
      <c r="U390" s="26" t="n">
        <v>1</v>
      </c>
      <c r="V390" s="27" t="n">
        <v>2.15</v>
      </c>
      <c r="W390" s="27" t="n">
        <v>0</v>
      </c>
      <c r="X390" s="27"/>
      <c r="Y390" s="27" t="n">
        <v>-1.02</v>
      </c>
      <c r="Z390" s="27" t="n">
        <v>0</v>
      </c>
      <c r="AA390" s="27"/>
      <c r="AB390" s="27"/>
      <c r="AC390" s="27"/>
      <c r="AD390" s="27"/>
      <c r="AE390" s="28" t="n">
        <v>0.597</v>
      </c>
      <c r="AF390" s="96" t="n">
        <v>0.01</v>
      </c>
      <c r="AG390" s="96"/>
      <c r="AH390" s="96"/>
      <c r="AI390" s="96"/>
      <c r="AJ390" s="96"/>
      <c r="AK390" s="96"/>
      <c r="AL390" s="23"/>
    </row>
    <row r="391" customFormat="false" ht="16" hidden="false" customHeight="false" outlineLevel="0" collapsed="false">
      <c r="A391" s="95"/>
      <c r="D391" s="23" t="s">
        <v>818</v>
      </c>
      <c r="E391" s="23"/>
      <c r="F391" s="23"/>
      <c r="G391" s="23"/>
      <c r="H391" s="95"/>
      <c r="I391" s="95"/>
      <c r="J391" s="23"/>
      <c r="K391" s="23"/>
      <c r="L391" s="95"/>
      <c r="M391" s="95"/>
      <c r="N391" s="23"/>
      <c r="O391" s="95"/>
      <c r="P391" s="95"/>
      <c r="Q391" s="95"/>
      <c r="R391" s="95"/>
      <c r="S391" s="95"/>
      <c r="T391" s="95"/>
      <c r="U391" s="26" t="n">
        <v>1</v>
      </c>
      <c r="V391" s="27" t="n">
        <v>0.69</v>
      </c>
      <c r="W391" s="27" t="n">
        <v>0</v>
      </c>
      <c r="X391" s="27"/>
      <c r="Y391" s="27" t="n">
        <v>-0.17</v>
      </c>
      <c r="Z391" s="27" t="n">
        <v>0.01</v>
      </c>
      <c r="AA391" s="27"/>
      <c r="AB391" s="27"/>
      <c r="AC391" s="27"/>
      <c r="AD391" s="27"/>
      <c r="AE391" s="28" t="n">
        <v>0.666</v>
      </c>
      <c r="AF391" s="96" t="n">
        <v>0.01</v>
      </c>
      <c r="AG391" s="96"/>
      <c r="AH391" s="96"/>
      <c r="AI391" s="96"/>
      <c r="AJ391" s="96"/>
      <c r="AK391" s="96"/>
      <c r="AL391" s="23"/>
    </row>
    <row r="392" customFormat="false" ht="16" hidden="false" customHeight="false" outlineLevel="0" collapsed="false">
      <c r="A392" s="95"/>
      <c r="D392" s="23" t="s">
        <v>819</v>
      </c>
      <c r="E392" s="23"/>
      <c r="F392" s="23"/>
      <c r="G392" s="23"/>
      <c r="H392" s="95"/>
      <c r="I392" s="95"/>
      <c r="J392" s="23"/>
      <c r="K392" s="23"/>
      <c r="L392" s="95"/>
      <c r="M392" s="95"/>
      <c r="N392" s="23"/>
      <c r="O392" s="95"/>
      <c r="P392" s="95"/>
      <c r="Q392" s="95"/>
      <c r="R392" s="95"/>
      <c r="S392" s="95"/>
      <c r="T392" s="95"/>
      <c r="U392" s="26" t="n">
        <v>1</v>
      </c>
      <c r="V392" s="27" t="n">
        <v>0.95</v>
      </c>
      <c r="W392" s="27" t="n">
        <v>0</v>
      </c>
      <c r="X392" s="27"/>
      <c r="Y392" s="27" t="n">
        <v>0.87</v>
      </c>
      <c r="Z392" s="27" t="n">
        <v>0</v>
      </c>
      <c r="AA392" s="27"/>
      <c r="AB392" s="27"/>
      <c r="AC392" s="27"/>
      <c r="AD392" s="27"/>
      <c r="AE392" s="28" t="n">
        <v>0.66</v>
      </c>
      <c r="AF392" s="96" t="n">
        <v>0.01</v>
      </c>
      <c r="AG392" s="96"/>
      <c r="AH392" s="96"/>
      <c r="AI392" s="96"/>
      <c r="AJ392" s="96"/>
      <c r="AK392" s="96"/>
      <c r="AL392" s="23"/>
    </row>
    <row r="393" customFormat="false" ht="16" hidden="false" customHeight="false" outlineLevel="0" collapsed="false">
      <c r="A393" s="95"/>
      <c r="D393" s="23" t="s">
        <v>820</v>
      </c>
      <c r="E393" s="23"/>
      <c r="F393" s="23"/>
      <c r="G393" s="23"/>
      <c r="H393" s="95"/>
      <c r="I393" s="95"/>
      <c r="J393" s="23"/>
      <c r="K393" s="23"/>
      <c r="L393" s="95"/>
      <c r="M393" s="95"/>
      <c r="N393" s="23"/>
      <c r="O393" s="95"/>
      <c r="P393" s="95"/>
      <c r="Q393" s="95"/>
      <c r="R393" s="95"/>
      <c r="S393" s="95"/>
      <c r="T393" s="95"/>
      <c r="U393" s="26" t="n">
        <v>1</v>
      </c>
      <c r="V393" s="27" t="n">
        <v>-0.69</v>
      </c>
      <c r="W393" s="27" t="n">
        <v>0</v>
      </c>
      <c r="X393" s="27"/>
      <c r="Y393" s="27" t="n">
        <v>0.77</v>
      </c>
      <c r="Z393" s="27" t="n">
        <v>0.01</v>
      </c>
      <c r="AA393" s="27"/>
      <c r="AB393" s="27"/>
      <c r="AC393" s="27"/>
      <c r="AD393" s="27"/>
      <c r="AE393" s="28" t="n">
        <v>0.703</v>
      </c>
      <c r="AF393" s="96" t="n">
        <v>0.016</v>
      </c>
      <c r="AG393" s="96"/>
      <c r="AH393" s="96"/>
      <c r="AI393" s="96"/>
      <c r="AJ393" s="96"/>
      <c r="AK393" s="96"/>
      <c r="AL393" s="23"/>
    </row>
    <row r="394" customFormat="false" ht="16" hidden="false" customHeight="false" outlineLevel="0" collapsed="false">
      <c r="A394" s="95"/>
      <c r="D394" s="23" t="s">
        <v>821</v>
      </c>
      <c r="E394" s="23"/>
      <c r="F394" s="23"/>
      <c r="G394" s="23"/>
      <c r="H394" s="95"/>
      <c r="I394" s="95"/>
      <c r="J394" s="23"/>
      <c r="K394" s="23"/>
      <c r="L394" s="95"/>
      <c r="M394" s="95"/>
      <c r="N394" s="23"/>
      <c r="O394" s="95"/>
      <c r="P394" s="95"/>
      <c r="Q394" s="95"/>
      <c r="R394" s="95"/>
      <c r="S394" s="95"/>
      <c r="T394" s="95"/>
      <c r="U394" s="26" t="n">
        <v>2</v>
      </c>
      <c r="V394" s="27" t="n">
        <v>0.385</v>
      </c>
      <c r="W394" s="27" t="n">
        <v>0.0636396103067893</v>
      </c>
      <c r="X394" s="27"/>
      <c r="Y394" s="27" t="n">
        <v>1.2</v>
      </c>
      <c r="Z394" s="27" t="n">
        <v>0.0282842712474619</v>
      </c>
      <c r="AA394" s="27"/>
      <c r="AB394" s="27"/>
      <c r="AC394" s="27"/>
      <c r="AD394" s="27"/>
      <c r="AE394" s="28" t="n">
        <v>0.6705</v>
      </c>
      <c r="AF394" s="96" t="n">
        <v>0.0215</v>
      </c>
      <c r="AG394" s="96"/>
      <c r="AH394" s="96"/>
      <c r="AI394" s="96"/>
      <c r="AJ394" s="96"/>
      <c r="AK394" s="96"/>
      <c r="AL394" s="23"/>
    </row>
    <row r="395" customFormat="false" ht="16" hidden="false" customHeight="false" outlineLevel="0" collapsed="false">
      <c r="A395" s="103"/>
      <c r="D395" s="40" t="s">
        <v>822</v>
      </c>
      <c r="E395" s="40"/>
      <c r="F395" s="40"/>
      <c r="G395" s="40"/>
      <c r="H395" s="103"/>
      <c r="I395" s="103"/>
      <c r="J395" s="40"/>
      <c r="K395" s="40"/>
      <c r="L395" s="103"/>
      <c r="M395" s="103"/>
      <c r="N395" s="40"/>
      <c r="O395" s="103"/>
      <c r="P395" s="103"/>
      <c r="Q395" s="103"/>
      <c r="R395" s="103"/>
      <c r="S395" s="103"/>
      <c r="T395" s="103"/>
      <c r="U395" s="41" t="n">
        <v>2</v>
      </c>
      <c r="V395" s="42" t="n">
        <v>2.2</v>
      </c>
      <c r="W395" s="42" t="n">
        <v>0</v>
      </c>
      <c r="X395" s="42"/>
      <c r="Y395" s="42" t="n">
        <v>-1.79</v>
      </c>
      <c r="Z395" s="42" t="n">
        <v>0.014142135623731</v>
      </c>
      <c r="AA395" s="42"/>
      <c r="AB395" s="27"/>
      <c r="AC395" s="27"/>
      <c r="AD395" s="27"/>
      <c r="AE395" s="43" t="n">
        <v>0.626</v>
      </c>
      <c r="AF395" s="104" t="n">
        <v>0.002</v>
      </c>
      <c r="AG395" s="104"/>
      <c r="AH395" s="104"/>
      <c r="AI395" s="104"/>
      <c r="AJ395" s="104"/>
      <c r="AK395" s="104"/>
      <c r="AL395" s="40"/>
    </row>
    <row r="396" customFormat="false" ht="16" hidden="false" customHeight="false" outlineLevel="0" collapsed="false">
      <c r="A396" s="103"/>
      <c r="D396" s="40" t="s">
        <v>279</v>
      </c>
      <c r="E396" s="40"/>
      <c r="F396" s="40"/>
      <c r="G396" s="40"/>
      <c r="H396" s="103"/>
      <c r="I396" s="103"/>
      <c r="J396" s="40"/>
      <c r="K396" s="40"/>
      <c r="L396" s="103"/>
      <c r="M396" s="103"/>
      <c r="N396" s="40"/>
      <c r="O396" s="103"/>
      <c r="P396" s="103"/>
      <c r="Q396" s="103"/>
      <c r="R396" s="103"/>
      <c r="S396" s="103"/>
      <c r="T396" s="103"/>
      <c r="U396" s="41" t="n">
        <v>2</v>
      </c>
      <c r="V396" s="42" t="n">
        <v>1.505</v>
      </c>
      <c r="W396" s="42" t="n">
        <v>0.0212132034355964</v>
      </c>
      <c r="X396" s="42"/>
      <c r="Y396" s="42" t="n">
        <v>-1.02</v>
      </c>
      <c r="Z396" s="42" t="n">
        <v>0.0565685424949239</v>
      </c>
      <c r="AA396" s="42"/>
      <c r="AB396" s="27"/>
      <c r="AC396" s="27"/>
      <c r="AD396" s="27"/>
      <c r="AE396" s="43" t="n">
        <v>0.595</v>
      </c>
      <c r="AF396" s="104" t="n">
        <v>0.004</v>
      </c>
      <c r="AG396" s="104"/>
      <c r="AH396" s="104"/>
      <c r="AI396" s="104"/>
      <c r="AJ396" s="104"/>
      <c r="AK396" s="104"/>
      <c r="AL396" s="40"/>
    </row>
    <row r="397" customFormat="false" ht="16" hidden="false" customHeight="false" outlineLevel="0" collapsed="false">
      <c r="A397" s="103"/>
      <c r="D397" s="40" t="s">
        <v>823</v>
      </c>
      <c r="E397" s="40"/>
      <c r="F397" s="40"/>
      <c r="G397" s="40"/>
      <c r="H397" s="103"/>
      <c r="I397" s="103"/>
      <c r="J397" s="40"/>
      <c r="K397" s="40"/>
      <c r="L397" s="103"/>
      <c r="M397" s="103"/>
      <c r="N397" s="40"/>
      <c r="O397" s="103"/>
      <c r="P397" s="103"/>
      <c r="Q397" s="103"/>
      <c r="R397" s="103"/>
      <c r="S397" s="103"/>
      <c r="T397" s="103"/>
      <c r="U397" s="41" t="n">
        <v>1</v>
      </c>
      <c r="V397" s="42" t="n">
        <v>1.47</v>
      </c>
      <c r="W397" s="42" t="n">
        <v>0.01</v>
      </c>
      <c r="X397" s="42"/>
      <c r="Y397" s="42" t="n">
        <v>-0.52</v>
      </c>
      <c r="Z397" s="42" t="n">
        <v>0.02</v>
      </c>
      <c r="AA397" s="42"/>
      <c r="AB397" s="27"/>
      <c r="AC397" s="27"/>
      <c r="AD397" s="27"/>
      <c r="AE397" s="43" t="n">
        <v>0.6</v>
      </c>
      <c r="AF397" s="104" t="n">
        <v>0.003</v>
      </c>
      <c r="AG397" s="104"/>
      <c r="AH397" s="104"/>
      <c r="AI397" s="104"/>
      <c r="AJ397" s="104"/>
      <c r="AK397" s="104"/>
      <c r="AL397" s="40"/>
    </row>
  </sheetData>
  <conditionalFormatting sqref="U367:U397 U2:U162">
    <cfRule type="cellIs" priority="2" operator="lessThan" aboveAverage="0" equalAverage="0" bottom="0" percent="0" rank="0" text="" dxfId="6">
      <formula>3</formula>
    </cfRule>
  </conditionalFormatting>
  <conditionalFormatting sqref="AF21 AL21 AH2:AH251">
    <cfRule type="cellIs" priority="3" operator="equal" aboveAverage="0" equalAverage="0" bottom="0" percent="0" rank="0" text="" dxfId="7">
      <formula>0</formula>
    </cfRule>
  </conditionalFormatting>
  <conditionalFormatting sqref="M1:M1048576">
    <cfRule type="containsText" priority="4" operator="containsText" aboveAverage="0" equalAverage="0" bottom="0" percent="0" rank="0" text="elegans" dxfId="8">
      <formula>NOT(ISERROR(SEARCH("elegans",M1)))</formula>
    </cfRule>
  </conditionalFormatting>
  <conditionalFormatting sqref="AI2:AK94 AI126:AK264">
    <cfRule type="cellIs" priority="5" operator="equal" aboveAverage="0" equalAverage="0" bottom="0" percent="0" rank="0" text="" dxfId="9">
      <formula>0</formula>
    </cfRule>
  </conditionalFormatting>
  <conditionalFormatting sqref="AJ95:AK125">
    <cfRule type="cellIs" priority="6" operator="equal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2022-10-07T20:17:27Z</dcterms:created>
  <dc:creator>Hannah Tandy</dc:creator>
  <dc:description/>
  <dc:language>en-US</dc:language>
  <cp:lastModifiedBy>Hannah Carroll</cp:lastModifiedBy>
  <dcterms:modified xsi:type="dcterms:W3CDTF">2023-03-14T18:00:43Z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